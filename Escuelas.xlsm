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0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3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5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6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7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8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9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0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1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2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24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25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26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27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28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29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30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31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32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33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34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35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36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37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38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39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drawings/drawing40.xml" ContentType="application/vnd.openxmlformats-officedocument.drawing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41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drawings/drawing42.xml" ContentType="application/vnd.openxmlformats-officedocument.drawing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43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44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45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46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drawings/drawing47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48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drawings/drawing49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50.xml" ContentType="application/vnd.openxmlformats-officedocument.drawing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51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52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drawings/drawing53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drawings/drawing54.xml" ContentType="application/vnd.openxmlformats-officedocument.drawing+xml"/>
  <Override PartName="/xl/ctrlProps/ctrlProp108.xml" ContentType="application/vnd.ms-excel.controlproperties+xml"/>
  <Override PartName="/xl/ctrlProps/ctrlProp109.xml" ContentType="application/vnd.ms-excel.controlproperties+xml"/>
  <Override PartName="/xl/drawings/drawing55.xml" ContentType="application/vnd.openxmlformats-officedocument.drawing+xml"/>
  <Override PartName="/xl/ctrlProps/ctrlProp110.xml" ContentType="application/vnd.ms-excel.controlproperties+xml"/>
  <Override PartName="/xl/ctrlProps/ctrlProp111.xml" ContentType="application/vnd.ms-excel.controlproperties+xml"/>
  <Override PartName="/xl/drawings/drawing56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57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drawings/drawing58.xml" ContentType="application/vnd.openxmlformats-officedocument.drawing+xml"/>
  <Override PartName="/xl/ctrlProps/ctrlProp116.xml" ContentType="application/vnd.ms-excel.controlproperties+xml"/>
  <Override PartName="/xl/ctrlProps/ctrlProp117.xml" ContentType="application/vnd.ms-excel.controlproperties+xml"/>
  <Override PartName="/xl/drawings/drawing59.xml" ContentType="application/vnd.openxmlformats-officedocument.drawing+xml"/>
  <Override PartName="/xl/ctrlProps/ctrlProp118.xml" ContentType="application/vnd.ms-excel.controlproperties+xml"/>
  <Override PartName="/xl/ctrlProps/ctrlProp119.xml" ContentType="application/vnd.ms-excel.controlproperties+xml"/>
  <Override PartName="/xl/drawings/drawing60.xml" ContentType="application/vnd.openxmlformats-officedocument.drawing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61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drawings/drawing62.xml" ContentType="application/vnd.openxmlformats-officedocument.drawing+xml"/>
  <Override PartName="/xl/ctrlProps/ctrlProp124.xml" ContentType="application/vnd.ms-excel.controlproperties+xml"/>
  <Override PartName="/xl/ctrlProps/ctrlProp125.xml" ContentType="application/vnd.ms-excel.controlproperties+xml"/>
  <Override PartName="/xl/drawings/drawing63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drawings/drawing64.xml" ContentType="application/vnd.openxmlformats-officedocument.drawing+xml"/>
  <Override PartName="/xl/ctrlProps/ctrlProp128.xml" ContentType="application/vnd.ms-excel.controlproperties+xml"/>
  <Override PartName="/xl/ctrlProps/ctrlProp129.xml" ContentType="application/vnd.ms-excel.controlproperties+xml"/>
  <Override PartName="/xl/drawings/drawing65.xml" ContentType="application/vnd.openxmlformats-officedocument.drawing+xml"/>
  <Override PartName="/xl/ctrlProps/ctrlProp130.xml" ContentType="application/vnd.ms-excel.controlproperties+xml"/>
  <Override PartName="/xl/ctrlProps/ctrlProp131.xml" ContentType="application/vnd.ms-excel.controlproperties+xml"/>
  <Override PartName="/xl/drawings/drawing66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drawings/drawing67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drawings/drawing68.xml" ContentType="application/vnd.openxmlformats-officedocument.drawing+xml"/>
  <Override PartName="/xl/ctrlProps/ctrlProp136.xml" ContentType="application/vnd.ms-excel.controlproperties+xml"/>
  <Override PartName="/xl/ctrlProps/ctrlProp137.xml" ContentType="application/vnd.ms-excel.controlproperties+xml"/>
  <Override PartName="/xl/drawings/drawing69.xml" ContentType="application/vnd.openxmlformats-officedocument.drawing+xml"/>
  <Override PartName="/xl/ctrlProps/ctrlProp138.xml" ContentType="application/vnd.ms-excel.controlproperties+xml"/>
  <Override PartName="/xl/ctrlProps/ctrlProp139.xml" ContentType="application/vnd.ms-excel.controlproperties+xml"/>
  <Override PartName="/xl/drawings/drawing70.xml" ContentType="application/vnd.openxmlformats-officedocument.drawing+xml"/>
  <Override PartName="/xl/ctrlProps/ctrlProp140.xml" ContentType="application/vnd.ms-excel.controlproperties+xml"/>
  <Override PartName="/xl/ctrlProps/ctrlProp141.xml" ContentType="application/vnd.ms-excel.controlproperties+xml"/>
  <Override PartName="/xl/drawings/drawing71.xml" ContentType="application/vnd.openxmlformats-officedocument.drawing+xml"/>
  <Override PartName="/xl/ctrlProps/ctrlProp142.xml" ContentType="application/vnd.ms-excel.controlproperties+xml"/>
  <Override PartName="/xl/ctrlProps/ctrlProp143.xml" ContentType="application/vnd.ms-excel.controlproperties+xml"/>
  <Override PartName="/xl/drawings/drawing72.xml" ContentType="application/vnd.openxmlformats-officedocument.drawing+xml"/>
  <Override PartName="/xl/ctrlProps/ctrlProp144.xml" ContentType="application/vnd.ms-excel.controlproperties+xml"/>
  <Override PartName="/xl/ctrlProps/ctrlProp145.xml" ContentType="application/vnd.ms-excel.controlproperties+xml"/>
  <Override PartName="/xl/drawings/drawing73.xml" ContentType="application/vnd.openxmlformats-officedocument.drawing+xml"/>
  <Override PartName="/xl/ctrlProps/ctrlProp146.xml" ContentType="application/vnd.ms-excel.controlproperties+xml"/>
  <Override PartName="/xl/ctrlProps/ctrlProp147.xml" ContentType="application/vnd.ms-excel.controlproperties+xml"/>
  <Override PartName="/xl/drawings/drawing74.xml" ContentType="application/vnd.openxmlformats-officedocument.drawing+xml"/>
  <Override PartName="/xl/ctrlProps/ctrlProp148.xml" ContentType="application/vnd.ms-excel.controlproperties+xml"/>
  <Override PartName="/xl/ctrlProps/ctrlProp149.xml" ContentType="application/vnd.ms-excel.controlproperties+xml"/>
  <Override PartName="/xl/drawings/drawing75.xml" ContentType="application/vnd.openxmlformats-officedocument.drawing+xml"/>
  <Override PartName="/xl/ctrlProps/ctrlProp150.xml" ContentType="application/vnd.ms-excel.controlproperties+xml"/>
  <Override PartName="/xl/ctrlProps/ctrlProp151.xml" ContentType="application/vnd.ms-excel.controlproperties+xml"/>
  <Override PartName="/xl/drawings/drawing76.xml" ContentType="application/vnd.openxmlformats-officedocument.drawing+xml"/>
  <Override PartName="/xl/ctrlProps/ctrlProp152.xml" ContentType="application/vnd.ms-excel.controlproperties+xml"/>
  <Override PartName="/xl/ctrlProps/ctrlProp153.xml" ContentType="application/vnd.ms-excel.controlproperties+xml"/>
  <Override PartName="/xl/drawings/drawing77.xml" ContentType="application/vnd.openxmlformats-officedocument.drawing+xml"/>
  <Override PartName="/xl/ctrlProps/ctrlProp154.xml" ContentType="application/vnd.ms-excel.controlproperties+xml"/>
  <Override PartName="/xl/ctrlProps/ctrlProp155.xml" ContentType="application/vnd.ms-excel.controlproperties+xml"/>
  <Override PartName="/xl/drawings/drawing78.xml" ContentType="application/vnd.openxmlformats-officedocument.drawing+xml"/>
  <Override PartName="/xl/ctrlProps/ctrlProp156.xml" ContentType="application/vnd.ms-excel.controlproperties+xml"/>
  <Override PartName="/xl/ctrlProps/ctrlProp157.xml" ContentType="application/vnd.ms-excel.controlproperties+xml"/>
  <Override PartName="/xl/drawings/drawing79.xml" ContentType="application/vnd.openxmlformats-officedocument.drawing+xml"/>
  <Override PartName="/xl/ctrlProps/ctrlProp158.xml" ContentType="application/vnd.ms-excel.controlproperties+xml"/>
  <Override PartName="/xl/ctrlProps/ctrlProp159.xml" ContentType="application/vnd.ms-excel.controlproperties+xml"/>
  <Override PartName="/xl/drawings/drawing80.xml" ContentType="application/vnd.openxmlformats-officedocument.drawing+xml"/>
  <Override PartName="/xl/ctrlProps/ctrlProp160.xml" ContentType="application/vnd.ms-excel.controlproperties+xml"/>
  <Override PartName="/xl/ctrlProps/ctrlProp161.xml" ContentType="application/vnd.ms-excel.controlproperties+xml"/>
  <Override PartName="/xl/drawings/drawing81.xml" ContentType="application/vnd.openxmlformats-officedocument.drawing+xml"/>
  <Override PartName="/xl/ctrlProps/ctrlProp162.xml" ContentType="application/vnd.ms-excel.controlproperties+xml"/>
  <Override PartName="/xl/ctrlProps/ctrlProp163.xml" ContentType="application/vnd.ms-excel.controlproperties+xml"/>
  <Override PartName="/xl/drawings/drawing82.xml" ContentType="application/vnd.openxmlformats-officedocument.drawing+xml"/>
  <Override PartName="/xl/ctrlProps/ctrlProp164.xml" ContentType="application/vnd.ms-excel.controlproperties+xml"/>
  <Override PartName="/xl/ctrlProps/ctrlProp165.xml" ContentType="application/vnd.ms-excel.controlproperties+xml"/>
  <Override PartName="/xl/drawings/drawing83.xml" ContentType="application/vnd.openxmlformats-officedocument.drawing+xml"/>
  <Override PartName="/xl/ctrlProps/ctrlProp166.xml" ContentType="application/vnd.ms-excel.controlproperties+xml"/>
  <Override PartName="/xl/ctrlProps/ctrlProp167.xml" ContentType="application/vnd.ms-excel.controlproperties+xml"/>
  <Override PartName="/xl/drawings/drawing84.xml" ContentType="application/vnd.openxmlformats-officedocument.drawing+xml"/>
  <Override PartName="/xl/ctrlProps/ctrlProp168.xml" ContentType="application/vnd.ms-excel.controlproperties+xml"/>
  <Override PartName="/xl/ctrlProps/ctrlProp169.xml" ContentType="application/vnd.ms-excel.controlproperties+xml"/>
  <Override PartName="/xl/drawings/drawing85.xml" ContentType="application/vnd.openxmlformats-officedocument.drawing+xml"/>
  <Override PartName="/xl/ctrlProps/ctrlProp170.xml" ContentType="application/vnd.ms-excel.controlproperties+xml"/>
  <Override PartName="/xl/ctrlProps/ctrlProp171.xml" ContentType="application/vnd.ms-excel.controlproperties+xml"/>
  <Override PartName="/xl/drawings/drawing86.xml" ContentType="application/vnd.openxmlformats-officedocument.drawing+xml"/>
  <Override PartName="/xl/ctrlProps/ctrlProp172.xml" ContentType="application/vnd.ms-excel.controlproperties+xml"/>
  <Override PartName="/xl/ctrlProps/ctrlProp173.xml" ContentType="application/vnd.ms-excel.controlproperties+xml"/>
  <Override PartName="/xl/drawings/drawing87.xml" ContentType="application/vnd.openxmlformats-officedocument.drawing+xml"/>
  <Override PartName="/xl/ctrlProps/ctrlProp174.xml" ContentType="application/vnd.ms-excel.controlproperties+xml"/>
  <Override PartName="/xl/ctrlProps/ctrlProp175.xml" ContentType="application/vnd.ms-excel.controlproperties+xml"/>
  <Override PartName="/xl/drawings/drawing88.xml" ContentType="application/vnd.openxmlformats-officedocument.drawing+xml"/>
  <Override PartName="/xl/ctrlProps/ctrlProp176.xml" ContentType="application/vnd.ms-excel.controlproperties+xml"/>
  <Override PartName="/xl/ctrlProps/ctrlProp177.xml" ContentType="application/vnd.ms-excel.controlproperties+xml"/>
  <Override PartName="/xl/drawings/drawing89.xml" ContentType="application/vnd.openxmlformats-officedocument.drawing+xml"/>
  <Override PartName="/xl/ctrlProps/ctrlProp178.xml" ContentType="application/vnd.ms-excel.controlproperties+xml"/>
  <Override PartName="/xl/ctrlProps/ctrlProp179.xml" ContentType="application/vnd.ms-excel.controlproperties+xml"/>
  <Override PartName="/xl/drawings/drawing90.xml" ContentType="application/vnd.openxmlformats-officedocument.drawing+xml"/>
  <Override PartName="/xl/ctrlProps/ctrlProp180.xml" ContentType="application/vnd.ms-excel.controlproperties+xml"/>
  <Override PartName="/xl/ctrlProps/ctrlProp181.xml" ContentType="application/vnd.ms-excel.controlproperties+xml"/>
  <Override PartName="/xl/drawings/drawing91.xml" ContentType="application/vnd.openxmlformats-officedocument.drawing+xml"/>
  <Override PartName="/xl/ctrlProps/ctrlProp182.xml" ContentType="application/vnd.ms-excel.controlproperties+xml"/>
  <Override PartName="/xl/ctrlProps/ctrlProp183.xml" ContentType="application/vnd.ms-excel.controlproperties+xml"/>
  <Override PartName="/xl/drawings/drawing92.xml" ContentType="application/vnd.openxmlformats-officedocument.drawing+xml"/>
  <Override PartName="/xl/ctrlProps/ctrlProp184.xml" ContentType="application/vnd.ms-excel.controlproperties+xml"/>
  <Override PartName="/xl/ctrlProps/ctrlProp185.xml" ContentType="application/vnd.ms-excel.controlproperties+xml"/>
  <Override PartName="/xl/drawings/drawing93.xml" ContentType="application/vnd.openxmlformats-officedocument.drawing+xml"/>
  <Override PartName="/xl/ctrlProps/ctrlProp186.xml" ContentType="application/vnd.ms-excel.controlproperties+xml"/>
  <Override PartName="/xl/ctrlProps/ctrlProp187.xml" ContentType="application/vnd.ms-excel.controlproperties+xml"/>
  <Override PartName="/xl/drawings/drawing94.xml" ContentType="application/vnd.openxmlformats-officedocument.drawing+xml"/>
  <Override PartName="/xl/ctrlProps/ctrlProp188.xml" ContentType="application/vnd.ms-excel.controlproperties+xml"/>
  <Override PartName="/xl/ctrlProps/ctrlProp189.xml" ContentType="application/vnd.ms-excel.controlproperties+xml"/>
  <Override PartName="/xl/drawings/drawing95.xml" ContentType="application/vnd.openxmlformats-officedocument.drawing+xml"/>
  <Override PartName="/xl/ctrlProps/ctrlProp190.xml" ContentType="application/vnd.ms-excel.controlproperties+xml"/>
  <Override PartName="/xl/ctrlProps/ctrlProp191.xml" ContentType="application/vnd.ms-excel.controlproperties+xml"/>
  <Override PartName="/xl/drawings/drawing96.xml" ContentType="application/vnd.openxmlformats-officedocument.drawing+xml"/>
  <Override PartName="/xl/ctrlProps/ctrlProp192.xml" ContentType="application/vnd.ms-excel.controlproperties+xml"/>
  <Override PartName="/xl/ctrlProps/ctrlProp193.xml" ContentType="application/vnd.ms-excel.controlproperties+xml"/>
  <Override PartName="/xl/drawings/drawing97.xml" ContentType="application/vnd.openxmlformats-officedocument.drawing+xml"/>
  <Override PartName="/xl/ctrlProps/ctrlProp194.xml" ContentType="application/vnd.ms-excel.controlproperties+xml"/>
  <Override PartName="/xl/ctrlProps/ctrlProp195.xml" ContentType="application/vnd.ms-excel.controlproperties+xml"/>
  <Override PartName="/xl/drawings/drawing98.xml" ContentType="application/vnd.openxmlformats-officedocument.drawing+xml"/>
  <Override PartName="/xl/ctrlProps/ctrlProp196.xml" ContentType="application/vnd.ms-excel.controlproperties+xml"/>
  <Override PartName="/xl/ctrlProps/ctrlProp197.xml" ContentType="application/vnd.ms-excel.controlproperties+xml"/>
  <Override PartName="/xl/drawings/drawing99.xml" ContentType="application/vnd.openxmlformats-officedocument.drawing+xml"/>
  <Override PartName="/xl/ctrlProps/ctrlProp198.xml" ContentType="application/vnd.ms-excel.controlproperties+xml"/>
  <Override PartName="/xl/ctrlProps/ctrlProp199.xml" ContentType="application/vnd.ms-excel.controlproperties+xml"/>
  <Override PartName="/xl/drawings/drawing100.xml" ContentType="application/vnd.openxmlformats-officedocument.drawing+xml"/>
  <Override PartName="/xl/ctrlProps/ctrlProp200.xml" ContentType="application/vnd.ms-excel.controlproperties+xml"/>
  <Override PartName="/xl/ctrlProps/ctrlProp201.xml" ContentType="application/vnd.ms-excel.controlproperties+xml"/>
  <Override PartName="/xl/drawings/drawing101.xml" ContentType="application/vnd.openxmlformats-officedocument.drawing+xml"/>
  <Override PartName="/xl/ctrlProps/ctrlProp202.xml" ContentType="application/vnd.ms-excel.controlproperties+xml"/>
  <Override PartName="/xl/ctrlProps/ctrlProp20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as25-1\matias.franck\Desktop\Temporales\Escuelas\"/>
    </mc:Choice>
  </mc:AlternateContent>
  <workbookProtection workbookAlgorithmName="SHA-512" workbookHashValue="Pfg94Ci1KaL0XNKs1XCl3iY6i25IamfjPKGOMDyAeckwxIff3I0oFllzQnwIfuwMSvtQpKCaVEf2f1RhP7OZRw==" workbookSaltValue="vtLPxzxm6mNLAcohLqYb4w==" workbookSpinCount="100000" lockStructure="1"/>
  <bookViews>
    <workbookView xWindow="930" yWindow="0" windowWidth="18360" windowHeight="9465" xr2:uid="{00000000-000D-0000-FFFF-FFFF00000000}"/>
  </bookViews>
  <sheets>
    <sheet name="INF. GENERAL" sheetId="1" r:id="rId1"/>
    <sheet name="9-012 IES S-N INFORMATICA" sheetId="201" r:id="rId2"/>
    <sheet name="4-239 S-N EL SOSNEADO" sheetId="202" r:id="rId3"/>
    <sheet name="6-042 S-N" sheetId="203" r:id="rId4"/>
    <sheet name="4-246 S- N " sheetId="204" r:id="rId5"/>
    <sheet name="4-230 S-N" sheetId="205" r:id="rId6"/>
    <sheet name="6-046 S-N" sheetId="206" r:id="rId7"/>
    <sheet name="3-076 CORA T. DE ACOSTA" sheetId="207" r:id="rId8"/>
    <sheet name="4-170 AGUAS DEL DIAMANTE" sheetId="208" r:id="rId9"/>
    <sheet name="4-221 VALENTIN BIANCHI" sheetId="209" r:id="rId10"/>
    <sheet name="1-447 PEDRO BOMBAL " sheetId="210" r:id="rId11"/>
    <sheet name="1-344 CARLOS BUNGE" sheetId="211" r:id="rId12"/>
    <sheet name="1-351 SAN JUAN BOSCO " sheetId="212" r:id="rId13"/>
    <sheet name="1-262 ALFREDO BUFANO" sheetId="213" r:id="rId14"/>
    <sheet name="1-297 DANIEL BUSTELO" sheetId="214" r:id="rId15"/>
    <sheet name="1-124 SANTOS BIRITOS " sheetId="215" r:id="rId16"/>
    <sheet name="1-094 JACINTO BOTANA" sheetId="216" r:id="rId17"/>
    <sheet name="4-070 ABELARDO A. BALLOFFET" sheetId="217" r:id="rId18"/>
    <sheet name="9-036 M.T.S.M. DE BALCARCE " sheetId="218" r:id="rId19"/>
    <sheet name="3-428 PROF. A. BLANCO " sheetId="219" r:id="rId20"/>
    <sheet name="7-002 CHIMENO CODÓ " sheetId="220" r:id="rId21"/>
    <sheet name="5-004 BLANCA NOTTI DE CUARTARA" sheetId="221" r:id="rId22"/>
    <sheet name="4-129 ANA G. DE CALZADA" sheetId="222" r:id="rId23"/>
    <sheet name="1-081 COMODORO LUIS PY " sheetId="223" r:id="rId24"/>
    <sheet name="3-468 DANIEL PRIETO CASTILLO " sheetId="224" r:id="rId25"/>
    <sheet name="1-302 RAFAEL M. CASTILLO " sheetId="225" r:id="rId26"/>
    <sheet name="6-039 GUILLERMO CATALAN" sheetId="226" r:id="rId27"/>
    <sheet name="3-066 PROF. NORMA DIAZ" sheetId="227" r:id="rId28"/>
    <sheet name="0-137 DIVINO NIÑO JESUS " sheetId="228" r:id="rId29"/>
    <sheet name="4-043 ANTONIO DI BENEDETTO" sheetId="229" r:id="rId30"/>
    <sheet name="4-117 EJERCITO DE LOS ANDES" sheetId="230" r:id="rId31"/>
    <sheet name="3-029  FERROVIARIOS ARGENTINOS" sheetId="231" r:id="rId32"/>
    <sheet name="6-024 ANGELINA OLAGUER DE FELIÚ" sheetId="232" r:id="rId33"/>
    <sheet name="4-057 MARGARITA C. DE GEARY" sheetId="233" r:id="rId34"/>
    <sheet name="1-271 PEDRO GOYENA" sheetId="234" r:id="rId35"/>
    <sheet name="4-021 MARTIN GUEMES" sheetId="235" r:id="rId36"/>
    <sheet name="4-198 FRANCISCO GARCIA" sheetId="236" r:id="rId37"/>
    <sheet name="4-014 MAYOR GARCIA" sheetId="237" r:id="rId38"/>
    <sheet name="1-285 JUAN DE GARAY" sheetId="238" r:id="rId39"/>
    <sheet name="1-084 DEOCLESIO GARCIA" sheetId="239" r:id="rId40"/>
    <sheet name="4-141 ANTONIO GARBIN" sheetId="240" r:id="rId41"/>
    <sheet name="1-091 DOMINGO HERMIDA" sheetId="241" r:id="rId42"/>
    <sheet name="9-011 IES DEL ATUEL" sheetId="242" r:id="rId43"/>
    <sheet name="3-015 TENIENTE IBAÑEZ" sheetId="243" r:id="rId44"/>
    <sheet name="4-006 PASCUAL IACCARINI" sheetId="244" r:id="rId45"/>
    <sheet name="64 P. ESPECIAL IRIS" sheetId="245" r:id="rId46"/>
    <sheet name="3-227 PROF. MARIA E. IZUEL" sheetId="246" r:id="rId47"/>
    <sheet name="4-017 BERNARDINO IZUEL" sheetId="247" r:id="rId48"/>
    <sheet name="4-095 ISLAS MALVINAS" sheetId="248" r:id="rId49"/>
    <sheet name="4-116 JUAN PABLO II" sheetId="249" r:id="rId50"/>
    <sheet name="4-169  DR. BERNARDINO LEIVA" sheetId="250" r:id="rId51"/>
    <sheet name="3-097 ARNALDO LINDAVER" sheetId="251" r:id="rId52"/>
    <sheet name="1-442 COLONIZADOR V. LOPEZ" sheetId="252" r:id="rId53"/>
    <sheet name="4-229 DR. HUMBERTO LAGIGLIA" sheetId="253" r:id="rId54"/>
    <sheet name="1-258 T. LUZURIAGA" sheetId="254" r:id="rId55"/>
    <sheet name="MUNICIPALIDAD DE SAN RAFAEL" sheetId="255" r:id="rId56"/>
    <sheet name="1-076 PEDRO MOLINA" sheetId="256" r:id="rId57"/>
    <sheet name="4-087 MANUEL I. MOLINA" sheetId="257" r:id="rId58"/>
    <sheet name="4-124 REYNALDO MERIN" sheetId="258" r:id="rId59"/>
    <sheet name="1-125 MERCEDES MAURE" sheetId="259" r:id="rId60"/>
    <sheet name="218. P.S. LA BUENA MADRE" sheetId="260" r:id="rId61"/>
    <sheet name="3-102 COMBATIENTES DE MALVINAS" sheetId="261" r:id="rId62"/>
    <sheet name="9-036 NORMAL PRIMARIO" sheetId="299" r:id="rId63"/>
    <sheet name="9-003 NORMAL SUPERIOR" sheetId="262" r:id="rId64"/>
    <sheet name="4-101 EL NEVADO - GOUDGE" sheetId="263" r:id="rId65"/>
    <sheet name="1-357 HORTENCIO OJEDA " sheetId="264" r:id="rId66"/>
    <sheet name="3-424 PAPA FRANCISCO " sheetId="265" r:id="rId67"/>
    <sheet name="4-235 EDUARDO PLATERO" sheetId="266" r:id="rId68"/>
    <sheet name="1-406 ELIDA DE PESSANO" sheetId="267" r:id="rId69"/>
    <sheet name="1-415 BARRANCAS DEL PARANA" sheetId="268" r:id="rId70"/>
    <sheet name="1-598 FEDERICO PALACIOS" sheetId="269" r:id="rId71"/>
    <sheet name="1-083 FAUSTINO PICALLO" sheetId="270" r:id="rId72"/>
    <sheet name="4-127 POLIVALENTE DE ARTE" sheetId="271" r:id="rId73"/>
    <sheet name="2-010 NICOLAS PAPERNO" sheetId="272" r:id="rId74"/>
    <sheet name="9-014 PROFESORADO DE ARTE" sheetId="273" r:id="rId75"/>
    <sheet name="3-502 PROF. ALICIA PETRINI" sheetId="274" r:id="rId76"/>
    <sheet name="3-444 JUANA ROBLEDO" sheetId="275" r:id="rId77"/>
    <sheet name="4-130 JORGE DE LA RETA" sheetId="276" r:id="rId78"/>
    <sheet name="1-138 SATURNINO DE LA RETA" sheetId="277" r:id="rId79"/>
    <sheet name="4-098 REPUBLICA DEL PERU" sheetId="278" r:id="rId80"/>
    <sheet name="3-436 CACICA MARIA J. ROCO" sheetId="279" r:id="rId81"/>
    <sheet name="5-011 SAN FRANCISCO SOLANO" sheetId="280" r:id="rId82"/>
    <sheet name="1-207 MANUEL A. SAEZ" sheetId="281" r:id="rId83"/>
    <sheet name="3-490 SANTA MARIA DEL SILENCIO" sheetId="282" r:id="rId84"/>
    <sheet name="4-004 MERCEDES A. DE SEGURA" sheetId="283" r:id="rId85"/>
    <sheet name="1-226 SANTA CRUZ" sheetId="284" r:id="rId86"/>
    <sheet name="1-444 TEODORO J. SCHESTAKOW" sheetId="285" r:id="rId87"/>
    <sheet name="1-186 JUAN B. TERAN" sheetId="286" r:id="rId88"/>
    <sheet name="1-187 EMILIO TURQUI" sheetId="287" r:id="rId89"/>
    <sheet name="1-291 JOSE VILLANUEVA" sheetId="288" r:id="rId90"/>
    <sheet name="1-092 JUAN ISIDRO ZAPATA" sheetId="289" r:id="rId91"/>
    <sheet name="2-039 CARRONE" sheetId="290" r:id="rId92"/>
    <sheet name="3-035 JOSE ALCORTA" sheetId="291" r:id="rId93"/>
    <sheet name="3-226 JUDITH DE SAMA" sheetId="292" r:id="rId94"/>
    <sheet name="3-030 7º CABALLERIA" sheetId="293" r:id="rId95"/>
    <sheet name="T-003 NORMAL SUPERIOR Terciario" sheetId="294" r:id="rId96"/>
    <sheet name="3-109 R. FERNANDEZ" sheetId="295" r:id="rId97"/>
    <sheet name="1-270 RODOLFO ISELIN" sheetId="296" r:id="rId98"/>
    <sheet name="0-195 EL MOLINO" sheetId="297" r:id="rId99"/>
    <sheet name="2-024 AMADEO NATALE" sheetId="300" r:id="rId100"/>
    <sheet name="7-007 RAUL" sheetId="301" r:id="rId10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35" l="1"/>
  <c r="F4" i="235"/>
  <c r="F3" i="234"/>
  <c r="F4" i="234" s="1"/>
  <c r="F3" i="215"/>
  <c r="F4" i="215"/>
  <c r="F3" i="296"/>
  <c r="F4" i="296"/>
  <c r="F3" i="293"/>
  <c r="F4" i="293" s="1"/>
  <c r="F3" i="292"/>
  <c r="F4" i="292"/>
  <c r="F3" i="272"/>
  <c r="F4" i="272" s="1"/>
  <c r="F3" i="265"/>
  <c r="F4" i="265"/>
  <c r="F3" i="263"/>
  <c r="F4" i="263"/>
  <c r="F3" i="262"/>
  <c r="F4" i="262" s="1"/>
  <c r="F3" i="261"/>
  <c r="F4" i="261"/>
  <c r="F3" i="259"/>
  <c r="F4" i="259" s="1"/>
  <c r="F3" i="251"/>
  <c r="F4" i="251"/>
  <c r="F3" i="249"/>
  <c r="F4" i="249" s="1"/>
  <c r="F3" i="246"/>
  <c r="F4" i="246" s="1"/>
  <c r="F3" i="245"/>
  <c r="F4" i="245" s="1"/>
  <c r="F3" i="244"/>
  <c r="F4" i="244" s="1"/>
  <c r="F3" i="240"/>
  <c r="F4" i="240"/>
  <c r="F3" i="239"/>
  <c r="F4" i="239" s="1"/>
  <c r="F3" i="238"/>
  <c r="F4" i="238"/>
  <c r="F3" i="237"/>
  <c r="F4" i="237" s="1"/>
  <c r="F3" i="236"/>
  <c r="F4" i="236" s="1"/>
  <c r="F3" i="233"/>
  <c r="F4" i="233"/>
  <c r="F3" i="231"/>
  <c r="F4" i="231"/>
  <c r="F3" i="230"/>
  <c r="F4" i="230"/>
  <c r="F3" i="229"/>
  <c r="F4" i="229"/>
  <c r="F3" i="227"/>
  <c r="F4" i="227"/>
  <c r="F3" i="226"/>
  <c r="F4" i="226" s="1"/>
  <c r="F3" i="222"/>
  <c r="F4" i="222"/>
  <c r="F3" i="220"/>
  <c r="F4" i="220" s="1"/>
  <c r="F3" i="218"/>
  <c r="F4" i="218"/>
  <c r="F3" i="217"/>
  <c r="F4" i="217"/>
  <c r="F3" i="216"/>
  <c r="F4" i="216"/>
  <c r="F3" i="214"/>
  <c r="F4" i="214"/>
  <c r="F3" i="213"/>
  <c r="F4" i="213"/>
  <c r="F3" i="212"/>
  <c r="F4" i="212"/>
  <c r="F3" i="211"/>
  <c r="F4" i="211"/>
  <c r="F4" i="210"/>
  <c r="F5" i="210"/>
  <c r="F18" i="209"/>
  <c r="F19" i="209" s="1"/>
  <c r="F12" i="208"/>
  <c r="F13" i="208"/>
  <c r="F3" i="301"/>
  <c r="F4" i="301"/>
  <c r="F3" i="300"/>
  <c r="F4" i="300"/>
  <c r="F3" i="297"/>
  <c r="F4" i="297" s="1"/>
  <c r="F3" i="295"/>
  <c r="F4" i="295"/>
  <c r="F3" i="294"/>
  <c r="F4" i="294" s="1"/>
  <c r="F3" i="291"/>
  <c r="F4" i="291" s="1"/>
  <c r="F3" i="290"/>
  <c r="F4" i="290" s="1"/>
  <c r="F3" i="289"/>
  <c r="F4" i="289"/>
  <c r="F3" i="288"/>
  <c r="F4" i="288" s="1"/>
  <c r="F3" i="287"/>
  <c r="F4" i="287"/>
  <c r="F3" i="286"/>
  <c r="F4" i="286" s="1"/>
  <c r="F3" i="285"/>
  <c r="F4" i="285"/>
  <c r="F3" i="284"/>
  <c r="F4" i="284" s="1"/>
  <c r="F3" i="283"/>
  <c r="F4" i="283"/>
  <c r="F3" i="282"/>
  <c r="F4" i="282" s="1"/>
  <c r="F3" i="281"/>
  <c r="F4" i="281" s="1"/>
  <c r="F3" i="280"/>
  <c r="F4" i="280" s="1"/>
  <c r="F3" i="279"/>
  <c r="F4" i="279" s="1"/>
  <c r="F3" i="278"/>
  <c r="F4" i="278"/>
  <c r="F3" i="277"/>
  <c r="F4" i="277"/>
  <c r="F3" i="276"/>
  <c r="F4" i="276"/>
  <c r="F3" i="275"/>
  <c r="F4" i="275" s="1"/>
  <c r="F3" i="274"/>
  <c r="F4" i="274" s="1"/>
  <c r="F3" i="273"/>
  <c r="F4" i="273"/>
  <c r="F18" i="271"/>
  <c r="F19" i="271"/>
  <c r="F10" i="270"/>
  <c r="F11" i="270"/>
  <c r="F12" i="269"/>
  <c r="F13" i="269" s="1"/>
  <c r="F3" i="268"/>
  <c r="F4" i="268" s="1"/>
  <c r="F18" i="267"/>
  <c r="F19" i="267"/>
  <c r="F3" i="266"/>
  <c r="F4" i="266"/>
  <c r="F3" i="264"/>
  <c r="F4" i="264"/>
  <c r="F3" i="299"/>
  <c r="F4" i="299" s="1"/>
  <c r="F3" i="260"/>
  <c r="F4" i="260" s="1"/>
  <c r="F15" i="258"/>
  <c r="F16" i="258" s="1"/>
  <c r="F3" i="257"/>
  <c r="F4" i="257"/>
  <c r="F3" i="256"/>
  <c r="F4" i="256" s="1"/>
  <c r="F3" i="255"/>
  <c r="F4" i="255"/>
  <c r="F3" i="254"/>
  <c r="F4" i="254"/>
  <c r="F18" i="253"/>
  <c r="F19" i="253"/>
  <c r="F18" i="252"/>
  <c r="F19" i="252"/>
  <c r="F3" i="250"/>
  <c r="F4" i="250" s="1"/>
  <c r="F3" i="248"/>
  <c r="F4" i="248"/>
  <c r="F3" i="247"/>
  <c r="F4" i="247"/>
  <c r="F3" i="243"/>
  <c r="F4" i="243" s="1"/>
  <c r="F3" i="242"/>
  <c r="F4" i="242"/>
  <c r="F3" i="241"/>
  <c r="F4" i="241"/>
  <c r="F3" i="232"/>
  <c r="F4" i="232"/>
  <c r="F3" i="228"/>
  <c r="F4" i="228" s="1"/>
  <c r="F3" i="225"/>
  <c r="F4" i="225"/>
  <c r="F3" i="224"/>
  <c r="F4" i="224" s="1"/>
  <c r="F3" i="223"/>
  <c r="F4" i="223" s="1"/>
  <c r="F3" i="221"/>
  <c r="F4" i="221" s="1"/>
  <c r="F3" i="219"/>
  <c r="F4" i="219" s="1"/>
  <c r="F3" i="207"/>
  <c r="F4" i="207" s="1"/>
  <c r="F3" i="206"/>
  <c r="F4" i="206"/>
  <c r="F3" i="205"/>
  <c r="F4" i="205" s="1"/>
  <c r="F3" i="204"/>
  <c r="F4" i="204" s="1"/>
  <c r="F3" i="203"/>
  <c r="F4" i="203"/>
  <c r="F3" i="202"/>
  <c r="F4" i="202" s="1"/>
  <c r="F3" i="201"/>
  <c r="F4" i="201" s="1"/>
  <c r="C102" i="1" l="1"/>
  <c r="C101" i="1" l="1"/>
  <c r="C99" i="1" l="1"/>
  <c r="C98" i="1"/>
  <c r="C97" i="1"/>
  <c r="C96" i="1"/>
  <c r="C95" i="1"/>
  <c r="C94" i="1"/>
  <c r="C93" i="1"/>
  <c r="C92" i="1"/>
  <c r="C90" i="1"/>
  <c r="C81" i="1"/>
  <c r="C79" i="1"/>
  <c r="C78" i="1"/>
  <c r="C77" i="1"/>
  <c r="C76" i="1"/>
  <c r="C75" i="1"/>
  <c r="C74" i="1"/>
  <c r="F3" i="271"/>
  <c r="F4" i="271" s="1"/>
  <c r="F5" i="271" s="1"/>
  <c r="F6" i="271" s="1"/>
  <c r="F7" i="271" s="1"/>
  <c r="F8" i="271" s="1"/>
  <c r="F9" i="271" s="1"/>
  <c r="F10" i="271" s="1"/>
  <c r="F11" i="271" s="1"/>
  <c r="F12" i="271" s="1"/>
  <c r="F13" i="271" s="1"/>
  <c r="F14" i="271" s="1"/>
  <c r="F15" i="271" s="1"/>
  <c r="F16" i="271" s="1"/>
  <c r="F17" i="271" s="1"/>
  <c r="C73" i="1" s="1"/>
  <c r="F3" i="270"/>
  <c r="F4" i="270" s="1"/>
  <c r="F5" i="270" s="1"/>
  <c r="F6" i="270" s="1"/>
  <c r="F7" i="270" s="1"/>
  <c r="F8" i="270" s="1"/>
  <c r="F9" i="270" s="1"/>
  <c r="F4" i="269"/>
  <c r="F5" i="269" s="1"/>
  <c r="F6" i="269" s="1"/>
  <c r="F7" i="269" s="1"/>
  <c r="F8" i="269" s="1"/>
  <c r="F9" i="269" s="1"/>
  <c r="F10" i="269" s="1"/>
  <c r="F11" i="269" s="1"/>
  <c r="F3" i="269"/>
  <c r="C69" i="1"/>
  <c r="F3" i="267"/>
  <c r="F4" i="267" s="1"/>
  <c r="F5" i="267" s="1"/>
  <c r="F6" i="267" s="1"/>
  <c r="F7" i="267" s="1"/>
  <c r="F8" i="267" s="1"/>
  <c r="F9" i="267" s="1"/>
  <c r="F10" i="267" s="1"/>
  <c r="F11" i="267" s="1"/>
  <c r="F12" i="267" s="1"/>
  <c r="F13" i="267" s="1"/>
  <c r="F14" i="267" s="1"/>
  <c r="F15" i="267" s="1"/>
  <c r="F16" i="267" s="1"/>
  <c r="F17" i="267" s="1"/>
  <c r="C68" i="1"/>
  <c r="C62" i="1"/>
  <c r="C61" i="1"/>
  <c r="F3" i="258"/>
  <c r="F4" i="258" s="1"/>
  <c r="F5" i="258" s="1"/>
  <c r="F6" i="258" s="1"/>
  <c r="F7" i="258" s="1"/>
  <c r="F8" i="258" s="1"/>
  <c r="F9" i="258" s="1"/>
  <c r="F10" i="258" s="1"/>
  <c r="F11" i="258" s="1"/>
  <c r="F12" i="258" s="1"/>
  <c r="F13" i="258" s="1"/>
  <c r="F14" i="258" s="1"/>
  <c r="C57" i="1"/>
  <c r="C56" i="1"/>
  <c r="F3" i="253"/>
  <c r="F4" i="253" s="1"/>
  <c r="F5" i="253" s="1"/>
  <c r="F6" i="253" s="1"/>
  <c r="F7" i="253" s="1"/>
  <c r="F8" i="253" s="1"/>
  <c r="F9" i="253" s="1"/>
  <c r="F10" i="253" s="1"/>
  <c r="F11" i="253" s="1"/>
  <c r="F12" i="253" s="1"/>
  <c r="F13" i="253" s="1"/>
  <c r="F14" i="253" s="1"/>
  <c r="F15" i="253" s="1"/>
  <c r="F16" i="253" s="1"/>
  <c r="F17" i="253" s="1"/>
  <c r="F3" i="252"/>
  <c r="F4" i="252" s="1"/>
  <c r="F5" i="252" s="1"/>
  <c r="F6" i="252" s="1"/>
  <c r="F7" i="252" s="1"/>
  <c r="F8" i="252" s="1"/>
  <c r="F9" i="252" s="1"/>
  <c r="F10" i="252" s="1"/>
  <c r="F11" i="252" s="1"/>
  <c r="F12" i="252" s="1"/>
  <c r="F13" i="252" s="1"/>
  <c r="F14" i="252" s="1"/>
  <c r="F15" i="252" s="1"/>
  <c r="F16" i="252" s="1"/>
  <c r="F17" i="252" s="1"/>
  <c r="C53" i="1"/>
  <c r="C52" i="1"/>
  <c r="C49" i="1"/>
  <c r="C44" i="1"/>
  <c r="C39" i="1"/>
  <c r="C38" i="1"/>
  <c r="C35" i="1"/>
  <c r="C32" i="1"/>
  <c r="C30" i="1"/>
  <c r="C29" i="1"/>
  <c r="C22" i="1"/>
  <c r="C21" i="1"/>
  <c r="C20" i="1"/>
  <c r="C19" i="1"/>
  <c r="C17" i="1"/>
  <c r="C16" i="1"/>
  <c r="C15" i="1"/>
  <c r="F3" i="210"/>
  <c r="F3" i="209"/>
  <c r="F4" i="209" s="1"/>
  <c r="F5" i="209" s="1"/>
  <c r="F6" i="209" s="1"/>
  <c r="F7" i="209" s="1"/>
  <c r="F8" i="209" s="1"/>
  <c r="F9" i="209" s="1"/>
  <c r="F10" i="209" s="1"/>
  <c r="F11" i="209" s="1"/>
  <c r="F12" i="209" s="1"/>
  <c r="F13" i="209" s="1"/>
  <c r="F14" i="209" s="1"/>
  <c r="F15" i="209" s="1"/>
  <c r="F16" i="209" s="1"/>
  <c r="F17" i="209" s="1"/>
  <c r="C11" i="1" s="1"/>
  <c r="F4" i="208"/>
  <c r="F5" i="208" s="1"/>
  <c r="F6" i="208" s="1"/>
  <c r="F7" i="208" s="1"/>
  <c r="F8" i="208" s="1"/>
  <c r="F9" i="208" s="1"/>
  <c r="F10" i="208" s="1"/>
  <c r="F11" i="208" s="1"/>
  <c r="F3" i="208"/>
  <c r="C9" i="1"/>
  <c r="C7" i="1"/>
  <c r="C5" i="1"/>
  <c r="C4" i="1"/>
  <c r="C31" i="1" l="1"/>
  <c r="C40" i="1"/>
  <c r="C42" i="1"/>
  <c r="C43" i="1"/>
  <c r="C45" i="1"/>
  <c r="C47" i="1"/>
  <c r="C50" i="1"/>
  <c r="C59" i="1"/>
  <c r="C64" i="1"/>
  <c r="C65" i="1"/>
  <c r="C72" i="1"/>
  <c r="C85" i="1"/>
  <c r="C3" i="1"/>
  <c r="C6" i="1"/>
  <c r="C8" i="1"/>
  <c r="C13" i="1"/>
  <c r="C10" i="1"/>
  <c r="C12" i="1"/>
  <c r="C14" i="1"/>
  <c r="C23" i="1"/>
  <c r="C41" i="1"/>
  <c r="C46" i="1"/>
  <c r="C48" i="1"/>
  <c r="C51" i="1"/>
  <c r="C58" i="1"/>
  <c r="C60" i="1"/>
  <c r="C63" i="1"/>
  <c r="C66" i="1"/>
  <c r="C71" i="1"/>
  <c r="C80" i="1"/>
  <c r="C82" i="1"/>
  <c r="C84" i="1"/>
  <c r="C86" i="1"/>
  <c r="C89" i="1"/>
  <c r="C91" i="1"/>
  <c r="C18" i="1"/>
  <c r="C83" i="1"/>
  <c r="C87" i="1"/>
  <c r="C88" i="1"/>
  <c r="C25" i="1"/>
  <c r="C26" i="1"/>
  <c r="C27" i="1"/>
  <c r="C28" i="1"/>
  <c r="C33" i="1"/>
  <c r="C34" i="1"/>
  <c r="C36" i="1"/>
  <c r="C37" i="1"/>
  <c r="C54" i="1"/>
  <c r="C55" i="1"/>
  <c r="C100" i="1"/>
  <c r="C67" i="1"/>
  <c r="C70" i="1"/>
  <c r="C24" i="1"/>
</calcChain>
</file>

<file path=xl/sharedStrings.xml><?xml version="1.0" encoding="utf-8"?>
<sst xmlns="http://schemas.openxmlformats.org/spreadsheetml/2006/main" count="1017" uniqueCount="216">
  <si>
    <t>MOVIMIENTO DE DINERO ENTREGADO POR ESCUELAS</t>
  </si>
  <si>
    <t>Escuelas</t>
  </si>
  <si>
    <t>Saldo</t>
  </si>
  <si>
    <t>9-012 IES S-N INFORMATICA</t>
  </si>
  <si>
    <t>4-239 S-N EL SOSNEADO</t>
  </si>
  <si>
    <t>6-042 S-N</t>
  </si>
  <si>
    <t xml:space="preserve">4-246 S- N </t>
  </si>
  <si>
    <t>4-230 S-N</t>
  </si>
  <si>
    <t>6-046 S-N</t>
  </si>
  <si>
    <t>3-076 CORA T. DE ACOSTA</t>
  </si>
  <si>
    <t>4-170 AGUAS DEL DIAMANTE</t>
  </si>
  <si>
    <t>4-221 VALENTIN BIANCHI</t>
  </si>
  <si>
    <t xml:space="preserve">1-447 PEDRO BOMBAL </t>
  </si>
  <si>
    <t>1-344 CARLOS BUNGE</t>
  </si>
  <si>
    <t xml:space="preserve">1-351 SAN JUAN BOSCO </t>
  </si>
  <si>
    <t>1-262 ALFREDO BUFANO</t>
  </si>
  <si>
    <t>1-297 DANIEL BUSTELO</t>
  </si>
  <si>
    <t xml:space="preserve">1-124 SANTOS BIRITOS </t>
  </si>
  <si>
    <t>1-094 JACINTO BOTANA</t>
  </si>
  <si>
    <t>4-070 ABELARDO A. BALLOFFET</t>
  </si>
  <si>
    <t xml:space="preserve">9-036 M.T.S.M. DE BALCARCE </t>
  </si>
  <si>
    <t xml:space="preserve">3-428 PROF. A. BLANCO </t>
  </si>
  <si>
    <t xml:space="preserve">7-002 CHIMENO CODÓ </t>
  </si>
  <si>
    <t>5-004 BLANCA NOTTI DE CUARTARA</t>
  </si>
  <si>
    <t>4-129 ANA G. DE CALZADA</t>
  </si>
  <si>
    <t xml:space="preserve">1-081 COMODORO LUIS PY </t>
  </si>
  <si>
    <t xml:space="preserve">3-468 DANIEL PRIETO CASTILLO </t>
  </si>
  <si>
    <t xml:space="preserve">1-302 RAFAEL M. CASTILLO </t>
  </si>
  <si>
    <t>6-039 GUILLERMO CATALAN</t>
  </si>
  <si>
    <t>3-066 PROF. NORMA DIAZ</t>
  </si>
  <si>
    <t xml:space="preserve">0-137 DIVINO NIÑO JESUS </t>
  </si>
  <si>
    <t>4-043 ANTONIO DI BENEDETTO</t>
  </si>
  <si>
    <t>4-117 EJERCITO DE LOS ANDES</t>
  </si>
  <si>
    <t>3-029  FERROVIARIOS ARGENTINOS</t>
  </si>
  <si>
    <t>6-024 ANGELINA OLAGUER DE FELIÚ</t>
  </si>
  <si>
    <t>4-057 MARGARITA C. DE GEARY</t>
  </si>
  <si>
    <t>1-271 PEDRO GOYENA</t>
  </si>
  <si>
    <t>4-021 MARTIN GUEMES</t>
  </si>
  <si>
    <t>4-198 FRANCISCO GARCIA</t>
  </si>
  <si>
    <t>4-014 MAYOR GARCIA</t>
  </si>
  <si>
    <t>1-285 JUAN DE GARAY</t>
  </si>
  <si>
    <t>1-084 DEOCLESIO GARCIA</t>
  </si>
  <si>
    <t>4-141 ANTONIO GARBIN</t>
  </si>
  <si>
    <t>1-091 DOMINGO HERMIDA</t>
  </si>
  <si>
    <t>9-011 IES DEL ATUEL</t>
  </si>
  <si>
    <t>3-015 TENIENTE IBAÑEZ</t>
  </si>
  <si>
    <t>4-006 PASCUAL IACCARINI</t>
  </si>
  <si>
    <t>64 P. ESPECIAL IRIS</t>
  </si>
  <si>
    <t>3-227 PROF. MARIA E. IZUEL</t>
  </si>
  <si>
    <t>4-017 BERNARDINO IZUEL</t>
  </si>
  <si>
    <t>4-095 ISLAS MALVINAS</t>
  </si>
  <si>
    <t>4-116 JUAN PABLO II</t>
  </si>
  <si>
    <t>4-169  DR. BERNARDINO LEIVA</t>
  </si>
  <si>
    <t>3-097 ARNALDO LINDAVER</t>
  </si>
  <si>
    <t>1-442 COLONIZADOR V. LOPEZ</t>
  </si>
  <si>
    <t>4-229 DR. HUMBERTO LAGIGLIA</t>
  </si>
  <si>
    <t>1-258 T. LUZURIAGA</t>
  </si>
  <si>
    <t>MUNICIPALIDAD DE SAN RAFAEL</t>
  </si>
  <si>
    <t>1-076 PEDRO MOLINA</t>
  </si>
  <si>
    <t>4-087 MANUEL I. MOLINA</t>
  </si>
  <si>
    <t>4-124 REYNALDO MERIN</t>
  </si>
  <si>
    <t>1-125 MERCEDES MAURE</t>
  </si>
  <si>
    <t>218. P.S. LA BUENA MADRE</t>
  </si>
  <si>
    <t>3-102 COMBATIENTES DE MALVINAS</t>
  </si>
  <si>
    <t>9-003 NORMAL SUPERIOR</t>
  </si>
  <si>
    <t>4-101 EL NEVADO - GOUDGE</t>
  </si>
  <si>
    <t xml:space="preserve">1-357 HORTENCIO OJEDA </t>
  </si>
  <si>
    <t xml:space="preserve">3-424 PAPA FRANCISCO </t>
  </si>
  <si>
    <t>4-235 EDUARDO PLATERO</t>
  </si>
  <si>
    <t>1-406 ELIDA DE PESSANO</t>
  </si>
  <si>
    <t>1-415 BARRANCAS DEL PARANA</t>
  </si>
  <si>
    <t>1-598 FEDERICO PALACIOS</t>
  </si>
  <si>
    <t>1-083 FAUSTINO PICALLO</t>
  </si>
  <si>
    <t>4-127 POLIVALENTE DE ARTE</t>
  </si>
  <si>
    <t>2-010 NICOLAS PAPERNO</t>
  </si>
  <si>
    <t>9-014 PROFESORADO DE ARTE</t>
  </si>
  <si>
    <t>3-502 PROF. ALICIA PETRINI</t>
  </si>
  <si>
    <t>3-444 JUANA ROBLEDO</t>
  </si>
  <si>
    <t>4-130 JORGE DE LA RETA</t>
  </si>
  <si>
    <t>1-138 SATURNINO DE LA RETA</t>
  </si>
  <si>
    <t>4-098 REPUBLICA DEL PERU</t>
  </si>
  <si>
    <t>3-436 CACICA MARIA J. ROCO</t>
  </si>
  <si>
    <t>5-011 SAN FRANCISCO SOLANO</t>
  </si>
  <si>
    <t>1-207 MANUEL A. SAEZ</t>
  </si>
  <si>
    <t>3-490 SANTA MARIA DEL SILENCIO</t>
  </si>
  <si>
    <t>4-004 MERCEDES A. DE SEGURA</t>
  </si>
  <si>
    <t>1-226 SANTA CRUZ</t>
  </si>
  <si>
    <t>1-444 TEODORO J. SCHESTAKOW</t>
  </si>
  <si>
    <t>1-186 JUAN B. TERAN</t>
  </si>
  <si>
    <t>1-187 EMILIO TURQUI</t>
  </si>
  <si>
    <t>1-291 JOSE VILLANUEVA</t>
  </si>
  <si>
    <t>1-092 JUAN ISIDRO ZAPATA</t>
  </si>
  <si>
    <t>2-039 CARRONE</t>
  </si>
  <si>
    <t>3-035 JOSE ALCORTA</t>
  </si>
  <si>
    <t>3-226 JUDITH DE SAMA</t>
  </si>
  <si>
    <t>3-030 7º CABALLERIA</t>
  </si>
  <si>
    <t>3-109 R. FERNANDEZ</t>
  </si>
  <si>
    <t>1-270 RODOLFO ISELIN</t>
  </si>
  <si>
    <t>0-195 EL MOLINO</t>
  </si>
  <si>
    <t>FECHA</t>
  </si>
  <si>
    <t>CONCEPTO</t>
  </si>
  <si>
    <t>INGRESA</t>
  </si>
  <si>
    <t>RETIRA</t>
  </si>
  <si>
    <t>SALDO</t>
  </si>
  <si>
    <t>VOLVER</t>
  </si>
  <si>
    <t>T-003 NORMAL SUPERIOR Terciario</t>
  </si>
  <si>
    <t>Controlado al
01/01/01</t>
  </si>
  <si>
    <t>SALDO 2015</t>
  </si>
  <si>
    <t>SALDO 2013</t>
  </si>
  <si>
    <t>FACTURA B-017-00000109</t>
  </si>
  <si>
    <t xml:space="preserve">RECIBO Nº 604 </t>
  </si>
  <si>
    <t>FACTURA B-017-00000209</t>
  </si>
  <si>
    <t>RECIBO Nº 692</t>
  </si>
  <si>
    <t>FACTURA B-017-00000306</t>
  </si>
  <si>
    <t>RECIBO Nº 788</t>
  </si>
  <si>
    <t>FACTURA B-017-00000399</t>
  </si>
  <si>
    <t>RECIBO Nº 903</t>
  </si>
  <si>
    <t>FACTURA B-017-00000153</t>
  </si>
  <si>
    <t>RECIBO Nº 667</t>
  </si>
  <si>
    <t>FACTURA B-017-00000183</t>
  </si>
  <si>
    <t>RECIBO Nº 748</t>
  </si>
  <si>
    <t>FACTURA B-017-00000262</t>
  </si>
  <si>
    <t>RECIBO Nº 775</t>
  </si>
  <si>
    <t>FACTURA B-017-00000430</t>
  </si>
  <si>
    <t>RECIBO Nº 909</t>
  </si>
  <si>
    <t>FACTURA Nº 0017-00000534</t>
  </si>
  <si>
    <t>recibo nº 1019</t>
  </si>
  <si>
    <t>FACTURA 017-00000611</t>
  </si>
  <si>
    <t>RECIBO 1100</t>
  </si>
  <si>
    <t>FACTURA Nº 0017-00000713</t>
  </si>
  <si>
    <t>recibo nº1179</t>
  </si>
  <si>
    <t>FACTURA B-017-00000319</t>
  </si>
  <si>
    <t>SALDO 2014</t>
  </si>
  <si>
    <t>FACT Nº 37546</t>
  </si>
  <si>
    <t>FACT Nº 37910</t>
  </si>
  <si>
    <t>RECIBO Nº 534</t>
  </si>
  <si>
    <t>RECIBO Nº 584</t>
  </si>
  <si>
    <t>FACTURA B-017-00000104</t>
  </si>
  <si>
    <t xml:space="preserve">RECIBO Nº608 </t>
  </si>
  <si>
    <t>FACTURA B-017-00000249</t>
  </si>
  <si>
    <t>RECIBO Nº 731</t>
  </si>
  <si>
    <t>FACTURA B-017-00000271</t>
  </si>
  <si>
    <t>RECIBO Nº 789</t>
  </si>
  <si>
    <t>FACTURA B-017-00000375</t>
  </si>
  <si>
    <t>RECIBO Nº 865</t>
  </si>
  <si>
    <t>FACTURA Nº 017-00000465</t>
  </si>
  <si>
    <t>recibo nº 0970</t>
  </si>
  <si>
    <t xml:space="preserve">FACTURA B-017-00000152 </t>
  </si>
  <si>
    <t>RECIBO Nº 628</t>
  </si>
  <si>
    <t>FACTURA B-017-00000215</t>
  </si>
  <si>
    <t>RECIBO Nº 690</t>
  </si>
  <si>
    <t>FACTURA B-017-00000298</t>
  </si>
  <si>
    <t>RECIBO Nº 771</t>
  </si>
  <si>
    <t>FACTURA B-017-00000421</t>
  </si>
  <si>
    <t>RECIBO Nº 904</t>
  </si>
  <si>
    <t>FACTURA Nº 017-00000474</t>
  </si>
  <si>
    <t>RECIBO Nº 953</t>
  </si>
  <si>
    <t>FACTURA 017-00000567</t>
  </si>
  <si>
    <t>RECIBO 1051</t>
  </si>
  <si>
    <t>FACTURA Nº 0017-00000659</t>
  </si>
  <si>
    <t>RECIBO Nº  1146</t>
  </si>
  <si>
    <t>FACT Nº 37451</t>
  </si>
  <si>
    <t>RECIBO Nº 455</t>
  </si>
  <si>
    <t>RECIBO Nº 486</t>
  </si>
  <si>
    <t>FACT Nº 37781</t>
  </si>
  <si>
    <t>recibo nº 522</t>
  </si>
  <si>
    <t>FACTURA B-017-00000102</t>
  </si>
  <si>
    <t>RECIBO Nº 639</t>
  </si>
  <si>
    <t>FACTURA B-017-00000186</t>
  </si>
  <si>
    <t>RECIBO Nº 722</t>
  </si>
  <si>
    <t>FACTURA B-017-00000302</t>
  </si>
  <si>
    <t>RECIBO Nº 839</t>
  </si>
  <si>
    <t>9-036 NORMAL PRIMARIO</t>
  </si>
  <si>
    <t>FACTURA 017-036</t>
  </si>
  <si>
    <t>RECIBO Nº 543</t>
  </si>
  <si>
    <t>RECIBO Nº 8580</t>
  </si>
  <si>
    <t>RECIBO Nº 930</t>
  </si>
  <si>
    <t>FACTURA B-017-00000106</t>
  </si>
  <si>
    <t>RECIBO Nº 647</t>
  </si>
  <si>
    <t>FACTURA  B-017-00000211</t>
  </si>
  <si>
    <t>RECIBO Nº 719</t>
  </si>
  <si>
    <t>RECIBO Nº 720</t>
  </si>
  <si>
    <t>FACTURA B-017-00000284</t>
  </si>
  <si>
    <t>RECIBO Nº 838</t>
  </si>
  <si>
    <t>FACTURA B-017-00000418</t>
  </si>
  <si>
    <t>FACTURA Nº 0017-00000528</t>
  </si>
  <si>
    <t>recibo nº 1024</t>
  </si>
  <si>
    <t>FACTURA B-015-00000320</t>
  </si>
  <si>
    <t>RECIBO Nº 602</t>
  </si>
  <si>
    <t>FACTURA B-017-00000187</t>
  </si>
  <si>
    <t>RECIBO Nº 677</t>
  </si>
  <si>
    <t>FACTURA B-017-00000255</t>
  </si>
  <si>
    <t>RECIBO Nº 745</t>
  </si>
  <si>
    <t>FACTURA B-017-00000377</t>
  </si>
  <si>
    <t>RECIBO Nº 861</t>
  </si>
  <si>
    <t>FACTURA B-017-00000139</t>
  </si>
  <si>
    <t>RECIBO Nº 618</t>
  </si>
  <si>
    <t>FACTURA B-017-00000202</t>
  </si>
  <si>
    <t>RECIBO Nº 696</t>
  </si>
  <si>
    <t>FACTURA B-017-00000295</t>
  </si>
  <si>
    <t>RECIBO Nº 816</t>
  </si>
  <si>
    <t>FACTURA B-017-00000095</t>
  </si>
  <si>
    <t>FACTURA B-017-0000096</t>
  </si>
  <si>
    <t>RECIBO Nº 668</t>
  </si>
  <si>
    <t>FACTURA B-017-00000205</t>
  </si>
  <si>
    <t>RECIBO Nº 795</t>
  </si>
  <si>
    <t>RECIBO Nº 797</t>
  </si>
  <si>
    <t>FACTURA B-017-00000408</t>
  </si>
  <si>
    <t>RECIBO Nº 889</t>
  </si>
  <si>
    <t>RECIBO Nº 890</t>
  </si>
  <si>
    <t>FACTURA Nº 0017-00000501</t>
  </si>
  <si>
    <t>recibo nº 979</t>
  </si>
  <si>
    <t>FACTURA 0017-00000571</t>
  </si>
  <si>
    <t>RECIBO 1054</t>
  </si>
  <si>
    <t>2-024 AMADEO NATALE</t>
  </si>
  <si>
    <t>7-007 RAUL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</si>
</sst>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$&quot;\ * #,##0.00_ ;_ &quot;$&quot;\ * \-#,##0.00_ ;_ &quot;$&quot;\ * &quot;-&quot;??_ ;_ @_ "/>
    <numFmt numFmtId="164" formatCode="&quot;$&quot;0.00"/>
  </numFmts>
  <fonts count="13" x14ac:knownFonts="1">
    <font>
      <sz val="11"/>
      <color theme="1"/>
      <name val="Calibri"/>
      <family val="2"/>
      <scheme val="minor"/>
    </font>
    <font>
      <b/>
      <sz val="9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u/>
      <sz val="12"/>
      <color theme="1"/>
      <name val="Calibri"/>
      <family val="2"/>
      <scheme val="minor"/>
    </font>
    <font>
      <b/>
      <i/>
      <u/>
      <sz val="11"/>
      <color theme="1"/>
      <name val="Aharoni"/>
      <charset val="177"/>
    </font>
    <font>
      <b/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8" fillId="0" borderId="0" applyFont="0" applyFill="0" applyBorder="0" applyAlignment="0" applyProtection="0"/>
  </cellStyleXfs>
  <cellXfs count="40">
    <xf numFmtId="0" fontId="0" fillId="0" borderId="0" xfId="0"/>
    <xf numFmtId="0" fontId="3" fillId="0" borderId="0" xfId="1" applyFont="1" applyBorder="1" applyAlignment="1">
      <alignment vertical="center"/>
    </xf>
    <xf numFmtId="0" fontId="5" fillId="2" borderId="1" xfId="0" applyFont="1" applyFill="1" applyBorder="1"/>
    <xf numFmtId="0" fontId="4" fillId="0" borderId="3" xfId="0" applyFont="1" applyBorder="1" applyAlignment="1">
      <alignment horizontal="center" vertical="center"/>
    </xf>
    <xf numFmtId="0" fontId="6" fillId="0" borderId="0" xfId="0" applyFont="1"/>
    <xf numFmtId="0" fontId="2" fillId="0" borderId="0" xfId="1"/>
    <xf numFmtId="0" fontId="7" fillId="3" borderId="0" xfId="0" applyFont="1" applyFill="1" applyProtection="1"/>
    <xf numFmtId="0" fontId="4" fillId="0" borderId="2" xfId="0" applyFont="1" applyBorder="1" applyAlignment="1">
      <alignment horizontal="center" vertical="center" wrapText="1"/>
    </xf>
    <xf numFmtId="14" fontId="0" fillId="0" borderId="5" xfId="0" applyNumberFormat="1" applyBorder="1"/>
    <xf numFmtId="0" fontId="0" fillId="0" borderId="5" xfId="0" applyBorder="1"/>
    <xf numFmtId="44" fontId="6" fillId="4" borderId="4" xfId="2" applyFont="1" applyFill="1" applyBorder="1"/>
    <xf numFmtId="44" fontId="6" fillId="0" borderId="5" xfId="2" applyFont="1" applyBorder="1"/>
    <xf numFmtId="44" fontId="6" fillId="0" borderId="4" xfId="2" applyFont="1" applyBorder="1"/>
    <xf numFmtId="44" fontId="6" fillId="0" borderId="6" xfId="2" applyFont="1" applyBorder="1"/>
    <xf numFmtId="14" fontId="0" fillId="0" borderId="5" xfId="0" applyNumberFormat="1" applyBorder="1" applyProtection="1"/>
    <xf numFmtId="0" fontId="0" fillId="0" borderId="5" xfId="0" applyBorder="1" applyProtection="1"/>
    <xf numFmtId="44" fontId="6" fillId="0" borderId="5" xfId="2" applyFont="1" applyBorder="1" applyProtection="1"/>
    <xf numFmtId="44" fontId="6" fillId="0" borderId="6" xfId="2" applyFont="1" applyBorder="1" applyProtection="1"/>
    <xf numFmtId="14" fontId="0" fillId="0" borderId="5" xfId="0" applyNumberFormat="1" applyFill="1" applyBorder="1"/>
    <xf numFmtId="0" fontId="0" fillId="0" borderId="5" xfId="0" applyFill="1" applyBorder="1"/>
    <xf numFmtId="44" fontId="6" fillId="0" borderId="4" xfId="2" applyFont="1" applyFill="1" applyBorder="1"/>
    <xf numFmtId="44" fontId="6" fillId="0" borderId="4" xfId="2" applyFont="1" applyBorder="1" applyProtection="1"/>
    <xf numFmtId="14" fontId="0" fillId="4" borderId="5" xfId="0" applyNumberFormat="1" applyFill="1" applyBorder="1"/>
    <xf numFmtId="0" fontId="0" fillId="4" borderId="5" xfId="0" applyFill="1" applyBorder="1"/>
    <xf numFmtId="44" fontId="6" fillId="4" borderId="5" xfId="2" applyFont="1" applyFill="1" applyBorder="1"/>
    <xf numFmtId="44" fontId="6" fillId="0" borderId="5" xfId="2" applyFont="1" applyFill="1" applyBorder="1"/>
    <xf numFmtId="0" fontId="9" fillId="0" borderId="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/>
    <xf numFmtId="0" fontId="12" fillId="0" borderId="0" xfId="0" applyFont="1"/>
    <xf numFmtId="0" fontId="2" fillId="0" borderId="7" xfId="1" applyBorder="1"/>
    <xf numFmtId="164" fontId="0" fillId="0" borderId="7" xfId="0" applyNumberFormat="1" applyBorder="1"/>
    <xf numFmtId="0" fontId="0" fillId="0" borderId="8" xfId="0" applyBorder="1" applyProtection="1">
      <protection locked="0"/>
    </xf>
    <xf numFmtId="0" fontId="6" fillId="0" borderId="12" xfId="0" applyFont="1" applyBorder="1"/>
    <xf numFmtId="164" fontId="6" fillId="0" borderId="12" xfId="0" applyNumberFormat="1" applyFont="1" applyBorder="1"/>
    <xf numFmtId="0" fontId="0" fillId="0" borderId="9" xfId="0" applyBorder="1" applyProtection="1">
      <protection locked="0"/>
    </xf>
    <xf numFmtId="0" fontId="6" fillId="0" borderId="11" xfId="0" applyFont="1" applyBorder="1" applyProtection="1">
      <protection locked="0"/>
    </xf>
    <xf numFmtId="44" fontId="6" fillId="0" borderId="11" xfId="0" applyNumberFormat="1" applyFont="1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</cellXfs>
  <cellStyles count="3">
    <cellStyle name="Hipervínculo" xfId="1" builtinId="8"/>
    <cellStyle name="Mon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0</xdr:row>
          <xdr:rowOff>38100</xdr:rowOff>
        </xdr:from>
        <xdr:to>
          <xdr:col>5</xdr:col>
          <xdr:colOff>142875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INGRESAR </a:t>
              </a:r>
            </a:p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ESCUELA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38100</xdr:rowOff>
        </xdr:from>
        <xdr:to>
          <xdr:col>6</xdr:col>
          <xdr:colOff>314325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LIBRO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0</xdr:row>
          <xdr:rowOff>38100</xdr:rowOff>
        </xdr:from>
        <xdr:to>
          <xdr:col>7</xdr:col>
          <xdr:colOff>476250</xdr:colOff>
          <xdr:row>1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PROTEGER LIBRO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99329" name="Button 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1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99330" name="Button 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1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02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02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3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01378" name="Button 2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3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4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4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5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5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06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06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7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05474" name="Button 2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7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8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06498" name="Button 2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8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09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9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A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A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B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0B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C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10594" name="Button 2" hidden="1">
              <a:extLst>
                <a:ext uri="{63B3BB69-23CF-44E3-9099-C40C66FF867C}">
                  <a14:compatExt spid="_x0000_s110594"/>
                </a:ext>
                <a:ext uri="{FF2B5EF4-FFF2-40B4-BE49-F238E27FC236}">
                  <a16:creationId xmlns:a16="http://schemas.microsoft.com/office/drawing/2014/main" id="{00000000-0008-0000-0C00-000002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0D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0D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12641" name="Button 1" hidden="1">
              <a:extLst>
                <a:ext uri="{63B3BB69-23CF-44E3-9099-C40C66FF867C}">
                  <a14:compatExt spid="_x0000_s112641"/>
                </a:ext>
                <a:ext uri="{FF2B5EF4-FFF2-40B4-BE49-F238E27FC236}">
                  <a16:creationId xmlns:a16="http://schemas.microsoft.com/office/drawing/2014/main" id="{00000000-0008-0000-0E00-000001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12642" name="Button 2" hidden="1">
              <a:extLst>
                <a:ext uri="{63B3BB69-23CF-44E3-9099-C40C66FF867C}">
                  <a14:compatExt spid="_x0000_s112642"/>
                </a:ext>
                <a:ext uri="{FF2B5EF4-FFF2-40B4-BE49-F238E27FC236}">
                  <a16:creationId xmlns:a16="http://schemas.microsoft.com/office/drawing/2014/main" id="{00000000-0008-0000-0E00-000002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13665" name="Button 1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0F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13666" name="Button 2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F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10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10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1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11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12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16738" name="Button 2" hidden="1">
              <a:extLst>
                <a:ext uri="{63B3BB69-23CF-44E3-9099-C40C66FF867C}">
                  <a14:compatExt spid="_x0000_s116738"/>
                </a:ext>
                <a:ext uri="{FF2B5EF4-FFF2-40B4-BE49-F238E27FC236}">
                  <a16:creationId xmlns:a16="http://schemas.microsoft.com/office/drawing/2014/main" id="{00000000-0008-0000-1200-000002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13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17762" name="Button 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13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18785" name="Button 1" hidden="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1400-000001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18786" name="Button 2" hidden="1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1400-000002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19809" name="Button 1" hidden="1">
              <a:extLst>
                <a:ext uri="{63B3BB69-23CF-44E3-9099-C40C66FF867C}">
                  <a14:compatExt spid="_x0000_s119809"/>
                </a:ext>
                <a:ext uri="{FF2B5EF4-FFF2-40B4-BE49-F238E27FC236}">
                  <a16:creationId xmlns:a16="http://schemas.microsoft.com/office/drawing/2014/main" id="{00000000-0008-0000-1500-000001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19810" name="Button 2" hidden="1">
              <a:extLst>
                <a:ext uri="{63B3BB69-23CF-44E3-9099-C40C66FF867C}">
                  <a14:compatExt spid="_x0000_s119810"/>
                </a:ext>
                <a:ext uri="{FF2B5EF4-FFF2-40B4-BE49-F238E27FC236}">
                  <a16:creationId xmlns:a16="http://schemas.microsoft.com/office/drawing/2014/main" id="{00000000-0008-0000-1500-000002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20833" name="Button 1" hidden="1">
              <a:extLst>
                <a:ext uri="{63B3BB69-23CF-44E3-9099-C40C66FF867C}">
                  <a14:compatExt spid="_x0000_s120833"/>
                </a:ext>
                <a:ext uri="{FF2B5EF4-FFF2-40B4-BE49-F238E27FC236}">
                  <a16:creationId xmlns:a16="http://schemas.microsoft.com/office/drawing/2014/main" id="{00000000-0008-0000-1600-000001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20834" name="Button 2" hidden="1">
              <a:extLst>
                <a:ext uri="{63B3BB69-23CF-44E3-9099-C40C66FF867C}">
                  <a14:compatExt spid="_x0000_s120834"/>
                </a:ext>
                <a:ext uri="{FF2B5EF4-FFF2-40B4-BE49-F238E27FC236}">
                  <a16:creationId xmlns:a16="http://schemas.microsoft.com/office/drawing/2014/main" id="{00000000-0008-0000-1600-000002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21857" name="Button 1" hidden="1">
              <a:extLst>
                <a:ext uri="{63B3BB69-23CF-44E3-9099-C40C66FF867C}">
                  <a14:compatExt spid="_x0000_s121857"/>
                </a:ext>
                <a:ext uri="{FF2B5EF4-FFF2-40B4-BE49-F238E27FC236}">
                  <a16:creationId xmlns:a16="http://schemas.microsoft.com/office/drawing/2014/main" id="{00000000-0008-0000-1700-000001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21858" name="Button 2" hidden="1">
              <a:extLst>
                <a:ext uri="{63B3BB69-23CF-44E3-9099-C40C66FF867C}">
                  <a14:compatExt spid="_x0000_s121858"/>
                </a:ext>
                <a:ext uri="{FF2B5EF4-FFF2-40B4-BE49-F238E27FC236}">
                  <a16:creationId xmlns:a16="http://schemas.microsoft.com/office/drawing/2014/main" id="{00000000-0008-0000-1700-000002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22881" name="Button 1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18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22882" name="Button 2" hidden="1">
              <a:extLst>
                <a:ext uri="{63B3BB69-23CF-44E3-9099-C40C66FF867C}">
                  <a14:compatExt spid="_x0000_s122882"/>
                </a:ext>
                <a:ext uri="{FF2B5EF4-FFF2-40B4-BE49-F238E27FC236}">
                  <a16:creationId xmlns:a16="http://schemas.microsoft.com/office/drawing/2014/main" id="{00000000-0008-0000-1800-00000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23905" name="Button 1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id="{00000000-0008-0000-19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23906" name="Button 2" hidden="1">
              <a:extLst>
                <a:ext uri="{63B3BB69-23CF-44E3-9099-C40C66FF867C}">
                  <a14:compatExt spid="_x0000_s123906"/>
                </a:ext>
                <a:ext uri="{FF2B5EF4-FFF2-40B4-BE49-F238E27FC236}">
                  <a16:creationId xmlns:a16="http://schemas.microsoft.com/office/drawing/2014/main" id="{00000000-0008-0000-1900-00000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24929" name="Button 1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1A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id="{00000000-0008-0000-1A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25953" name="Button 1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1B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25954" name="Button 2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1B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26977" name="Button 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1C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26978" name="Button 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C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28001" name="Button 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1D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28002" name="Button 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1D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29025" name="Button 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1E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29026" name="Button 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E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30049" name="Button 1" hidden="1">
              <a:extLst>
                <a:ext uri="{63B3BB69-23CF-44E3-9099-C40C66FF867C}">
                  <a14:compatExt spid="_x0000_s130049"/>
                </a:ext>
                <a:ext uri="{FF2B5EF4-FFF2-40B4-BE49-F238E27FC236}">
                  <a16:creationId xmlns:a16="http://schemas.microsoft.com/office/drawing/2014/main" id="{00000000-0008-0000-1F00-000001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30050" name="Button 2" hidden="1">
              <a:extLst>
                <a:ext uri="{63B3BB69-23CF-44E3-9099-C40C66FF867C}">
                  <a14:compatExt spid="_x0000_s130050"/>
                </a:ext>
                <a:ext uri="{FF2B5EF4-FFF2-40B4-BE49-F238E27FC236}">
                  <a16:creationId xmlns:a16="http://schemas.microsoft.com/office/drawing/2014/main" id="{00000000-0008-0000-1F00-000002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:a16="http://schemas.microsoft.com/office/drawing/2014/main" id="{00000000-0008-0000-20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31074" name="Button 2" hidden="1">
              <a:extLst>
                <a:ext uri="{63B3BB69-23CF-44E3-9099-C40C66FF867C}">
                  <a14:compatExt spid="_x0000_s131074"/>
                </a:ext>
                <a:ext uri="{FF2B5EF4-FFF2-40B4-BE49-F238E27FC236}">
                  <a16:creationId xmlns:a16="http://schemas.microsoft.com/office/drawing/2014/main" id="{00000000-0008-0000-20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32097" name="Button 1" hidden="1">
              <a:extLst>
                <a:ext uri="{63B3BB69-23CF-44E3-9099-C40C66FF867C}">
                  <a14:compatExt spid="_x0000_s132097"/>
                </a:ext>
                <a:ext uri="{FF2B5EF4-FFF2-40B4-BE49-F238E27FC236}">
                  <a16:creationId xmlns:a16="http://schemas.microsoft.com/office/drawing/2014/main" id="{00000000-0008-0000-2100-000001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32098" name="Button 2" hidden="1">
              <a:extLst>
                <a:ext uri="{63B3BB69-23CF-44E3-9099-C40C66FF867C}">
                  <a14:compatExt spid="_x0000_s132098"/>
                </a:ext>
                <a:ext uri="{FF2B5EF4-FFF2-40B4-BE49-F238E27FC236}">
                  <a16:creationId xmlns:a16="http://schemas.microsoft.com/office/drawing/2014/main" id="{00000000-0008-0000-2100-000002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33121" name="Button 1" hidden="1">
              <a:extLst>
                <a:ext uri="{63B3BB69-23CF-44E3-9099-C40C66FF867C}">
                  <a14:compatExt spid="_x0000_s133121"/>
                </a:ext>
                <a:ext uri="{FF2B5EF4-FFF2-40B4-BE49-F238E27FC236}">
                  <a16:creationId xmlns:a16="http://schemas.microsoft.com/office/drawing/2014/main" id="{00000000-0008-0000-2200-000001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33122" name="Button 2" hidden="1">
              <a:extLst>
                <a:ext uri="{63B3BB69-23CF-44E3-9099-C40C66FF867C}">
                  <a14:compatExt spid="_x0000_s133122"/>
                </a:ext>
                <a:ext uri="{FF2B5EF4-FFF2-40B4-BE49-F238E27FC236}">
                  <a16:creationId xmlns:a16="http://schemas.microsoft.com/office/drawing/2014/main" id="{00000000-0008-0000-2200-000002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id="{00000000-0008-0000-2300-000001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34146" name="Button 2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id="{00000000-0008-0000-2300-000002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24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35170" name="Button 2" hidden="1">
              <a:extLst>
                <a:ext uri="{63B3BB69-23CF-44E3-9099-C40C66FF867C}">
                  <a14:compatExt spid="_x0000_s135170"/>
                </a:ext>
                <a:ext uri="{FF2B5EF4-FFF2-40B4-BE49-F238E27FC236}">
                  <a16:creationId xmlns:a16="http://schemas.microsoft.com/office/drawing/2014/main" id="{00000000-0008-0000-2400-000002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36193" name="Button 1" hidden="1">
              <a:extLst>
                <a:ext uri="{63B3BB69-23CF-44E3-9099-C40C66FF867C}">
                  <a14:compatExt spid="_x0000_s136193"/>
                </a:ext>
                <a:ext uri="{FF2B5EF4-FFF2-40B4-BE49-F238E27FC236}">
                  <a16:creationId xmlns:a16="http://schemas.microsoft.com/office/drawing/2014/main" id="{00000000-0008-0000-2500-000001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36194" name="Button 2" hidden="1">
              <a:extLst>
                <a:ext uri="{63B3BB69-23CF-44E3-9099-C40C66FF867C}">
                  <a14:compatExt spid="_x0000_s136194"/>
                </a:ext>
                <a:ext uri="{FF2B5EF4-FFF2-40B4-BE49-F238E27FC236}">
                  <a16:creationId xmlns:a16="http://schemas.microsoft.com/office/drawing/2014/main" id="{00000000-0008-0000-2500-000002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37217" name="Button 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0000000-0008-0000-2600-00000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37218" name="Button 2" hidden="1">
              <a:extLst>
                <a:ext uri="{63B3BB69-23CF-44E3-9099-C40C66FF867C}">
                  <a14:compatExt spid="_x0000_s137218"/>
                </a:ext>
                <a:ext uri="{FF2B5EF4-FFF2-40B4-BE49-F238E27FC236}">
                  <a16:creationId xmlns:a16="http://schemas.microsoft.com/office/drawing/2014/main" id="{00000000-0008-0000-2600-000002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38241" name="Button 1" hidden="1">
              <a:extLst>
                <a:ext uri="{63B3BB69-23CF-44E3-9099-C40C66FF867C}">
                  <a14:compatExt spid="_x0000_s138241"/>
                </a:ext>
                <a:ext uri="{FF2B5EF4-FFF2-40B4-BE49-F238E27FC236}">
                  <a16:creationId xmlns:a16="http://schemas.microsoft.com/office/drawing/2014/main" id="{00000000-0008-0000-2700-000001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38242" name="Button 2" hidden="1">
              <a:extLst>
                <a:ext uri="{63B3BB69-23CF-44E3-9099-C40C66FF867C}">
                  <a14:compatExt spid="_x0000_s138242"/>
                </a:ext>
                <a:ext uri="{FF2B5EF4-FFF2-40B4-BE49-F238E27FC236}">
                  <a16:creationId xmlns:a16="http://schemas.microsoft.com/office/drawing/2014/main" id="{00000000-0008-0000-2700-000002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28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28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  <a:ext uri="{FF2B5EF4-FFF2-40B4-BE49-F238E27FC236}">
                  <a16:creationId xmlns:a16="http://schemas.microsoft.com/office/drawing/2014/main" id="{00000000-0008-0000-2900-000001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  <a:ext uri="{FF2B5EF4-FFF2-40B4-BE49-F238E27FC236}">
                  <a16:creationId xmlns:a16="http://schemas.microsoft.com/office/drawing/2014/main" id="{00000000-0008-0000-2900-000002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41313" name="Button 1" hidden="1">
              <a:extLst>
                <a:ext uri="{63B3BB69-23CF-44E3-9099-C40C66FF867C}">
                  <a14:compatExt spid="_x0000_s141313"/>
                </a:ext>
                <a:ext uri="{FF2B5EF4-FFF2-40B4-BE49-F238E27FC236}">
                  <a16:creationId xmlns:a16="http://schemas.microsoft.com/office/drawing/2014/main" id="{00000000-0008-0000-2A00-000001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41314" name="Button 2" hidden="1">
              <a:extLst>
                <a:ext uri="{63B3BB69-23CF-44E3-9099-C40C66FF867C}">
                  <a14:compatExt spid="_x0000_s141314"/>
                </a:ext>
                <a:ext uri="{FF2B5EF4-FFF2-40B4-BE49-F238E27FC236}">
                  <a16:creationId xmlns:a16="http://schemas.microsoft.com/office/drawing/2014/main" id="{00000000-0008-0000-2A00-000002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42337" name="Button 1" hidden="1">
              <a:extLst>
                <a:ext uri="{63B3BB69-23CF-44E3-9099-C40C66FF867C}">
                  <a14:compatExt spid="_x0000_s142337"/>
                </a:ext>
                <a:ext uri="{FF2B5EF4-FFF2-40B4-BE49-F238E27FC236}">
                  <a16:creationId xmlns:a16="http://schemas.microsoft.com/office/drawing/2014/main" id="{00000000-0008-0000-2B00-000001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42338" name="Button 2" hidden="1">
              <a:extLst>
                <a:ext uri="{63B3BB69-23CF-44E3-9099-C40C66FF867C}">
                  <a14:compatExt spid="_x0000_s142338"/>
                </a:ext>
                <a:ext uri="{FF2B5EF4-FFF2-40B4-BE49-F238E27FC236}">
                  <a16:creationId xmlns:a16="http://schemas.microsoft.com/office/drawing/2014/main" id="{00000000-0008-0000-2B00-000002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  <a:ext uri="{FF2B5EF4-FFF2-40B4-BE49-F238E27FC236}">
                  <a16:creationId xmlns:a16="http://schemas.microsoft.com/office/drawing/2014/main" id="{00000000-0008-0000-2C00-000001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43362" name="Button 2" hidden="1">
              <a:extLst>
                <a:ext uri="{63B3BB69-23CF-44E3-9099-C40C66FF867C}">
                  <a14:compatExt spid="_x0000_s143362"/>
                </a:ext>
                <a:ext uri="{FF2B5EF4-FFF2-40B4-BE49-F238E27FC236}">
                  <a16:creationId xmlns:a16="http://schemas.microsoft.com/office/drawing/2014/main" id="{00000000-0008-0000-2C00-000002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44385" name="Button 1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2D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44386" name="Button 2" hidden="1">
              <a:extLst>
                <a:ext uri="{63B3BB69-23CF-44E3-9099-C40C66FF867C}">
                  <a14:compatExt spid="_x0000_s144386"/>
                </a:ext>
                <a:ext uri="{FF2B5EF4-FFF2-40B4-BE49-F238E27FC236}">
                  <a16:creationId xmlns:a16="http://schemas.microsoft.com/office/drawing/2014/main" id="{00000000-0008-0000-2D00-000002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45409" name="Button 1" hidden="1">
              <a:extLst>
                <a:ext uri="{63B3BB69-23CF-44E3-9099-C40C66FF867C}">
                  <a14:compatExt spid="_x0000_s145409"/>
                </a:ext>
                <a:ext uri="{FF2B5EF4-FFF2-40B4-BE49-F238E27FC236}">
                  <a16:creationId xmlns:a16="http://schemas.microsoft.com/office/drawing/2014/main" id="{00000000-0008-0000-2E00-000001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45410" name="Button 2" hidden="1">
              <a:extLst>
                <a:ext uri="{63B3BB69-23CF-44E3-9099-C40C66FF867C}">
                  <a14:compatExt spid="_x0000_s145410"/>
                </a:ext>
                <a:ext uri="{FF2B5EF4-FFF2-40B4-BE49-F238E27FC236}">
                  <a16:creationId xmlns:a16="http://schemas.microsoft.com/office/drawing/2014/main" id="{00000000-0008-0000-2E00-000002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46433" name="Button 1" hidden="1">
              <a:extLst>
                <a:ext uri="{63B3BB69-23CF-44E3-9099-C40C66FF867C}">
                  <a14:compatExt spid="_x0000_s146433"/>
                </a:ext>
                <a:ext uri="{FF2B5EF4-FFF2-40B4-BE49-F238E27FC236}">
                  <a16:creationId xmlns:a16="http://schemas.microsoft.com/office/drawing/2014/main" id="{00000000-0008-0000-2F00-000001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46434" name="Button 2" hidden="1">
              <a:extLst>
                <a:ext uri="{63B3BB69-23CF-44E3-9099-C40C66FF867C}">
                  <a14:compatExt spid="_x0000_s146434"/>
                </a:ext>
                <a:ext uri="{FF2B5EF4-FFF2-40B4-BE49-F238E27FC236}">
                  <a16:creationId xmlns:a16="http://schemas.microsoft.com/office/drawing/2014/main" id="{00000000-0008-0000-2F00-000002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30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30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48481" name="Button 1" hidden="1">
              <a:extLst>
                <a:ext uri="{63B3BB69-23CF-44E3-9099-C40C66FF867C}">
                  <a14:compatExt spid="_x0000_s148481"/>
                </a:ext>
                <a:ext uri="{FF2B5EF4-FFF2-40B4-BE49-F238E27FC236}">
                  <a16:creationId xmlns:a16="http://schemas.microsoft.com/office/drawing/2014/main" id="{00000000-0008-0000-3100-000001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31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49505" name="Button 1" hidden="1">
              <a:extLst>
                <a:ext uri="{63B3BB69-23CF-44E3-9099-C40C66FF867C}">
                  <a14:compatExt spid="_x0000_s149505"/>
                </a:ext>
                <a:ext uri="{FF2B5EF4-FFF2-40B4-BE49-F238E27FC236}">
                  <a16:creationId xmlns:a16="http://schemas.microsoft.com/office/drawing/2014/main" id="{00000000-0008-0000-3200-000001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49506" name="Button 2" hidden="1">
              <a:extLst>
                <a:ext uri="{63B3BB69-23CF-44E3-9099-C40C66FF867C}">
                  <a14:compatExt spid="_x0000_s149506"/>
                </a:ext>
                <a:ext uri="{FF2B5EF4-FFF2-40B4-BE49-F238E27FC236}">
                  <a16:creationId xmlns:a16="http://schemas.microsoft.com/office/drawing/2014/main" id="{00000000-0008-0000-3200-000002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50529" name="Button 1" hidden="1">
              <a:extLst>
                <a:ext uri="{63B3BB69-23CF-44E3-9099-C40C66FF867C}">
                  <a14:compatExt spid="_x0000_s150529"/>
                </a:ext>
                <a:ext uri="{FF2B5EF4-FFF2-40B4-BE49-F238E27FC236}">
                  <a16:creationId xmlns:a16="http://schemas.microsoft.com/office/drawing/2014/main" id="{00000000-0008-0000-3300-000001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50530" name="Button 2" hidden="1">
              <a:extLst>
                <a:ext uri="{63B3BB69-23CF-44E3-9099-C40C66FF867C}">
                  <a14:compatExt spid="_x0000_s150530"/>
                </a:ext>
                <a:ext uri="{FF2B5EF4-FFF2-40B4-BE49-F238E27FC236}">
                  <a16:creationId xmlns:a16="http://schemas.microsoft.com/office/drawing/2014/main" id="{00000000-0008-0000-3300-000002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51553" name="Button 1" hidden="1">
              <a:extLst>
                <a:ext uri="{63B3BB69-23CF-44E3-9099-C40C66FF867C}">
                  <a14:compatExt spid="_x0000_s151553"/>
                </a:ext>
                <a:ext uri="{FF2B5EF4-FFF2-40B4-BE49-F238E27FC236}">
                  <a16:creationId xmlns:a16="http://schemas.microsoft.com/office/drawing/2014/main" id="{00000000-0008-0000-3400-000001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51554" name="Button 2" hidden="1">
              <a:extLst>
                <a:ext uri="{63B3BB69-23CF-44E3-9099-C40C66FF867C}">
                  <a14:compatExt spid="_x0000_s151554"/>
                </a:ext>
                <a:ext uri="{FF2B5EF4-FFF2-40B4-BE49-F238E27FC236}">
                  <a16:creationId xmlns:a16="http://schemas.microsoft.com/office/drawing/2014/main" id="{00000000-0008-0000-3400-000002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52577" name="Button 1" hidden="1">
              <a:extLst>
                <a:ext uri="{63B3BB69-23CF-44E3-9099-C40C66FF867C}">
                  <a14:compatExt spid="_x0000_s152577"/>
                </a:ext>
                <a:ext uri="{FF2B5EF4-FFF2-40B4-BE49-F238E27FC236}">
                  <a16:creationId xmlns:a16="http://schemas.microsoft.com/office/drawing/2014/main" id="{00000000-0008-0000-3500-000001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52578" name="Button 2" hidden="1">
              <a:extLst>
                <a:ext uri="{63B3BB69-23CF-44E3-9099-C40C66FF867C}">
                  <a14:compatExt spid="_x0000_s152578"/>
                </a:ext>
                <a:ext uri="{FF2B5EF4-FFF2-40B4-BE49-F238E27FC236}">
                  <a16:creationId xmlns:a16="http://schemas.microsoft.com/office/drawing/2014/main" id="{00000000-0008-0000-3500-000002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36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53602" name="Button 2" hidden="1">
              <a:extLst>
                <a:ext uri="{63B3BB69-23CF-44E3-9099-C40C66FF867C}">
                  <a14:compatExt spid="_x0000_s153602"/>
                </a:ext>
                <a:ext uri="{FF2B5EF4-FFF2-40B4-BE49-F238E27FC236}">
                  <a16:creationId xmlns:a16="http://schemas.microsoft.com/office/drawing/2014/main" id="{00000000-0008-0000-3600-00000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54625" name="Button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00000000-0008-0000-3700-00000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54626" name="Button 2" hidden="1">
              <a:extLst>
                <a:ext uri="{63B3BB69-23CF-44E3-9099-C40C66FF867C}">
                  <a14:compatExt spid="_x0000_s154626"/>
                </a:ext>
                <a:ext uri="{FF2B5EF4-FFF2-40B4-BE49-F238E27FC236}">
                  <a16:creationId xmlns:a16="http://schemas.microsoft.com/office/drawing/2014/main" id="{00000000-0008-0000-3700-00000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38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55650" name="Button 2" hidden="1">
              <a:extLst>
                <a:ext uri="{63B3BB69-23CF-44E3-9099-C40C66FF867C}">
                  <a14:compatExt spid="_x0000_s155650"/>
                </a:ext>
                <a:ext uri="{FF2B5EF4-FFF2-40B4-BE49-F238E27FC236}">
                  <a16:creationId xmlns:a16="http://schemas.microsoft.com/office/drawing/2014/main" id="{00000000-0008-0000-3800-000002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56673" name="Button 1" hidden="1">
              <a:extLst>
                <a:ext uri="{63B3BB69-23CF-44E3-9099-C40C66FF867C}">
                  <a14:compatExt spid="_x0000_s156673"/>
                </a:ext>
                <a:ext uri="{FF2B5EF4-FFF2-40B4-BE49-F238E27FC236}">
                  <a16:creationId xmlns:a16="http://schemas.microsoft.com/office/drawing/2014/main" id="{00000000-0008-0000-3900-000001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56674" name="Button 2" hidden="1">
              <a:extLst>
                <a:ext uri="{63B3BB69-23CF-44E3-9099-C40C66FF867C}">
                  <a14:compatExt spid="_x0000_s156674"/>
                </a:ext>
                <a:ext uri="{FF2B5EF4-FFF2-40B4-BE49-F238E27FC236}">
                  <a16:creationId xmlns:a16="http://schemas.microsoft.com/office/drawing/2014/main" id="{00000000-0008-0000-3900-000002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57697" name="Button 1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3A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57698" name="Button 2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3A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3B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58722" name="Button 2" hidden="1">
              <a:extLst>
                <a:ext uri="{63B3BB69-23CF-44E3-9099-C40C66FF867C}">
                  <a14:compatExt spid="_x0000_s158722"/>
                </a:ext>
                <a:ext uri="{FF2B5EF4-FFF2-40B4-BE49-F238E27FC236}">
                  <a16:creationId xmlns:a16="http://schemas.microsoft.com/office/drawing/2014/main" id="{00000000-0008-0000-3B00-000002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59745" name="Button 1" hidden="1">
              <a:extLst>
                <a:ext uri="{63B3BB69-23CF-44E3-9099-C40C66FF867C}">
                  <a14:compatExt spid="_x0000_s159745"/>
                </a:ext>
                <a:ext uri="{FF2B5EF4-FFF2-40B4-BE49-F238E27FC236}">
                  <a16:creationId xmlns:a16="http://schemas.microsoft.com/office/drawing/2014/main" id="{00000000-0008-0000-3C00-000001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59746" name="Button 2" hidden="1">
              <a:extLst>
                <a:ext uri="{63B3BB69-23CF-44E3-9099-C40C66FF867C}">
                  <a14:compatExt spid="_x0000_s159746"/>
                </a:ext>
                <a:ext uri="{FF2B5EF4-FFF2-40B4-BE49-F238E27FC236}">
                  <a16:creationId xmlns:a16="http://schemas.microsoft.com/office/drawing/2014/main" id="{00000000-0008-0000-3C00-000002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60769" name="Button 1" hidden="1">
              <a:extLst>
                <a:ext uri="{63B3BB69-23CF-44E3-9099-C40C66FF867C}">
                  <a14:compatExt spid="_x0000_s160769"/>
                </a:ext>
                <a:ext uri="{FF2B5EF4-FFF2-40B4-BE49-F238E27FC236}">
                  <a16:creationId xmlns:a16="http://schemas.microsoft.com/office/drawing/2014/main" id="{00000000-0008-0000-3D00-000001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60770" name="Button 2" hidden="1">
              <a:extLst>
                <a:ext uri="{63B3BB69-23CF-44E3-9099-C40C66FF867C}">
                  <a14:compatExt spid="_x0000_s160770"/>
                </a:ext>
                <a:ext uri="{FF2B5EF4-FFF2-40B4-BE49-F238E27FC236}">
                  <a16:creationId xmlns:a16="http://schemas.microsoft.com/office/drawing/2014/main" id="{00000000-0008-0000-3D00-000002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99681" name="Button 1" hidden="1">
              <a:extLst>
                <a:ext uri="{63B3BB69-23CF-44E3-9099-C40C66FF867C}">
                  <a14:compatExt spid="_x0000_s199681"/>
                </a:ext>
                <a:ext uri="{FF2B5EF4-FFF2-40B4-BE49-F238E27FC236}">
                  <a16:creationId xmlns:a16="http://schemas.microsoft.com/office/drawing/2014/main" id="{00000000-0008-0000-3E00-000001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99682" name="Button 2" hidden="1">
              <a:extLst>
                <a:ext uri="{63B3BB69-23CF-44E3-9099-C40C66FF867C}">
                  <a14:compatExt spid="_x0000_s199682"/>
                </a:ext>
                <a:ext uri="{FF2B5EF4-FFF2-40B4-BE49-F238E27FC236}">
                  <a16:creationId xmlns:a16="http://schemas.microsoft.com/office/drawing/2014/main" id="{00000000-0008-0000-3E00-000002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61793" name="Button 1" hidden="1">
              <a:extLst>
                <a:ext uri="{63B3BB69-23CF-44E3-9099-C40C66FF867C}">
                  <a14:compatExt spid="_x0000_s161793"/>
                </a:ext>
                <a:ext uri="{FF2B5EF4-FFF2-40B4-BE49-F238E27FC236}">
                  <a16:creationId xmlns:a16="http://schemas.microsoft.com/office/drawing/2014/main" id="{00000000-0008-0000-3F00-00000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61794" name="Button 2" hidden="1">
              <a:extLst>
                <a:ext uri="{63B3BB69-23CF-44E3-9099-C40C66FF867C}">
                  <a14:compatExt spid="_x0000_s161794"/>
                </a:ext>
                <a:ext uri="{FF2B5EF4-FFF2-40B4-BE49-F238E27FC236}">
                  <a16:creationId xmlns:a16="http://schemas.microsoft.com/office/drawing/2014/main" id="{00000000-0008-0000-3F00-000002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62817" name="Button 1" hidden="1">
              <a:extLst>
                <a:ext uri="{63B3BB69-23CF-44E3-9099-C40C66FF867C}">
                  <a14:compatExt spid="_x0000_s162817"/>
                </a:ext>
                <a:ext uri="{FF2B5EF4-FFF2-40B4-BE49-F238E27FC236}">
                  <a16:creationId xmlns:a16="http://schemas.microsoft.com/office/drawing/2014/main" id="{00000000-0008-0000-4000-000001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62818" name="Button 2" hidden="1">
              <a:extLst>
                <a:ext uri="{63B3BB69-23CF-44E3-9099-C40C66FF867C}">
                  <a14:compatExt spid="_x0000_s162818"/>
                </a:ext>
                <a:ext uri="{FF2B5EF4-FFF2-40B4-BE49-F238E27FC236}">
                  <a16:creationId xmlns:a16="http://schemas.microsoft.com/office/drawing/2014/main" id="{00000000-0008-0000-4000-00000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63841" name="Button 1" hidden="1">
              <a:extLst>
                <a:ext uri="{63B3BB69-23CF-44E3-9099-C40C66FF867C}">
                  <a14:compatExt spid="_x0000_s163841"/>
                </a:ext>
                <a:ext uri="{FF2B5EF4-FFF2-40B4-BE49-F238E27FC236}">
                  <a16:creationId xmlns:a16="http://schemas.microsoft.com/office/drawing/2014/main" id="{00000000-0008-0000-4100-00000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63842" name="Button 2" hidden="1">
              <a:extLst>
                <a:ext uri="{63B3BB69-23CF-44E3-9099-C40C66FF867C}">
                  <a14:compatExt spid="_x0000_s163842"/>
                </a:ext>
                <a:ext uri="{FF2B5EF4-FFF2-40B4-BE49-F238E27FC236}">
                  <a16:creationId xmlns:a16="http://schemas.microsoft.com/office/drawing/2014/main" id="{00000000-0008-0000-4100-00000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64865" name="Button 1" hidden="1">
              <a:extLst>
                <a:ext uri="{63B3BB69-23CF-44E3-9099-C40C66FF867C}">
                  <a14:compatExt spid="_x0000_s164865"/>
                </a:ext>
                <a:ext uri="{FF2B5EF4-FFF2-40B4-BE49-F238E27FC236}">
                  <a16:creationId xmlns:a16="http://schemas.microsoft.com/office/drawing/2014/main" id="{00000000-0008-0000-4200-000001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64866" name="Button 2" hidden="1">
              <a:extLst>
                <a:ext uri="{63B3BB69-23CF-44E3-9099-C40C66FF867C}">
                  <a14:compatExt spid="_x0000_s164866"/>
                </a:ext>
                <a:ext uri="{FF2B5EF4-FFF2-40B4-BE49-F238E27FC236}">
                  <a16:creationId xmlns:a16="http://schemas.microsoft.com/office/drawing/2014/main" id="{00000000-0008-0000-4200-000002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6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65889" name="Button 1" hidden="1">
              <a:extLst>
                <a:ext uri="{63B3BB69-23CF-44E3-9099-C40C66FF867C}">
                  <a14:compatExt spid="_x0000_s165889"/>
                </a:ext>
                <a:ext uri="{FF2B5EF4-FFF2-40B4-BE49-F238E27FC236}">
                  <a16:creationId xmlns:a16="http://schemas.microsoft.com/office/drawing/2014/main" id="{00000000-0008-0000-4300-000001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65890" name="Button 2" hidden="1">
              <a:extLst>
                <a:ext uri="{63B3BB69-23CF-44E3-9099-C40C66FF867C}">
                  <a14:compatExt spid="_x0000_s165890"/>
                </a:ext>
                <a:ext uri="{FF2B5EF4-FFF2-40B4-BE49-F238E27FC236}">
                  <a16:creationId xmlns:a16="http://schemas.microsoft.com/office/drawing/2014/main" id="{00000000-0008-0000-4300-000002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6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66913" name="Button 1" hidden="1">
              <a:extLst>
                <a:ext uri="{63B3BB69-23CF-44E3-9099-C40C66FF867C}">
                  <a14:compatExt spid="_x0000_s166913"/>
                </a:ext>
                <a:ext uri="{FF2B5EF4-FFF2-40B4-BE49-F238E27FC236}">
                  <a16:creationId xmlns:a16="http://schemas.microsoft.com/office/drawing/2014/main" id="{00000000-0008-0000-4400-00000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66914" name="Button 2" hidden="1">
              <a:extLst>
                <a:ext uri="{63B3BB69-23CF-44E3-9099-C40C66FF867C}">
                  <a14:compatExt spid="_x0000_s166914"/>
                </a:ext>
                <a:ext uri="{FF2B5EF4-FFF2-40B4-BE49-F238E27FC236}">
                  <a16:creationId xmlns:a16="http://schemas.microsoft.com/office/drawing/2014/main" id="{00000000-0008-0000-4400-00000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7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67937" name="Button 1" hidden="1">
              <a:extLst>
                <a:ext uri="{63B3BB69-23CF-44E3-9099-C40C66FF867C}">
                  <a14:compatExt spid="_x0000_s167937"/>
                </a:ext>
                <a:ext uri="{FF2B5EF4-FFF2-40B4-BE49-F238E27FC236}">
                  <a16:creationId xmlns:a16="http://schemas.microsoft.com/office/drawing/2014/main" id="{00000000-0008-0000-4500-000001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67938" name="Button 2" hidden="1">
              <a:extLst>
                <a:ext uri="{63B3BB69-23CF-44E3-9099-C40C66FF867C}">
                  <a14:compatExt spid="_x0000_s167938"/>
                </a:ext>
                <a:ext uri="{FF2B5EF4-FFF2-40B4-BE49-F238E27FC236}">
                  <a16:creationId xmlns:a16="http://schemas.microsoft.com/office/drawing/2014/main" id="{00000000-0008-0000-4500-000002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7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68961" name="Button 1" hidden="1">
              <a:extLst>
                <a:ext uri="{63B3BB69-23CF-44E3-9099-C40C66FF867C}">
                  <a14:compatExt spid="_x0000_s168961"/>
                </a:ext>
                <a:ext uri="{FF2B5EF4-FFF2-40B4-BE49-F238E27FC236}">
                  <a16:creationId xmlns:a16="http://schemas.microsoft.com/office/drawing/2014/main" id="{00000000-0008-0000-4600-000001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68962" name="Button 2" hidden="1">
              <a:extLst>
                <a:ext uri="{63B3BB69-23CF-44E3-9099-C40C66FF867C}">
                  <a14:compatExt spid="_x0000_s168962"/>
                </a:ext>
                <a:ext uri="{FF2B5EF4-FFF2-40B4-BE49-F238E27FC236}">
                  <a16:creationId xmlns:a16="http://schemas.microsoft.com/office/drawing/2014/main" id="{00000000-0008-0000-4600-000002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7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69985" name="Button 1" hidden="1">
              <a:extLst>
                <a:ext uri="{63B3BB69-23CF-44E3-9099-C40C66FF867C}">
                  <a14:compatExt spid="_x0000_s169985"/>
                </a:ext>
                <a:ext uri="{FF2B5EF4-FFF2-40B4-BE49-F238E27FC236}">
                  <a16:creationId xmlns:a16="http://schemas.microsoft.com/office/drawing/2014/main" id="{00000000-0008-0000-4700-0000019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69986" name="Button 2" hidden="1">
              <a:extLst>
                <a:ext uri="{63B3BB69-23CF-44E3-9099-C40C66FF867C}">
                  <a14:compatExt spid="_x0000_s169986"/>
                </a:ext>
                <a:ext uri="{FF2B5EF4-FFF2-40B4-BE49-F238E27FC236}">
                  <a16:creationId xmlns:a16="http://schemas.microsoft.com/office/drawing/2014/main" id="{00000000-0008-0000-4700-0000029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7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71009" name="Button 1" hidden="1">
              <a:extLst>
                <a:ext uri="{63B3BB69-23CF-44E3-9099-C40C66FF867C}">
                  <a14:compatExt spid="_x0000_s171009"/>
                </a:ext>
                <a:ext uri="{FF2B5EF4-FFF2-40B4-BE49-F238E27FC236}">
                  <a16:creationId xmlns:a16="http://schemas.microsoft.com/office/drawing/2014/main" id="{00000000-0008-0000-4800-0000019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71010" name="Button 2" hidden="1">
              <a:extLst>
                <a:ext uri="{63B3BB69-23CF-44E3-9099-C40C66FF867C}">
                  <a14:compatExt spid="_x0000_s171010"/>
                </a:ext>
                <a:ext uri="{FF2B5EF4-FFF2-40B4-BE49-F238E27FC236}">
                  <a16:creationId xmlns:a16="http://schemas.microsoft.com/office/drawing/2014/main" id="{00000000-0008-0000-4800-0000029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7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72033" name="Button 1" hidden="1">
              <a:extLst>
                <a:ext uri="{63B3BB69-23CF-44E3-9099-C40C66FF867C}">
                  <a14:compatExt spid="_x0000_s172033"/>
                </a:ext>
                <a:ext uri="{FF2B5EF4-FFF2-40B4-BE49-F238E27FC236}">
                  <a16:creationId xmlns:a16="http://schemas.microsoft.com/office/drawing/2014/main" id="{00000000-0008-0000-4900-000001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72034" name="Button 2" hidden="1">
              <a:extLst>
                <a:ext uri="{63B3BB69-23CF-44E3-9099-C40C66FF867C}">
                  <a14:compatExt spid="_x0000_s172034"/>
                </a:ext>
                <a:ext uri="{FF2B5EF4-FFF2-40B4-BE49-F238E27FC236}">
                  <a16:creationId xmlns:a16="http://schemas.microsoft.com/office/drawing/2014/main" id="{00000000-0008-0000-4900-000002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7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4A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4A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7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74081" name="Button 1" hidden="1">
              <a:extLst>
                <a:ext uri="{63B3BB69-23CF-44E3-9099-C40C66FF867C}">
                  <a14:compatExt spid="_x0000_s174081"/>
                </a:ext>
                <a:ext uri="{FF2B5EF4-FFF2-40B4-BE49-F238E27FC236}">
                  <a16:creationId xmlns:a16="http://schemas.microsoft.com/office/drawing/2014/main" id="{00000000-0008-0000-4B00-000001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74082" name="Button 2" hidden="1">
              <a:extLst>
                <a:ext uri="{63B3BB69-23CF-44E3-9099-C40C66FF867C}">
                  <a14:compatExt spid="_x0000_s174082"/>
                </a:ext>
                <a:ext uri="{FF2B5EF4-FFF2-40B4-BE49-F238E27FC236}">
                  <a16:creationId xmlns:a16="http://schemas.microsoft.com/office/drawing/2014/main" id="{00000000-0008-0000-4B00-000002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7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75105" name="Button 1" hidden="1">
              <a:extLst>
                <a:ext uri="{63B3BB69-23CF-44E3-9099-C40C66FF867C}">
                  <a14:compatExt spid="_x0000_s175105"/>
                </a:ext>
                <a:ext uri="{FF2B5EF4-FFF2-40B4-BE49-F238E27FC236}">
                  <a16:creationId xmlns:a16="http://schemas.microsoft.com/office/drawing/2014/main" id="{00000000-0008-0000-4C00-000001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75106" name="Button 2" hidden="1">
              <a:extLst>
                <a:ext uri="{63B3BB69-23CF-44E3-9099-C40C66FF867C}">
                  <a14:compatExt spid="_x0000_s175106"/>
                </a:ext>
                <a:ext uri="{FF2B5EF4-FFF2-40B4-BE49-F238E27FC236}">
                  <a16:creationId xmlns:a16="http://schemas.microsoft.com/office/drawing/2014/main" id="{00000000-0008-0000-4C00-000002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7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76129" name="Button 1" hidden="1">
              <a:extLst>
                <a:ext uri="{63B3BB69-23CF-44E3-9099-C40C66FF867C}">
                  <a14:compatExt spid="_x0000_s176129"/>
                </a:ext>
                <a:ext uri="{FF2B5EF4-FFF2-40B4-BE49-F238E27FC236}">
                  <a16:creationId xmlns:a16="http://schemas.microsoft.com/office/drawing/2014/main" id="{00000000-0008-0000-4D00-000001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76130" name="Button 2" hidden="1">
              <a:extLst>
                <a:ext uri="{63B3BB69-23CF-44E3-9099-C40C66FF867C}">
                  <a14:compatExt spid="_x0000_s176130"/>
                </a:ext>
                <a:ext uri="{FF2B5EF4-FFF2-40B4-BE49-F238E27FC236}">
                  <a16:creationId xmlns:a16="http://schemas.microsoft.com/office/drawing/2014/main" id="{00000000-0008-0000-4D00-000002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7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77153" name="Button 1" hidden="1">
              <a:extLst>
                <a:ext uri="{63B3BB69-23CF-44E3-9099-C40C66FF867C}">
                  <a14:compatExt spid="_x0000_s177153"/>
                </a:ext>
                <a:ext uri="{FF2B5EF4-FFF2-40B4-BE49-F238E27FC236}">
                  <a16:creationId xmlns:a16="http://schemas.microsoft.com/office/drawing/2014/main" id="{00000000-0008-0000-4E00-000001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77154" name="Button 2" hidden="1">
              <a:extLst>
                <a:ext uri="{63B3BB69-23CF-44E3-9099-C40C66FF867C}">
                  <a14:compatExt spid="_x0000_s177154"/>
                </a:ext>
                <a:ext uri="{FF2B5EF4-FFF2-40B4-BE49-F238E27FC236}">
                  <a16:creationId xmlns:a16="http://schemas.microsoft.com/office/drawing/2014/main" id="{00000000-0008-0000-4E00-000002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8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78177" name="Button 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4F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78178" name="Button 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4F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8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79201" name="Button 1" hidden="1">
              <a:extLst>
                <a:ext uri="{63B3BB69-23CF-44E3-9099-C40C66FF867C}">
                  <a14:compatExt spid="_x0000_s179201"/>
                </a:ext>
                <a:ext uri="{FF2B5EF4-FFF2-40B4-BE49-F238E27FC236}">
                  <a16:creationId xmlns:a16="http://schemas.microsoft.com/office/drawing/2014/main" id="{00000000-0008-0000-5000-000001B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79202" name="Button 2" hidden="1">
              <a:extLst>
                <a:ext uri="{63B3BB69-23CF-44E3-9099-C40C66FF867C}">
                  <a14:compatExt spid="_x0000_s179202"/>
                </a:ext>
                <a:ext uri="{FF2B5EF4-FFF2-40B4-BE49-F238E27FC236}">
                  <a16:creationId xmlns:a16="http://schemas.microsoft.com/office/drawing/2014/main" id="{00000000-0008-0000-5000-000002B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8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80225" name="Button 1" hidden="1">
              <a:extLst>
                <a:ext uri="{63B3BB69-23CF-44E3-9099-C40C66FF867C}">
                  <a14:compatExt spid="_x0000_s180225"/>
                </a:ext>
                <a:ext uri="{FF2B5EF4-FFF2-40B4-BE49-F238E27FC236}">
                  <a16:creationId xmlns:a16="http://schemas.microsoft.com/office/drawing/2014/main" id="{00000000-0008-0000-5100-000001C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80226" name="Button 2" hidden="1">
              <a:extLst>
                <a:ext uri="{63B3BB69-23CF-44E3-9099-C40C66FF867C}">
                  <a14:compatExt spid="_x0000_s180226"/>
                </a:ext>
                <a:ext uri="{FF2B5EF4-FFF2-40B4-BE49-F238E27FC236}">
                  <a16:creationId xmlns:a16="http://schemas.microsoft.com/office/drawing/2014/main" id="{00000000-0008-0000-5100-000002C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8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81249" name="Button 1" hidden="1">
              <a:extLst>
                <a:ext uri="{63B3BB69-23CF-44E3-9099-C40C66FF867C}">
                  <a14:compatExt spid="_x0000_s181249"/>
                </a:ext>
                <a:ext uri="{FF2B5EF4-FFF2-40B4-BE49-F238E27FC236}">
                  <a16:creationId xmlns:a16="http://schemas.microsoft.com/office/drawing/2014/main" id="{00000000-0008-0000-5200-000001C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81250" name="Button 2" hidden="1">
              <a:extLst>
                <a:ext uri="{63B3BB69-23CF-44E3-9099-C40C66FF867C}">
                  <a14:compatExt spid="_x0000_s181250"/>
                </a:ext>
                <a:ext uri="{FF2B5EF4-FFF2-40B4-BE49-F238E27FC236}">
                  <a16:creationId xmlns:a16="http://schemas.microsoft.com/office/drawing/2014/main" id="{00000000-0008-0000-5200-000002C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8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82273" name="Button 1" hidden="1">
              <a:extLst>
                <a:ext uri="{63B3BB69-23CF-44E3-9099-C40C66FF867C}">
                  <a14:compatExt spid="_x0000_s182273"/>
                </a:ext>
                <a:ext uri="{FF2B5EF4-FFF2-40B4-BE49-F238E27FC236}">
                  <a16:creationId xmlns:a16="http://schemas.microsoft.com/office/drawing/2014/main" id="{00000000-0008-0000-5300-000001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82274" name="Button 2" hidden="1">
              <a:extLst>
                <a:ext uri="{63B3BB69-23CF-44E3-9099-C40C66FF867C}">
                  <a14:compatExt spid="_x0000_s182274"/>
                </a:ext>
                <a:ext uri="{FF2B5EF4-FFF2-40B4-BE49-F238E27FC236}">
                  <a16:creationId xmlns:a16="http://schemas.microsoft.com/office/drawing/2014/main" id="{00000000-0008-0000-5300-000002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8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83297" name="Button 1" hidden="1">
              <a:extLst>
                <a:ext uri="{63B3BB69-23CF-44E3-9099-C40C66FF867C}">
                  <a14:compatExt spid="_x0000_s183297"/>
                </a:ext>
                <a:ext uri="{FF2B5EF4-FFF2-40B4-BE49-F238E27FC236}">
                  <a16:creationId xmlns:a16="http://schemas.microsoft.com/office/drawing/2014/main" id="{00000000-0008-0000-5400-000001C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83298" name="Button 2" hidden="1">
              <a:extLst>
                <a:ext uri="{63B3BB69-23CF-44E3-9099-C40C66FF867C}">
                  <a14:compatExt spid="_x0000_s183298"/>
                </a:ext>
                <a:ext uri="{FF2B5EF4-FFF2-40B4-BE49-F238E27FC236}">
                  <a16:creationId xmlns:a16="http://schemas.microsoft.com/office/drawing/2014/main" id="{00000000-0008-0000-5400-000002C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8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84321" name="Button 1" hidden="1">
              <a:extLst>
                <a:ext uri="{63B3BB69-23CF-44E3-9099-C40C66FF867C}">
                  <a14:compatExt spid="_x0000_s184321"/>
                </a:ext>
                <a:ext uri="{FF2B5EF4-FFF2-40B4-BE49-F238E27FC236}">
                  <a16:creationId xmlns:a16="http://schemas.microsoft.com/office/drawing/2014/main" id="{00000000-0008-0000-5500-000001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84322" name="Button 2" hidden="1">
              <a:extLst>
                <a:ext uri="{63B3BB69-23CF-44E3-9099-C40C66FF867C}">
                  <a14:compatExt spid="_x0000_s184322"/>
                </a:ext>
                <a:ext uri="{FF2B5EF4-FFF2-40B4-BE49-F238E27FC236}">
                  <a16:creationId xmlns:a16="http://schemas.microsoft.com/office/drawing/2014/main" id="{00000000-0008-0000-5500-000002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8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85345" name="Button 1" hidden="1">
              <a:extLst>
                <a:ext uri="{63B3BB69-23CF-44E3-9099-C40C66FF867C}">
                  <a14:compatExt spid="_x0000_s185345"/>
                </a:ext>
                <a:ext uri="{FF2B5EF4-FFF2-40B4-BE49-F238E27FC236}">
                  <a16:creationId xmlns:a16="http://schemas.microsoft.com/office/drawing/2014/main" id="{00000000-0008-0000-5600-000001D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85346" name="Button 2" hidden="1">
              <a:extLst>
                <a:ext uri="{63B3BB69-23CF-44E3-9099-C40C66FF867C}">
                  <a14:compatExt spid="_x0000_s185346"/>
                </a:ext>
                <a:ext uri="{FF2B5EF4-FFF2-40B4-BE49-F238E27FC236}">
                  <a16:creationId xmlns:a16="http://schemas.microsoft.com/office/drawing/2014/main" id="{00000000-0008-0000-5600-000002D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8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86369" name="Button 1" hidden="1">
              <a:extLst>
                <a:ext uri="{63B3BB69-23CF-44E3-9099-C40C66FF867C}">
                  <a14:compatExt spid="_x0000_s186369"/>
                </a:ext>
                <a:ext uri="{FF2B5EF4-FFF2-40B4-BE49-F238E27FC236}">
                  <a16:creationId xmlns:a16="http://schemas.microsoft.com/office/drawing/2014/main" id="{00000000-0008-0000-5700-000001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86370" name="Button 2" hidden="1">
              <a:extLst>
                <a:ext uri="{63B3BB69-23CF-44E3-9099-C40C66FF867C}">
                  <a14:compatExt spid="_x0000_s186370"/>
                </a:ext>
                <a:ext uri="{FF2B5EF4-FFF2-40B4-BE49-F238E27FC236}">
                  <a16:creationId xmlns:a16="http://schemas.microsoft.com/office/drawing/2014/main" id="{00000000-0008-0000-5700-000002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8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  <a:ext uri="{FF2B5EF4-FFF2-40B4-BE49-F238E27FC236}">
                  <a16:creationId xmlns:a16="http://schemas.microsoft.com/office/drawing/2014/main" id="{00000000-0008-0000-5800-000001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  <a:ext uri="{FF2B5EF4-FFF2-40B4-BE49-F238E27FC236}">
                  <a16:creationId xmlns:a16="http://schemas.microsoft.com/office/drawing/2014/main" id="{00000000-0008-0000-5800-000002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9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88417" name="Button 1" hidden="1">
              <a:extLst>
                <a:ext uri="{63B3BB69-23CF-44E3-9099-C40C66FF867C}">
                  <a14:compatExt spid="_x0000_s188417"/>
                </a:ext>
                <a:ext uri="{FF2B5EF4-FFF2-40B4-BE49-F238E27FC236}">
                  <a16:creationId xmlns:a16="http://schemas.microsoft.com/office/drawing/2014/main" id="{00000000-0008-0000-5900-000001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88418" name="Button 2" hidden="1">
              <a:extLst>
                <a:ext uri="{63B3BB69-23CF-44E3-9099-C40C66FF867C}">
                  <a14:compatExt spid="_x0000_s188418"/>
                </a:ext>
                <a:ext uri="{FF2B5EF4-FFF2-40B4-BE49-F238E27FC236}">
                  <a16:creationId xmlns:a16="http://schemas.microsoft.com/office/drawing/2014/main" id="{00000000-0008-0000-5900-000002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9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89441" name="Button 1" hidden="1">
              <a:extLst>
                <a:ext uri="{63B3BB69-23CF-44E3-9099-C40C66FF867C}">
                  <a14:compatExt spid="_x0000_s189441"/>
                </a:ext>
                <a:ext uri="{FF2B5EF4-FFF2-40B4-BE49-F238E27FC236}">
                  <a16:creationId xmlns:a16="http://schemas.microsoft.com/office/drawing/2014/main" id="{00000000-0008-0000-5A00-000001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89442" name="Button 2" hidden="1">
              <a:extLst>
                <a:ext uri="{63B3BB69-23CF-44E3-9099-C40C66FF867C}">
                  <a14:compatExt spid="_x0000_s189442"/>
                </a:ext>
                <a:ext uri="{FF2B5EF4-FFF2-40B4-BE49-F238E27FC236}">
                  <a16:creationId xmlns:a16="http://schemas.microsoft.com/office/drawing/2014/main" id="{00000000-0008-0000-5A00-000002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9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90465" name="Button 1" hidden="1">
              <a:extLst>
                <a:ext uri="{63B3BB69-23CF-44E3-9099-C40C66FF867C}">
                  <a14:compatExt spid="_x0000_s190465"/>
                </a:ext>
                <a:ext uri="{FF2B5EF4-FFF2-40B4-BE49-F238E27FC236}">
                  <a16:creationId xmlns:a16="http://schemas.microsoft.com/office/drawing/2014/main" id="{00000000-0008-0000-5B00-000001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90466" name="Button 2" hidden="1">
              <a:extLst>
                <a:ext uri="{63B3BB69-23CF-44E3-9099-C40C66FF867C}">
                  <a14:compatExt spid="_x0000_s190466"/>
                </a:ext>
                <a:ext uri="{FF2B5EF4-FFF2-40B4-BE49-F238E27FC236}">
                  <a16:creationId xmlns:a16="http://schemas.microsoft.com/office/drawing/2014/main" id="{00000000-0008-0000-5B00-000002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9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91489" name="Button 1" hidden="1">
              <a:extLst>
                <a:ext uri="{63B3BB69-23CF-44E3-9099-C40C66FF867C}">
                  <a14:compatExt spid="_x0000_s191489"/>
                </a:ext>
                <a:ext uri="{FF2B5EF4-FFF2-40B4-BE49-F238E27FC236}">
                  <a16:creationId xmlns:a16="http://schemas.microsoft.com/office/drawing/2014/main" id="{00000000-0008-0000-5C00-000001E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91490" name="Button 2" hidden="1">
              <a:extLst>
                <a:ext uri="{63B3BB69-23CF-44E3-9099-C40C66FF867C}">
                  <a14:compatExt spid="_x0000_s191490"/>
                </a:ext>
                <a:ext uri="{FF2B5EF4-FFF2-40B4-BE49-F238E27FC236}">
                  <a16:creationId xmlns:a16="http://schemas.microsoft.com/office/drawing/2014/main" id="{00000000-0008-0000-5C00-000002E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9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92513" name="Button 1" hidden="1">
              <a:extLst>
                <a:ext uri="{63B3BB69-23CF-44E3-9099-C40C66FF867C}">
                  <a14:compatExt spid="_x0000_s192513"/>
                </a:ext>
                <a:ext uri="{FF2B5EF4-FFF2-40B4-BE49-F238E27FC236}">
                  <a16:creationId xmlns:a16="http://schemas.microsoft.com/office/drawing/2014/main" id="{00000000-0008-0000-5D00-000001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92514" name="Button 2" hidden="1">
              <a:extLst>
                <a:ext uri="{63B3BB69-23CF-44E3-9099-C40C66FF867C}">
                  <a14:compatExt spid="_x0000_s192514"/>
                </a:ext>
                <a:ext uri="{FF2B5EF4-FFF2-40B4-BE49-F238E27FC236}">
                  <a16:creationId xmlns:a16="http://schemas.microsoft.com/office/drawing/2014/main" id="{00000000-0008-0000-5D00-000002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9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93537" name="Button 1" hidden="1">
              <a:extLst>
                <a:ext uri="{63B3BB69-23CF-44E3-9099-C40C66FF867C}">
                  <a14:compatExt spid="_x0000_s193537"/>
                </a:ext>
                <a:ext uri="{FF2B5EF4-FFF2-40B4-BE49-F238E27FC236}">
                  <a16:creationId xmlns:a16="http://schemas.microsoft.com/office/drawing/2014/main" id="{00000000-0008-0000-5E00-000001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93538" name="Button 2" hidden="1">
              <a:extLst>
                <a:ext uri="{63B3BB69-23CF-44E3-9099-C40C66FF867C}">
                  <a14:compatExt spid="_x0000_s193538"/>
                </a:ext>
                <a:ext uri="{FF2B5EF4-FFF2-40B4-BE49-F238E27FC236}">
                  <a16:creationId xmlns:a16="http://schemas.microsoft.com/office/drawing/2014/main" id="{00000000-0008-0000-5E00-000002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9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94561" name="Button 1" hidden="1">
              <a:extLst>
                <a:ext uri="{63B3BB69-23CF-44E3-9099-C40C66FF867C}">
                  <a14:compatExt spid="_x0000_s194561"/>
                </a:ext>
                <a:ext uri="{FF2B5EF4-FFF2-40B4-BE49-F238E27FC236}">
                  <a16:creationId xmlns:a16="http://schemas.microsoft.com/office/drawing/2014/main" id="{00000000-0008-0000-5F00-000001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94562" name="Button 2" hidden="1">
              <a:extLst>
                <a:ext uri="{63B3BB69-23CF-44E3-9099-C40C66FF867C}">
                  <a14:compatExt spid="_x0000_s194562"/>
                </a:ext>
                <a:ext uri="{FF2B5EF4-FFF2-40B4-BE49-F238E27FC236}">
                  <a16:creationId xmlns:a16="http://schemas.microsoft.com/office/drawing/2014/main" id="{00000000-0008-0000-5F00-000002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9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95585" name="Button 1" hidden="1">
              <a:extLst>
                <a:ext uri="{63B3BB69-23CF-44E3-9099-C40C66FF867C}">
                  <a14:compatExt spid="_x0000_s195585"/>
                </a:ext>
                <a:ext uri="{FF2B5EF4-FFF2-40B4-BE49-F238E27FC236}">
                  <a16:creationId xmlns:a16="http://schemas.microsoft.com/office/drawing/2014/main" id="{00000000-0008-0000-6000-000001F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95586" name="Button 2" hidden="1">
              <a:extLst>
                <a:ext uri="{63B3BB69-23CF-44E3-9099-C40C66FF867C}">
                  <a14:compatExt spid="_x0000_s195586"/>
                </a:ext>
                <a:ext uri="{FF2B5EF4-FFF2-40B4-BE49-F238E27FC236}">
                  <a16:creationId xmlns:a16="http://schemas.microsoft.com/office/drawing/2014/main" id="{00000000-0008-0000-6000-000002F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9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96609" name="Button 1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id="{00000000-0008-0000-6100-000001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96610" name="Button 2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id="{00000000-0008-0000-6100-000002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9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197633" name="Button 1" hidden="1">
              <a:extLst>
                <a:ext uri="{63B3BB69-23CF-44E3-9099-C40C66FF867C}">
                  <a14:compatExt spid="_x0000_s197633"/>
                </a:ext>
                <a:ext uri="{FF2B5EF4-FFF2-40B4-BE49-F238E27FC236}">
                  <a16:creationId xmlns:a16="http://schemas.microsoft.com/office/drawing/2014/main" id="{00000000-0008-0000-6200-0000010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197634" name="Button 2" hidden="1">
              <a:extLst>
                <a:ext uri="{63B3BB69-23CF-44E3-9099-C40C66FF867C}">
                  <a14:compatExt spid="_x0000_s197634"/>
                </a:ext>
                <a:ext uri="{FF2B5EF4-FFF2-40B4-BE49-F238E27FC236}">
                  <a16:creationId xmlns:a16="http://schemas.microsoft.com/office/drawing/2014/main" id="{00000000-0008-0000-6200-0000020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10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237569" name="Button 1" hidden="1">
              <a:extLst>
                <a:ext uri="{63B3BB69-23CF-44E3-9099-C40C66FF867C}">
                  <a14:compatExt spid="_x0000_s237569"/>
                </a:ext>
                <a:ext uri="{FF2B5EF4-FFF2-40B4-BE49-F238E27FC236}">
                  <a16:creationId xmlns:a16="http://schemas.microsoft.com/office/drawing/2014/main" id="{00000000-0008-0000-6300-000001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237570" name="Button 2" hidden="1">
              <a:extLst>
                <a:ext uri="{63B3BB69-23CF-44E3-9099-C40C66FF867C}">
                  <a14:compatExt spid="_x0000_s237570"/>
                </a:ext>
                <a:ext uri="{FF2B5EF4-FFF2-40B4-BE49-F238E27FC236}">
                  <a16:creationId xmlns:a16="http://schemas.microsoft.com/office/drawing/2014/main" id="{00000000-0008-0000-6300-000002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10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4</xdr:col>
          <xdr:colOff>1038225</xdr:colOff>
          <xdr:row>0</xdr:row>
          <xdr:rowOff>352425</xdr:rowOff>
        </xdr:to>
        <xdr:sp macro="" textlink="">
          <xdr:nvSpPr>
            <xdr:cNvPr id="238593" name="Button 1" hidden="1">
              <a:extLst>
                <a:ext uri="{63B3BB69-23CF-44E3-9099-C40C66FF867C}">
                  <a14:compatExt spid="_x0000_s238593"/>
                </a:ext>
                <a:ext uri="{FF2B5EF4-FFF2-40B4-BE49-F238E27FC236}">
                  <a16:creationId xmlns:a16="http://schemas.microsoft.com/office/drawing/2014/main" id="{00000000-0008-0000-6400-000001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19050</xdr:rowOff>
        </xdr:from>
        <xdr:to>
          <xdr:col>6</xdr:col>
          <xdr:colOff>0</xdr:colOff>
          <xdr:row>0</xdr:row>
          <xdr:rowOff>352425</xdr:rowOff>
        </xdr:to>
        <xdr:sp macro="" textlink="">
          <xdr:nvSpPr>
            <xdr:cNvPr id="238594" name="Button 2" hidden="1">
              <a:extLst>
                <a:ext uri="{63B3BB69-23CF-44E3-9099-C40C66FF867C}">
                  <a14:compatExt spid="_x0000_s238594"/>
                </a:ext>
                <a:ext uri="{FF2B5EF4-FFF2-40B4-BE49-F238E27FC236}">
                  <a16:creationId xmlns:a16="http://schemas.microsoft.com/office/drawing/2014/main" id="{00000000-0008-0000-6400-000002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900" b="1" i="0" u="none" strike="noStrike" baseline="0">
                  <a:solidFill>
                    <a:srgbClr val="000000"/>
                  </a:solidFill>
                  <a:latin typeface="Calibri"/>
                </a:rPr>
                <a:t>DESPROTEGER HOJA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4" Type="http://schemas.openxmlformats.org/officeDocument/2006/relationships/ctrlProp" Target="../ctrlProps/ctrlProp4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ctrlProp" Target="../ctrlProps/ctrlProp4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ctrlProp" Target="../ctrlProps/ctrlProp4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4" Type="http://schemas.openxmlformats.org/officeDocument/2006/relationships/ctrlProp" Target="../ctrlProps/ctrlProp5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ctrlProp" Target="../ctrlProps/ctrlProp5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ctrlProp" Target="../ctrlProps/ctrlProp5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4" Type="http://schemas.openxmlformats.org/officeDocument/2006/relationships/ctrlProp" Target="../ctrlProps/ctrlProp5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ctrlProp" Target="../ctrlProps/ctrlProp5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ctrlProp" Target="../ctrlProps/ctrlProp6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4" Type="http://schemas.openxmlformats.org/officeDocument/2006/relationships/ctrlProp" Target="../ctrlProps/ctrlProp6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ctrlProp" Target="../ctrlProps/ctrlProp6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ctrlProp" Target="../ctrlProps/ctrlProp6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4" Type="http://schemas.openxmlformats.org/officeDocument/2006/relationships/ctrlProp" Target="../ctrlProps/ctrlProp6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ctrlProp" Target="../ctrlProps/ctrlProp7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ctrlProp" Target="../ctrlProps/ctrlProp7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4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4" Type="http://schemas.openxmlformats.org/officeDocument/2006/relationships/ctrlProp" Target="../ctrlProps/ctrlProp7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6.xml"/><Relationship Id="rId2" Type="http://schemas.openxmlformats.org/officeDocument/2006/relationships/vmlDrawing" Target="../drawings/vmlDrawing38.vml"/><Relationship Id="rId1" Type="http://schemas.openxmlformats.org/officeDocument/2006/relationships/drawing" Target="../drawings/drawing38.xml"/><Relationship Id="rId4" Type="http://schemas.openxmlformats.org/officeDocument/2006/relationships/ctrlProp" Target="../ctrlProps/ctrlProp77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8.xml"/><Relationship Id="rId2" Type="http://schemas.openxmlformats.org/officeDocument/2006/relationships/vmlDrawing" Target="../drawings/vmlDrawing39.vml"/><Relationship Id="rId1" Type="http://schemas.openxmlformats.org/officeDocument/2006/relationships/drawing" Target="../drawings/drawing39.xml"/><Relationship Id="rId4" Type="http://schemas.openxmlformats.org/officeDocument/2006/relationships/ctrlProp" Target="../ctrlProps/ctrlProp7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0.xml"/><Relationship Id="rId2" Type="http://schemas.openxmlformats.org/officeDocument/2006/relationships/vmlDrawing" Target="../drawings/vmlDrawing40.vml"/><Relationship Id="rId1" Type="http://schemas.openxmlformats.org/officeDocument/2006/relationships/drawing" Target="../drawings/drawing40.xml"/><Relationship Id="rId4" Type="http://schemas.openxmlformats.org/officeDocument/2006/relationships/ctrlProp" Target="../ctrlProps/ctrlProp81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2.xml"/><Relationship Id="rId2" Type="http://schemas.openxmlformats.org/officeDocument/2006/relationships/vmlDrawing" Target="../drawings/vmlDrawing41.vml"/><Relationship Id="rId1" Type="http://schemas.openxmlformats.org/officeDocument/2006/relationships/drawing" Target="../drawings/drawing41.xml"/><Relationship Id="rId4" Type="http://schemas.openxmlformats.org/officeDocument/2006/relationships/ctrlProp" Target="../ctrlProps/ctrlProp83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5.xml"/><Relationship Id="rId4" Type="http://schemas.openxmlformats.org/officeDocument/2006/relationships/ctrlProp" Target="../ctrlProps/ctrlProp8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6.xml"/><Relationship Id="rId2" Type="http://schemas.openxmlformats.org/officeDocument/2006/relationships/vmlDrawing" Target="../drawings/vmlDrawing43.vml"/><Relationship Id="rId1" Type="http://schemas.openxmlformats.org/officeDocument/2006/relationships/drawing" Target="../drawings/drawing43.xml"/><Relationship Id="rId4" Type="http://schemas.openxmlformats.org/officeDocument/2006/relationships/ctrlProp" Target="../ctrlProps/ctrlProp87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8.xml"/><Relationship Id="rId2" Type="http://schemas.openxmlformats.org/officeDocument/2006/relationships/vmlDrawing" Target="../drawings/vmlDrawing44.vml"/><Relationship Id="rId1" Type="http://schemas.openxmlformats.org/officeDocument/2006/relationships/drawing" Target="../drawings/drawing44.xml"/><Relationship Id="rId4" Type="http://schemas.openxmlformats.org/officeDocument/2006/relationships/ctrlProp" Target="../ctrlProps/ctrlProp89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0.xml"/><Relationship Id="rId2" Type="http://schemas.openxmlformats.org/officeDocument/2006/relationships/vmlDrawing" Target="../drawings/vmlDrawing45.vml"/><Relationship Id="rId1" Type="http://schemas.openxmlformats.org/officeDocument/2006/relationships/drawing" Target="../drawings/drawing45.xml"/><Relationship Id="rId4" Type="http://schemas.openxmlformats.org/officeDocument/2006/relationships/ctrlProp" Target="../ctrlProps/ctrlProp91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2.xml"/><Relationship Id="rId2" Type="http://schemas.openxmlformats.org/officeDocument/2006/relationships/vmlDrawing" Target="../drawings/vmlDrawing46.vml"/><Relationship Id="rId1" Type="http://schemas.openxmlformats.org/officeDocument/2006/relationships/drawing" Target="../drawings/drawing46.xml"/><Relationship Id="rId4" Type="http://schemas.openxmlformats.org/officeDocument/2006/relationships/ctrlProp" Target="../ctrlProps/ctrlProp93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4.xml"/><Relationship Id="rId2" Type="http://schemas.openxmlformats.org/officeDocument/2006/relationships/vmlDrawing" Target="../drawings/vmlDrawing47.vml"/><Relationship Id="rId1" Type="http://schemas.openxmlformats.org/officeDocument/2006/relationships/drawing" Target="../drawings/drawing47.xml"/><Relationship Id="rId4" Type="http://schemas.openxmlformats.org/officeDocument/2006/relationships/ctrlProp" Target="../ctrlProps/ctrlProp95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6.xml"/><Relationship Id="rId2" Type="http://schemas.openxmlformats.org/officeDocument/2006/relationships/vmlDrawing" Target="../drawings/vmlDrawing48.vml"/><Relationship Id="rId1" Type="http://schemas.openxmlformats.org/officeDocument/2006/relationships/drawing" Target="../drawings/drawing48.xml"/><Relationship Id="rId4" Type="http://schemas.openxmlformats.org/officeDocument/2006/relationships/ctrlProp" Target="../ctrlProps/ctrlProp97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8.xml"/><Relationship Id="rId2" Type="http://schemas.openxmlformats.org/officeDocument/2006/relationships/vmlDrawing" Target="../drawings/vmlDrawing49.vml"/><Relationship Id="rId1" Type="http://schemas.openxmlformats.org/officeDocument/2006/relationships/drawing" Target="../drawings/drawing49.xml"/><Relationship Id="rId4" Type="http://schemas.openxmlformats.org/officeDocument/2006/relationships/ctrlProp" Target="../ctrlProps/ctrlProp9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0.xml"/><Relationship Id="rId2" Type="http://schemas.openxmlformats.org/officeDocument/2006/relationships/vmlDrawing" Target="../drawings/vmlDrawing50.vml"/><Relationship Id="rId1" Type="http://schemas.openxmlformats.org/officeDocument/2006/relationships/drawing" Target="../drawings/drawing50.xml"/><Relationship Id="rId4" Type="http://schemas.openxmlformats.org/officeDocument/2006/relationships/ctrlProp" Target="../ctrlProps/ctrlProp101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2.xml"/><Relationship Id="rId2" Type="http://schemas.openxmlformats.org/officeDocument/2006/relationships/vmlDrawing" Target="../drawings/vmlDrawing51.vml"/><Relationship Id="rId1" Type="http://schemas.openxmlformats.org/officeDocument/2006/relationships/drawing" Target="../drawings/drawing51.xml"/><Relationship Id="rId4" Type="http://schemas.openxmlformats.org/officeDocument/2006/relationships/ctrlProp" Target="../ctrlProps/ctrlProp103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4.xml"/><Relationship Id="rId2" Type="http://schemas.openxmlformats.org/officeDocument/2006/relationships/vmlDrawing" Target="../drawings/vmlDrawing52.vml"/><Relationship Id="rId1" Type="http://schemas.openxmlformats.org/officeDocument/2006/relationships/drawing" Target="../drawings/drawing52.xml"/><Relationship Id="rId4" Type="http://schemas.openxmlformats.org/officeDocument/2006/relationships/ctrlProp" Target="../ctrlProps/ctrlProp105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6.xml"/><Relationship Id="rId2" Type="http://schemas.openxmlformats.org/officeDocument/2006/relationships/vmlDrawing" Target="../drawings/vmlDrawing53.vml"/><Relationship Id="rId1" Type="http://schemas.openxmlformats.org/officeDocument/2006/relationships/drawing" Target="../drawings/drawing53.xml"/><Relationship Id="rId4" Type="http://schemas.openxmlformats.org/officeDocument/2006/relationships/ctrlProp" Target="../ctrlProps/ctrlProp107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8.xml"/><Relationship Id="rId2" Type="http://schemas.openxmlformats.org/officeDocument/2006/relationships/vmlDrawing" Target="../drawings/vmlDrawing54.vml"/><Relationship Id="rId1" Type="http://schemas.openxmlformats.org/officeDocument/2006/relationships/drawing" Target="../drawings/drawing54.xml"/><Relationship Id="rId4" Type="http://schemas.openxmlformats.org/officeDocument/2006/relationships/ctrlProp" Target="../ctrlProps/ctrlProp109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11.xml"/><Relationship Id="rId4" Type="http://schemas.openxmlformats.org/officeDocument/2006/relationships/ctrlProp" Target="../ctrlProps/ctrlProp110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2.xml"/><Relationship Id="rId2" Type="http://schemas.openxmlformats.org/officeDocument/2006/relationships/vmlDrawing" Target="../drawings/vmlDrawing56.vml"/><Relationship Id="rId1" Type="http://schemas.openxmlformats.org/officeDocument/2006/relationships/drawing" Target="../drawings/drawing56.xml"/><Relationship Id="rId4" Type="http://schemas.openxmlformats.org/officeDocument/2006/relationships/ctrlProp" Target="../ctrlProps/ctrlProp113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4.xml"/><Relationship Id="rId2" Type="http://schemas.openxmlformats.org/officeDocument/2006/relationships/vmlDrawing" Target="../drawings/vmlDrawing57.vml"/><Relationship Id="rId1" Type="http://schemas.openxmlformats.org/officeDocument/2006/relationships/drawing" Target="../drawings/drawing57.xml"/><Relationship Id="rId4" Type="http://schemas.openxmlformats.org/officeDocument/2006/relationships/ctrlProp" Target="../ctrlProps/ctrlProp115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6.xml"/><Relationship Id="rId2" Type="http://schemas.openxmlformats.org/officeDocument/2006/relationships/vmlDrawing" Target="../drawings/vmlDrawing58.vml"/><Relationship Id="rId1" Type="http://schemas.openxmlformats.org/officeDocument/2006/relationships/drawing" Target="../drawings/drawing58.xml"/><Relationship Id="rId4" Type="http://schemas.openxmlformats.org/officeDocument/2006/relationships/ctrlProp" Target="../ctrlProps/ctrlProp117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8.xml"/><Relationship Id="rId2" Type="http://schemas.openxmlformats.org/officeDocument/2006/relationships/vmlDrawing" Target="../drawings/vmlDrawing59.vml"/><Relationship Id="rId1" Type="http://schemas.openxmlformats.org/officeDocument/2006/relationships/drawing" Target="../drawings/drawing59.xml"/><Relationship Id="rId4" Type="http://schemas.openxmlformats.org/officeDocument/2006/relationships/ctrlProp" Target="../ctrlProps/ctrlProp119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0.xml"/><Relationship Id="rId2" Type="http://schemas.openxmlformats.org/officeDocument/2006/relationships/vmlDrawing" Target="../drawings/vmlDrawing60.vml"/><Relationship Id="rId1" Type="http://schemas.openxmlformats.org/officeDocument/2006/relationships/drawing" Target="../drawings/drawing60.xml"/><Relationship Id="rId4" Type="http://schemas.openxmlformats.org/officeDocument/2006/relationships/ctrlProp" Target="../ctrlProps/ctrlProp121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2.xml"/><Relationship Id="rId2" Type="http://schemas.openxmlformats.org/officeDocument/2006/relationships/vmlDrawing" Target="../drawings/vmlDrawing61.vml"/><Relationship Id="rId1" Type="http://schemas.openxmlformats.org/officeDocument/2006/relationships/drawing" Target="../drawings/drawing61.xml"/><Relationship Id="rId4" Type="http://schemas.openxmlformats.org/officeDocument/2006/relationships/ctrlProp" Target="../ctrlProps/ctrlProp123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4.xml"/><Relationship Id="rId2" Type="http://schemas.openxmlformats.org/officeDocument/2006/relationships/vmlDrawing" Target="../drawings/vmlDrawing62.vml"/><Relationship Id="rId1" Type="http://schemas.openxmlformats.org/officeDocument/2006/relationships/drawing" Target="../drawings/drawing62.xml"/><Relationship Id="rId4" Type="http://schemas.openxmlformats.org/officeDocument/2006/relationships/ctrlProp" Target="../ctrlProps/ctrlProp125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6.xml"/><Relationship Id="rId2" Type="http://schemas.openxmlformats.org/officeDocument/2006/relationships/vmlDrawing" Target="../drawings/vmlDrawing63.vml"/><Relationship Id="rId1" Type="http://schemas.openxmlformats.org/officeDocument/2006/relationships/drawing" Target="../drawings/drawing63.xml"/><Relationship Id="rId4" Type="http://schemas.openxmlformats.org/officeDocument/2006/relationships/ctrlProp" Target="../ctrlProps/ctrlProp127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8.xml"/><Relationship Id="rId2" Type="http://schemas.openxmlformats.org/officeDocument/2006/relationships/vmlDrawing" Target="../drawings/vmlDrawing64.vml"/><Relationship Id="rId1" Type="http://schemas.openxmlformats.org/officeDocument/2006/relationships/drawing" Target="../drawings/drawing64.xml"/><Relationship Id="rId4" Type="http://schemas.openxmlformats.org/officeDocument/2006/relationships/ctrlProp" Target="../ctrlProps/ctrlProp129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0.xml"/><Relationship Id="rId2" Type="http://schemas.openxmlformats.org/officeDocument/2006/relationships/vmlDrawing" Target="../drawings/vmlDrawing65.vml"/><Relationship Id="rId1" Type="http://schemas.openxmlformats.org/officeDocument/2006/relationships/drawing" Target="../drawings/drawing65.xml"/><Relationship Id="rId4" Type="http://schemas.openxmlformats.org/officeDocument/2006/relationships/ctrlProp" Target="../ctrlProps/ctrlProp131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2.xml"/><Relationship Id="rId2" Type="http://schemas.openxmlformats.org/officeDocument/2006/relationships/vmlDrawing" Target="../drawings/vmlDrawing66.vml"/><Relationship Id="rId1" Type="http://schemas.openxmlformats.org/officeDocument/2006/relationships/drawing" Target="../drawings/drawing66.xml"/><Relationship Id="rId4" Type="http://schemas.openxmlformats.org/officeDocument/2006/relationships/ctrlProp" Target="../ctrlProps/ctrlProp133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4.xml"/><Relationship Id="rId2" Type="http://schemas.openxmlformats.org/officeDocument/2006/relationships/vmlDrawing" Target="../drawings/vmlDrawing67.vml"/><Relationship Id="rId1" Type="http://schemas.openxmlformats.org/officeDocument/2006/relationships/drawing" Target="../drawings/drawing67.xml"/><Relationship Id="rId4" Type="http://schemas.openxmlformats.org/officeDocument/2006/relationships/ctrlProp" Target="../ctrlProps/ctrlProp135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6.xml"/><Relationship Id="rId2" Type="http://schemas.openxmlformats.org/officeDocument/2006/relationships/vmlDrawing" Target="../drawings/vmlDrawing68.vml"/><Relationship Id="rId1" Type="http://schemas.openxmlformats.org/officeDocument/2006/relationships/drawing" Target="../drawings/drawing68.xml"/><Relationship Id="rId4" Type="http://schemas.openxmlformats.org/officeDocument/2006/relationships/ctrlProp" Target="../ctrlProps/ctrlProp137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8.xml"/><Relationship Id="rId2" Type="http://schemas.openxmlformats.org/officeDocument/2006/relationships/vmlDrawing" Target="../drawings/vmlDrawing69.vml"/><Relationship Id="rId1" Type="http://schemas.openxmlformats.org/officeDocument/2006/relationships/drawing" Target="../drawings/drawing69.xml"/><Relationship Id="rId4" Type="http://schemas.openxmlformats.org/officeDocument/2006/relationships/ctrlProp" Target="../ctrlProps/ctrlProp13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0.xml"/><Relationship Id="rId2" Type="http://schemas.openxmlformats.org/officeDocument/2006/relationships/vmlDrawing" Target="../drawings/vmlDrawing70.vml"/><Relationship Id="rId1" Type="http://schemas.openxmlformats.org/officeDocument/2006/relationships/drawing" Target="../drawings/drawing70.xml"/><Relationship Id="rId4" Type="http://schemas.openxmlformats.org/officeDocument/2006/relationships/ctrlProp" Target="../ctrlProps/ctrlProp141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2.xml"/><Relationship Id="rId2" Type="http://schemas.openxmlformats.org/officeDocument/2006/relationships/vmlDrawing" Target="../drawings/vmlDrawing71.vml"/><Relationship Id="rId1" Type="http://schemas.openxmlformats.org/officeDocument/2006/relationships/drawing" Target="../drawings/drawing71.xml"/><Relationship Id="rId4" Type="http://schemas.openxmlformats.org/officeDocument/2006/relationships/ctrlProp" Target="../ctrlProps/ctrlProp143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4.xml"/><Relationship Id="rId2" Type="http://schemas.openxmlformats.org/officeDocument/2006/relationships/vmlDrawing" Target="../drawings/vmlDrawing72.vml"/><Relationship Id="rId1" Type="http://schemas.openxmlformats.org/officeDocument/2006/relationships/drawing" Target="../drawings/drawing72.xml"/><Relationship Id="rId4" Type="http://schemas.openxmlformats.org/officeDocument/2006/relationships/ctrlProp" Target="../ctrlProps/ctrlProp145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6.xml"/><Relationship Id="rId2" Type="http://schemas.openxmlformats.org/officeDocument/2006/relationships/vmlDrawing" Target="../drawings/vmlDrawing73.vml"/><Relationship Id="rId1" Type="http://schemas.openxmlformats.org/officeDocument/2006/relationships/drawing" Target="../drawings/drawing73.xml"/><Relationship Id="rId4" Type="http://schemas.openxmlformats.org/officeDocument/2006/relationships/ctrlProp" Target="../ctrlProps/ctrlProp147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8.xml"/><Relationship Id="rId2" Type="http://schemas.openxmlformats.org/officeDocument/2006/relationships/vmlDrawing" Target="../drawings/vmlDrawing74.vml"/><Relationship Id="rId1" Type="http://schemas.openxmlformats.org/officeDocument/2006/relationships/drawing" Target="../drawings/drawing74.xml"/><Relationship Id="rId4" Type="http://schemas.openxmlformats.org/officeDocument/2006/relationships/ctrlProp" Target="../ctrlProps/ctrlProp149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5.vml"/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51.xml"/><Relationship Id="rId4" Type="http://schemas.openxmlformats.org/officeDocument/2006/relationships/ctrlProp" Target="../ctrlProps/ctrlProp150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2.xml"/><Relationship Id="rId2" Type="http://schemas.openxmlformats.org/officeDocument/2006/relationships/vmlDrawing" Target="../drawings/vmlDrawing76.vml"/><Relationship Id="rId1" Type="http://schemas.openxmlformats.org/officeDocument/2006/relationships/drawing" Target="../drawings/drawing76.xml"/><Relationship Id="rId4" Type="http://schemas.openxmlformats.org/officeDocument/2006/relationships/ctrlProp" Target="../ctrlProps/ctrlProp153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4.xml"/><Relationship Id="rId2" Type="http://schemas.openxmlformats.org/officeDocument/2006/relationships/vmlDrawing" Target="../drawings/vmlDrawing77.vml"/><Relationship Id="rId1" Type="http://schemas.openxmlformats.org/officeDocument/2006/relationships/drawing" Target="../drawings/drawing77.xml"/><Relationship Id="rId4" Type="http://schemas.openxmlformats.org/officeDocument/2006/relationships/ctrlProp" Target="../ctrlProps/ctrlProp155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6.xml"/><Relationship Id="rId2" Type="http://schemas.openxmlformats.org/officeDocument/2006/relationships/vmlDrawing" Target="../drawings/vmlDrawing78.vml"/><Relationship Id="rId1" Type="http://schemas.openxmlformats.org/officeDocument/2006/relationships/drawing" Target="../drawings/drawing78.xml"/><Relationship Id="rId4" Type="http://schemas.openxmlformats.org/officeDocument/2006/relationships/ctrlProp" Target="../ctrlProps/ctrlProp157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8.xml"/><Relationship Id="rId2" Type="http://schemas.openxmlformats.org/officeDocument/2006/relationships/vmlDrawing" Target="../drawings/vmlDrawing79.vml"/><Relationship Id="rId1" Type="http://schemas.openxmlformats.org/officeDocument/2006/relationships/drawing" Target="../drawings/drawing79.xml"/><Relationship Id="rId4" Type="http://schemas.openxmlformats.org/officeDocument/2006/relationships/ctrlProp" Target="../ctrlProps/ctrlProp159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0.xml"/><Relationship Id="rId2" Type="http://schemas.openxmlformats.org/officeDocument/2006/relationships/vmlDrawing" Target="../drawings/vmlDrawing80.vml"/><Relationship Id="rId1" Type="http://schemas.openxmlformats.org/officeDocument/2006/relationships/drawing" Target="../drawings/drawing80.xml"/><Relationship Id="rId4" Type="http://schemas.openxmlformats.org/officeDocument/2006/relationships/ctrlProp" Target="../ctrlProps/ctrlProp161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2.xml"/><Relationship Id="rId2" Type="http://schemas.openxmlformats.org/officeDocument/2006/relationships/vmlDrawing" Target="../drawings/vmlDrawing81.vml"/><Relationship Id="rId1" Type="http://schemas.openxmlformats.org/officeDocument/2006/relationships/drawing" Target="../drawings/drawing81.xml"/><Relationship Id="rId4" Type="http://schemas.openxmlformats.org/officeDocument/2006/relationships/ctrlProp" Target="../ctrlProps/ctrlProp163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4.xml"/><Relationship Id="rId2" Type="http://schemas.openxmlformats.org/officeDocument/2006/relationships/vmlDrawing" Target="../drawings/vmlDrawing82.vml"/><Relationship Id="rId1" Type="http://schemas.openxmlformats.org/officeDocument/2006/relationships/drawing" Target="../drawings/drawing82.xml"/><Relationship Id="rId4" Type="http://schemas.openxmlformats.org/officeDocument/2006/relationships/ctrlProp" Target="../ctrlProps/ctrlProp165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6.xml"/><Relationship Id="rId2" Type="http://schemas.openxmlformats.org/officeDocument/2006/relationships/vmlDrawing" Target="../drawings/vmlDrawing83.vml"/><Relationship Id="rId1" Type="http://schemas.openxmlformats.org/officeDocument/2006/relationships/drawing" Target="../drawings/drawing83.xml"/><Relationship Id="rId4" Type="http://schemas.openxmlformats.org/officeDocument/2006/relationships/ctrlProp" Target="../ctrlProps/ctrlProp167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8.xml"/><Relationship Id="rId2" Type="http://schemas.openxmlformats.org/officeDocument/2006/relationships/vmlDrawing" Target="../drawings/vmlDrawing84.vml"/><Relationship Id="rId1" Type="http://schemas.openxmlformats.org/officeDocument/2006/relationships/drawing" Target="../drawings/drawing84.xml"/><Relationship Id="rId4" Type="http://schemas.openxmlformats.org/officeDocument/2006/relationships/ctrlProp" Target="../ctrlProps/ctrlProp169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0.xml"/><Relationship Id="rId2" Type="http://schemas.openxmlformats.org/officeDocument/2006/relationships/vmlDrawing" Target="../drawings/vmlDrawing85.vml"/><Relationship Id="rId1" Type="http://schemas.openxmlformats.org/officeDocument/2006/relationships/drawing" Target="../drawings/drawing85.xml"/><Relationship Id="rId4" Type="http://schemas.openxmlformats.org/officeDocument/2006/relationships/ctrlProp" Target="../ctrlProps/ctrlProp171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2.xml"/><Relationship Id="rId2" Type="http://schemas.openxmlformats.org/officeDocument/2006/relationships/vmlDrawing" Target="../drawings/vmlDrawing86.vml"/><Relationship Id="rId1" Type="http://schemas.openxmlformats.org/officeDocument/2006/relationships/drawing" Target="../drawings/drawing86.xml"/><Relationship Id="rId4" Type="http://schemas.openxmlformats.org/officeDocument/2006/relationships/ctrlProp" Target="../ctrlProps/ctrlProp173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4.xml"/><Relationship Id="rId2" Type="http://schemas.openxmlformats.org/officeDocument/2006/relationships/vmlDrawing" Target="../drawings/vmlDrawing87.vml"/><Relationship Id="rId1" Type="http://schemas.openxmlformats.org/officeDocument/2006/relationships/drawing" Target="../drawings/drawing87.xml"/><Relationship Id="rId4" Type="http://schemas.openxmlformats.org/officeDocument/2006/relationships/ctrlProp" Target="../ctrlProps/ctrlProp175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6.xml"/><Relationship Id="rId2" Type="http://schemas.openxmlformats.org/officeDocument/2006/relationships/vmlDrawing" Target="../drawings/vmlDrawing88.vml"/><Relationship Id="rId1" Type="http://schemas.openxmlformats.org/officeDocument/2006/relationships/drawing" Target="../drawings/drawing88.xml"/><Relationship Id="rId4" Type="http://schemas.openxmlformats.org/officeDocument/2006/relationships/ctrlProp" Target="../ctrlProps/ctrlProp177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9.vml"/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79.xml"/><Relationship Id="rId4" Type="http://schemas.openxmlformats.org/officeDocument/2006/relationships/ctrlProp" Target="../ctrlProps/ctrlProp178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0.xml"/><Relationship Id="rId2" Type="http://schemas.openxmlformats.org/officeDocument/2006/relationships/vmlDrawing" Target="../drawings/vmlDrawing90.vml"/><Relationship Id="rId1" Type="http://schemas.openxmlformats.org/officeDocument/2006/relationships/drawing" Target="../drawings/drawing90.xml"/><Relationship Id="rId4" Type="http://schemas.openxmlformats.org/officeDocument/2006/relationships/ctrlProp" Target="../ctrlProps/ctrlProp181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1.vml"/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3.xml"/><Relationship Id="rId4" Type="http://schemas.openxmlformats.org/officeDocument/2006/relationships/ctrlProp" Target="../ctrlProps/ctrlProp182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4.xml"/><Relationship Id="rId2" Type="http://schemas.openxmlformats.org/officeDocument/2006/relationships/vmlDrawing" Target="../drawings/vmlDrawing92.vml"/><Relationship Id="rId1" Type="http://schemas.openxmlformats.org/officeDocument/2006/relationships/drawing" Target="../drawings/drawing92.xml"/><Relationship Id="rId4" Type="http://schemas.openxmlformats.org/officeDocument/2006/relationships/ctrlProp" Target="../ctrlProps/ctrlProp185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6.xml"/><Relationship Id="rId2" Type="http://schemas.openxmlformats.org/officeDocument/2006/relationships/vmlDrawing" Target="../drawings/vmlDrawing93.vml"/><Relationship Id="rId1" Type="http://schemas.openxmlformats.org/officeDocument/2006/relationships/drawing" Target="../drawings/drawing93.xml"/><Relationship Id="rId4" Type="http://schemas.openxmlformats.org/officeDocument/2006/relationships/ctrlProp" Target="../ctrlProps/ctrlProp187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8.xml"/><Relationship Id="rId2" Type="http://schemas.openxmlformats.org/officeDocument/2006/relationships/vmlDrawing" Target="../drawings/vmlDrawing94.vml"/><Relationship Id="rId1" Type="http://schemas.openxmlformats.org/officeDocument/2006/relationships/drawing" Target="../drawings/drawing94.xml"/><Relationship Id="rId4" Type="http://schemas.openxmlformats.org/officeDocument/2006/relationships/ctrlProp" Target="../ctrlProps/ctrlProp189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0.xml"/><Relationship Id="rId2" Type="http://schemas.openxmlformats.org/officeDocument/2006/relationships/vmlDrawing" Target="../drawings/vmlDrawing95.vml"/><Relationship Id="rId1" Type="http://schemas.openxmlformats.org/officeDocument/2006/relationships/drawing" Target="../drawings/drawing95.xml"/><Relationship Id="rId4" Type="http://schemas.openxmlformats.org/officeDocument/2006/relationships/ctrlProp" Target="../ctrlProps/ctrlProp191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2.xml"/><Relationship Id="rId2" Type="http://schemas.openxmlformats.org/officeDocument/2006/relationships/vmlDrawing" Target="../drawings/vmlDrawing96.vml"/><Relationship Id="rId1" Type="http://schemas.openxmlformats.org/officeDocument/2006/relationships/drawing" Target="../drawings/drawing96.xml"/><Relationship Id="rId4" Type="http://schemas.openxmlformats.org/officeDocument/2006/relationships/ctrlProp" Target="../ctrlProps/ctrlProp193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4.xml"/><Relationship Id="rId2" Type="http://schemas.openxmlformats.org/officeDocument/2006/relationships/vmlDrawing" Target="../drawings/vmlDrawing97.vml"/><Relationship Id="rId1" Type="http://schemas.openxmlformats.org/officeDocument/2006/relationships/drawing" Target="../drawings/drawing97.xml"/><Relationship Id="rId4" Type="http://schemas.openxmlformats.org/officeDocument/2006/relationships/ctrlProp" Target="../ctrlProps/ctrlProp195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6.xml"/><Relationship Id="rId2" Type="http://schemas.openxmlformats.org/officeDocument/2006/relationships/vmlDrawing" Target="../drawings/vmlDrawing98.vml"/><Relationship Id="rId1" Type="http://schemas.openxmlformats.org/officeDocument/2006/relationships/drawing" Target="../drawings/drawing98.xml"/><Relationship Id="rId4" Type="http://schemas.openxmlformats.org/officeDocument/2006/relationships/ctrlProp" Target="../ctrlProps/ctrlProp197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8.xml"/><Relationship Id="rId2" Type="http://schemas.openxmlformats.org/officeDocument/2006/relationships/vmlDrawing" Target="../drawings/vmlDrawing99.vml"/><Relationship Id="rId1" Type="http://schemas.openxmlformats.org/officeDocument/2006/relationships/drawing" Target="../drawings/drawing99.xml"/><Relationship Id="rId4" Type="http://schemas.openxmlformats.org/officeDocument/2006/relationships/ctrlProp" Target="../ctrlProps/ctrlProp199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0.xml"/><Relationship Id="rId2" Type="http://schemas.openxmlformats.org/officeDocument/2006/relationships/vmlDrawing" Target="../drawings/vmlDrawing100.vml"/><Relationship Id="rId1" Type="http://schemas.openxmlformats.org/officeDocument/2006/relationships/drawing" Target="../drawings/drawing100.xml"/><Relationship Id="rId4" Type="http://schemas.openxmlformats.org/officeDocument/2006/relationships/ctrlProp" Target="../ctrlProps/ctrlProp201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2.xml"/><Relationship Id="rId2" Type="http://schemas.openxmlformats.org/officeDocument/2006/relationships/vmlDrawing" Target="../drawings/vmlDrawing101.vml"/><Relationship Id="rId1" Type="http://schemas.openxmlformats.org/officeDocument/2006/relationships/drawing" Target="../drawings/drawing101.xml"/><Relationship Id="rId4" Type="http://schemas.openxmlformats.org/officeDocument/2006/relationships/ctrlProp" Target="../ctrlProps/ctrlProp20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102"/>
  <sheetViews>
    <sheetView showGridLines="0" tabSelected="1" zoomScaleNormal="100" workbookViewId="0">
      <pane ySplit="2" topLeftCell="A3" activePane="bottomLeft" state="frozen"/>
      <selection pane="bottomLeft" activeCell="B4" sqref="B4"/>
    </sheetView>
  </sheetViews>
  <sheetFormatPr baseColWidth="10" defaultRowHeight="15" x14ac:dyDescent="0.25"/>
  <cols>
    <col min="1" max="1" width="3.85546875" customWidth="1"/>
    <col min="2" max="2" width="62.5703125" customWidth="1"/>
    <col min="3" max="3" width="20.42578125" customWidth="1"/>
    <col min="4" max="4" width="22.5703125" customWidth="1"/>
  </cols>
  <sheetData>
    <row r="1" spans="1:4" ht="25.5" customHeight="1" x14ac:dyDescent="0.25">
      <c r="B1" s="1" t="s">
        <v>0</v>
      </c>
      <c r="C1" s="26"/>
      <c r="D1" s="7" t="s">
        <v>106</v>
      </c>
    </row>
    <row r="2" spans="1:4" ht="17.25" customHeight="1" x14ac:dyDescent="0.25">
      <c r="B2" s="2" t="s">
        <v>1</v>
      </c>
      <c r="C2" s="2" t="s">
        <v>2</v>
      </c>
      <c r="D2" s="3"/>
    </row>
    <row r="3" spans="1:4" x14ac:dyDescent="0.25">
      <c r="B3" s="30" t="s">
        <v>3</v>
      </c>
      <c r="C3" s="31">
        <f>VLOOKUP(C2,'9-012 IES S-N INFORMATICA'!E2:F1000,2,FALSE)</f>
        <v>0</v>
      </c>
    </row>
    <row r="4" spans="1:4" x14ac:dyDescent="0.25">
      <c r="B4" s="30" t="s">
        <v>4</v>
      </c>
      <c r="C4" s="31">
        <f>VLOOKUP(C2,'4-239 S-N EL SOSNEADO'!E2:F1000,2,FALSE)</f>
        <v>0</v>
      </c>
    </row>
    <row r="5" spans="1:4" x14ac:dyDescent="0.25">
      <c r="B5" s="30" t="s">
        <v>5</v>
      </c>
      <c r="C5" s="31">
        <f>VLOOKUP(C2,'6-042 S-N'!E2:F1000,2,FALSE)</f>
        <v>0</v>
      </c>
    </row>
    <row r="6" spans="1:4" x14ac:dyDescent="0.25">
      <c r="B6" s="30" t="s">
        <v>6</v>
      </c>
      <c r="C6" s="31">
        <f>VLOOKUP(C2,'4-246 S- N '!E2:F1000,2,FALSE)</f>
        <v>0</v>
      </c>
    </row>
    <row r="7" spans="1:4" x14ac:dyDescent="0.25">
      <c r="B7" s="30" t="s">
        <v>7</v>
      </c>
      <c r="C7" s="31">
        <f>VLOOKUP(C2,'4-230 S-N'!E2:F1000,2,FALSE)</f>
        <v>0</v>
      </c>
    </row>
    <row r="8" spans="1:4" x14ac:dyDescent="0.25">
      <c r="B8" s="30" t="s">
        <v>8</v>
      </c>
      <c r="C8" s="31">
        <f>VLOOKUP(C2,'6-046 S-N'!E2:F1000,2,FALSE)</f>
        <v>0</v>
      </c>
    </row>
    <row r="9" spans="1:4" x14ac:dyDescent="0.25">
      <c r="A9" s="28"/>
      <c r="B9" s="30" t="s">
        <v>9</v>
      </c>
      <c r="C9" s="31">
        <f>VLOOKUP(C2,'3-076 CORA T. DE ACOSTA'!E2:F1000,2,FALSE)</f>
        <v>0</v>
      </c>
    </row>
    <row r="10" spans="1:4" x14ac:dyDescent="0.25">
      <c r="B10" s="30" t="s">
        <v>10</v>
      </c>
      <c r="C10" s="31">
        <f>VLOOKUP(C2,'4-170 AGUAS DEL DIAMANTE'!E2:F1000,2,FALSE)</f>
        <v>0</v>
      </c>
    </row>
    <row r="11" spans="1:4" x14ac:dyDescent="0.25">
      <c r="A11" s="29"/>
      <c r="B11" s="30" t="s">
        <v>11</v>
      </c>
      <c r="C11" s="31">
        <f>VLOOKUP(C2,'4-221 VALENTIN BIANCHI'!E2:F990,2,FALSE)</f>
        <v>0</v>
      </c>
    </row>
    <row r="12" spans="1:4" x14ac:dyDescent="0.25">
      <c r="B12" s="30" t="s">
        <v>12</v>
      </c>
      <c r="C12" s="31">
        <f>VLOOKUP(C2,'1-447 PEDRO BOMBAL '!E2:F1000,2,FALSE)</f>
        <v>0</v>
      </c>
    </row>
    <row r="13" spans="1:4" x14ac:dyDescent="0.25">
      <c r="B13" s="30" t="s">
        <v>13</v>
      </c>
      <c r="C13" s="31">
        <f>VLOOKUP(C2,'1-344 CARLOS BUNGE'!E2:F1000,2,FALSE)</f>
        <v>0</v>
      </c>
    </row>
    <row r="14" spans="1:4" x14ac:dyDescent="0.25">
      <c r="B14" s="30" t="s">
        <v>14</v>
      </c>
      <c r="C14" s="31">
        <f>VLOOKUP(C2,'1-351 SAN JUAN BOSCO '!E2:F1000,2,FALSE)</f>
        <v>0</v>
      </c>
    </row>
    <row r="15" spans="1:4" x14ac:dyDescent="0.25">
      <c r="B15" s="30" t="s">
        <v>15</v>
      </c>
      <c r="C15" s="31">
        <f>VLOOKUP(C2,'1-262 ALFREDO BUFANO'!E2:F1000,2,FALSE)</f>
        <v>0</v>
      </c>
    </row>
    <row r="16" spans="1:4" x14ac:dyDescent="0.25">
      <c r="B16" s="30" t="s">
        <v>16</v>
      </c>
      <c r="C16" s="31">
        <f>VLOOKUP(C2,'1-297 DANIEL BUSTELO'!E2:F1000,2,FALSE)</f>
        <v>0</v>
      </c>
    </row>
    <row r="17" spans="1:3" x14ac:dyDescent="0.25">
      <c r="B17" s="30" t="s">
        <v>17</v>
      </c>
      <c r="C17" s="31">
        <f>VLOOKUP(C2,'1-124 SANTOS BIRITOS '!E2:F1000,2,FALSE)</f>
        <v>0</v>
      </c>
    </row>
    <row r="18" spans="1:3" x14ac:dyDescent="0.25">
      <c r="B18" s="30" t="s">
        <v>18</v>
      </c>
      <c r="C18" s="31">
        <f>VLOOKUP(C2,'1-094 JACINTO BOTANA'!E2:F1000,2,FALSE)</f>
        <v>0</v>
      </c>
    </row>
    <row r="19" spans="1:3" x14ac:dyDescent="0.25">
      <c r="B19" s="30" t="s">
        <v>19</v>
      </c>
      <c r="C19" s="31">
        <f>VLOOKUP(C2,'4-070 ABELARDO A. BALLOFFET'!E2:F1000,2,FALSE)</f>
        <v>0</v>
      </c>
    </row>
    <row r="20" spans="1:3" x14ac:dyDescent="0.25">
      <c r="B20" s="30" t="s">
        <v>20</v>
      </c>
      <c r="C20" s="31">
        <f>VLOOKUP(C2,'9-036 M.T.S.M. DE BALCARCE '!E2:F1000,2,FALSE)</f>
        <v>0</v>
      </c>
    </row>
    <row r="21" spans="1:3" x14ac:dyDescent="0.25">
      <c r="B21" s="30" t="s">
        <v>21</v>
      </c>
      <c r="C21" s="31">
        <f>VLOOKUP(C2,'3-428 PROF. A. BLANCO '!E2:F1000,2,FALSE)</f>
        <v>0</v>
      </c>
    </row>
    <row r="22" spans="1:3" x14ac:dyDescent="0.25">
      <c r="A22" s="29"/>
      <c r="B22" s="30" t="s">
        <v>22</v>
      </c>
      <c r="C22" s="31">
        <f>VLOOKUP(C2,'7-002 CHIMENO CODÓ '!E2:F987,2,FALSE)</f>
        <v>0</v>
      </c>
    </row>
    <row r="23" spans="1:3" x14ac:dyDescent="0.25">
      <c r="B23" s="30" t="s">
        <v>23</v>
      </c>
      <c r="C23" s="31">
        <f>VLOOKUP(C2,'5-004 BLANCA NOTTI DE CUARTARA'!E2:F1000,2,FALSE)</f>
        <v>0</v>
      </c>
    </row>
    <row r="24" spans="1:3" x14ac:dyDescent="0.25">
      <c r="B24" s="30" t="s">
        <v>24</v>
      </c>
      <c r="C24" s="31">
        <f>VLOOKUP(C2,'4-129 ANA G. DE CALZADA'!E2:F1001,2,FALSE)</f>
        <v>0</v>
      </c>
    </row>
    <row r="25" spans="1:3" x14ac:dyDescent="0.25">
      <c r="B25" s="30" t="s">
        <v>25</v>
      </c>
      <c r="C25" s="31">
        <f>VLOOKUP(C2,'1-081 COMODORO LUIS PY '!E2:F1000,2,FALSE)</f>
        <v>0</v>
      </c>
    </row>
    <row r="26" spans="1:3" x14ac:dyDescent="0.25">
      <c r="B26" s="30" t="s">
        <v>26</v>
      </c>
      <c r="C26" s="31">
        <f>VLOOKUP(C2,'3-468 DANIEL PRIETO CASTILLO '!E2:F1000,2,FALSE)</f>
        <v>0</v>
      </c>
    </row>
    <row r="27" spans="1:3" x14ac:dyDescent="0.25">
      <c r="B27" s="30" t="s">
        <v>27</v>
      </c>
      <c r="C27" s="31">
        <f>VLOOKUP(C2,'1-302 RAFAEL M. CASTILLO '!E2:F1000,2,FALSE)</f>
        <v>0</v>
      </c>
    </row>
    <row r="28" spans="1:3" x14ac:dyDescent="0.25">
      <c r="B28" s="30" t="s">
        <v>28</v>
      </c>
      <c r="C28" s="31">
        <f>VLOOKUP(C2,'6-039 GUILLERMO CATALAN'!E2:F1000,2,FALSE)</f>
        <v>0</v>
      </c>
    </row>
    <row r="29" spans="1:3" x14ac:dyDescent="0.25">
      <c r="A29" s="29"/>
      <c r="B29" s="30" t="s">
        <v>29</v>
      </c>
      <c r="C29" s="31">
        <f>VLOOKUP(C2,'3-066 PROF. NORMA DIAZ'!E2:F990,2,FALSE)</f>
        <v>0</v>
      </c>
    </row>
    <row r="30" spans="1:3" x14ac:dyDescent="0.25">
      <c r="B30" s="30" t="s">
        <v>30</v>
      </c>
      <c r="C30" s="31">
        <f>VLOOKUP(C2,'0-137 DIVINO NIÑO JESUS '!E2:F1000,2,FALSE)</f>
        <v>0</v>
      </c>
    </row>
    <row r="31" spans="1:3" x14ac:dyDescent="0.25">
      <c r="B31" s="30" t="s">
        <v>31</v>
      </c>
      <c r="C31" s="31">
        <f>VLOOKUP(C2,'4-043 ANTONIO DI BENEDETTO'!E2:F1000,2,FALSE)</f>
        <v>0</v>
      </c>
    </row>
    <row r="32" spans="1:3" x14ac:dyDescent="0.25">
      <c r="A32" s="29"/>
      <c r="B32" s="30" t="s">
        <v>32</v>
      </c>
      <c r="C32" s="31">
        <f>VLOOKUP(C2,'4-117 EJERCITO DE LOS ANDES'!E2:F1000,2,FALSE)</f>
        <v>0</v>
      </c>
    </row>
    <row r="33" spans="1:3" x14ac:dyDescent="0.25">
      <c r="A33" s="29"/>
      <c r="B33" s="30" t="s">
        <v>33</v>
      </c>
      <c r="C33" s="31">
        <f>VLOOKUP(C2,'3-029  FERROVIARIOS ARGENTINOS'!E2:F1000,2,FALSE)</f>
        <v>0</v>
      </c>
    </row>
    <row r="34" spans="1:3" x14ac:dyDescent="0.25">
      <c r="B34" s="30" t="s">
        <v>34</v>
      </c>
      <c r="C34" s="31">
        <f>VLOOKUP(C2,'6-024 ANGELINA OLAGUER DE FELIÚ'!E2:F1000,2,FALSE)</f>
        <v>0</v>
      </c>
    </row>
    <row r="35" spans="1:3" x14ac:dyDescent="0.25">
      <c r="A35" s="29"/>
      <c r="B35" s="30" t="s">
        <v>35</v>
      </c>
      <c r="C35" s="31">
        <f>VLOOKUP(C2,'4-057 MARGARITA C. DE GEARY'!E2:F989,2,FALSE)</f>
        <v>0</v>
      </c>
    </row>
    <row r="36" spans="1:3" x14ac:dyDescent="0.25">
      <c r="B36" s="30" t="s">
        <v>36</v>
      </c>
      <c r="C36" s="31">
        <f>VLOOKUP(C2,'1-271 PEDRO GOYENA'!E2:F1000,2,FALSE)</f>
        <v>0</v>
      </c>
    </row>
    <row r="37" spans="1:3" x14ac:dyDescent="0.25">
      <c r="B37" s="30" t="s">
        <v>37</v>
      </c>
      <c r="C37" s="31">
        <f>VLOOKUP(C2,'4-021 MARTIN GUEMES'!E2:F1000,2,FALSE)</f>
        <v>0</v>
      </c>
    </row>
    <row r="38" spans="1:3" x14ac:dyDescent="0.25">
      <c r="B38" s="30" t="s">
        <v>38</v>
      </c>
      <c r="C38" s="31">
        <f>VLOOKUP(C2,'4-198 FRANCISCO GARCIA'!E2:F993,2,FALSE)</f>
        <v>0</v>
      </c>
    </row>
    <row r="39" spans="1:3" x14ac:dyDescent="0.25">
      <c r="B39" s="30" t="s">
        <v>39</v>
      </c>
      <c r="C39" s="31">
        <f>VLOOKUP(C2,'4-014 MAYOR GARCIA'!E2:F999,2,FALSE)</f>
        <v>0</v>
      </c>
    </row>
    <row r="40" spans="1:3" x14ac:dyDescent="0.25">
      <c r="B40" s="30" t="s">
        <v>40</v>
      </c>
      <c r="C40" s="31">
        <f>VLOOKUP(C2,'1-285 JUAN DE GARAY'!E2:F1000,2,FALSE)</f>
        <v>0</v>
      </c>
    </row>
    <row r="41" spans="1:3" x14ac:dyDescent="0.25">
      <c r="B41" s="30" t="s">
        <v>41</v>
      </c>
      <c r="C41" s="31">
        <f>VLOOKUP(C2,'1-084 DEOCLESIO GARCIA'!E2:F1000,2,FALSE)</f>
        <v>0</v>
      </c>
    </row>
    <row r="42" spans="1:3" x14ac:dyDescent="0.25">
      <c r="B42" s="30" t="s">
        <v>42</v>
      </c>
      <c r="C42" s="31">
        <f>VLOOKUP(C2,'4-141 ANTONIO GARBIN'!E2:F1000,2,FALSE)</f>
        <v>0</v>
      </c>
    </row>
    <row r="43" spans="1:3" x14ac:dyDescent="0.25">
      <c r="A43" s="29"/>
      <c r="B43" s="30" t="s">
        <v>43</v>
      </c>
      <c r="C43" s="31">
        <f>VLOOKUP(C2,'1-091 DOMINGO HERMIDA'!E2:F1000,2,FALSE)</f>
        <v>0</v>
      </c>
    </row>
    <row r="44" spans="1:3" x14ac:dyDescent="0.25">
      <c r="A44" s="29"/>
      <c r="B44" s="30" t="s">
        <v>44</v>
      </c>
      <c r="C44" s="31">
        <f>VLOOKUP(C2,'9-011 IES DEL ATUEL'!E2:F1000,2,FALSE)</f>
        <v>0</v>
      </c>
    </row>
    <row r="45" spans="1:3" x14ac:dyDescent="0.25">
      <c r="B45" s="30" t="s">
        <v>45</v>
      </c>
      <c r="C45" s="31">
        <f>VLOOKUP(C2,'3-015 TENIENTE IBAÑEZ'!E2:F1000,2,FALSE)</f>
        <v>0</v>
      </c>
    </row>
    <row r="46" spans="1:3" x14ac:dyDescent="0.25">
      <c r="B46" s="30" t="s">
        <v>46</v>
      </c>
      <c r="C46" s="31">
        <f>VLOOKUP(C2,'4-006 PASCUAL IACCARINI'!E2:F1000,2,FALSE)</f>
        <v>0</v>
      </c>
    </row>
    <row r="47" spans="1:3" x14ac:dyDescent="0.25">
      <c r="B47" s="30" t="s">
        <v>47</v>
      </c>
      <c r="C47" s="31">
        <f>VLOOKUP(C2,'64 P. ESPECIAL IRIS'!E2:F1000,2,FALSE)</f>
        <v>0</v>
      </c>
    </row>
    <row r="48" spans="1:3" x14ac:dyDescent="0.25">
      <c r="B48" s="30" t="s">
        <v>48</v>
      </c>
      <c r="C48" s="31">
        <f>VLOOKUP(C2,'3-227 PROF. MARIA E. IZUEL'!E2:F1000,2,FALSE)</f>
        <v>0</v>
      </c>
    </row>
    <row r="49" spans="1:3" x14ac:dyDescent="0.25">
      <c r="B49" s="30" t="s">
        <v>49</v>
      </c>
      <c r="C49" s="31">
        <f>VLOOKUP(C2,'4-017 BERNARDINO IZUEL'!E2:F1000,2,FALSE)</f>
        <v>0</v>
      </c>
    </row>
    <row r="50" spans="1:3" x14ac:dyDescent="0.25">
      <c r="B50" s="30" t="s">
        <v>50</v>
      </c>
      <c r="C50" s="31">
        <f>VLOOKUP(C2,'4-095 ISLAS MALVINAS'!E2:F1000,2,FALSE)</f>
        <v>0</v>
      </c>
    </row>
    <row r="51" spans="1:3" x14ac:dyDescent="0.25">
      <c r="A51" s="29"/>
      <c r="B51" s="30" t="s">
        <v>51</v>
      </c>
      <c r="C51" s="31">
        <f>VLOOKUP(C2,'4-116 JUAN PABLO II'!E2:F1000,2,FALSE)</f>
        <v>0</v>
      </c>
    </row>
    <row r="52" spans="1:3" x14ac:dyDescent="0.25">
      <c r="A52" s="29"/>
      <c r="B52" s="30" t="s">
        <v>52</v>
      </c>
      <c r="C52" s="31">
        <f>VLOOKUP(C2,'4-169  DR. BERNARDINO LEIVA'!E2:F1000,2,FALSE)</f>
        <v>0</v>
      </c>
    </row>
    <row r="53" spans="1:3" x14ac:dyDescent="0.25">
      <c r="B53" s="30" t="s">
        <v>53</v>
      </c>
      <c r="C53" s="31">
        <f>VLOOKUP(C2,'3-097 ARNALDO LINDAVER'!E2:F1000,2,FALSE)</f>
        <v>0</v>
      </c>
    </row>
    <row r="54" spans="1:3" x14ac:dyDescent="0.25">
      <c r="B54" s="30" t="s">
        <v>54</v>
      </c>
      <c r="C54" s="31">
        <f>VLOOKUP(C2,'1-442 COLONIZADOR V. LOPEZ'!E2:F1000,2,FALSE)</f>
        <v>0</v>
      </c>
    </row>
    <row r="55" spans="1:3" x14ac:dyDescent="0.25">
      <c r="B55" s="30" t="s">
        <v>55</v>
      </c>
      <c r="C55" s="31">
        <f>VLOOKUP(C2,'4-229 DR. HUMBERTO LAGIGLIA'!E2:F1000,2,FALSE)</f>
        <v>0</v>
      </c>
    </row>
    <row r="56" spans="1:3" x14ac:dyDescent="0.25">
      <c r="B56" s="30" t="s">
        <v>56</v>
      </c>
      <c r="C56" s="31">
        <f>VLOOKUP(C2,'1-258 T. LUZURIAGA'!E2:F1000,2,FALSE)</f>
        <v>0</v>
      </c>
    </row>
    <row r="57" spans="1:3" x14ac:dyDescent="0.25">
      <c r="A57" s="29"/>
      <c r="B57" s="30" t="s">
        <v>57</v>
      </c>
      <c r="C57" s="31">
        <f>VLOOKUP(C2,'MUNICIPALIDAD DE SAN RAFAEL'!E2:F1000,2,FALSE)</f>
        <v>0</v>
      </c>
    </row>
    <row r="58" spans="1:3" x14ac:dyDescent="0.25">
      <c r="B58" s="30" t="s">
        <v>58</v>
      </c>
      <c r="C58" s="31">
        <f>VLOOKUP(C2,'1-076 PEDRO MOLINA'!E2:F1000,2,FALSE)</f>
        <v>0</v>
      </c>
    </row>
    <row r="59" spans="1:3" x14ac:dyDescent="0.25">
      <c r="B59" s="30" t="s">
        <v>59</v>
      </c>
      <c r="C59" s="31">
        <f>VLOOKUP(C2,'4-087 MANUEL I. MOLINA'!E2:F1000,2,FALSE)</f>
        <v>0</v>
      </c>
    </row>
    <row r="60" spans="1:3" x14ac:dyDescent="0.25">
      <c r="B60" s="30" t="s">
        <v>60</v>
      </c>
      <c r="C60" s="31">
        <f>VLOOKUP(C2,'4-124 REYNALDO MERIN'!E2:F1000,2,FALSE)</f>
        <v>0</v>
      </c>
    </row>
    <row r="61" spans="1:3" x14ac:dyDescent="0.25">
      <c r="B61" s="30" t="s">
        <v>61</v>
      </c>
      <c r="C61" s="31">
        <f>VLOOKUP(C2,'1-125 MERCEDES MAURE'!E2:F1000,2,FALSE)</f>
        <v>0</v>
      </c>
    </row>
    <row r="62" spans="1:3" x14ac:dyDescent="0.25">
      <c r="B62" s="30" t="s">
        <v>62</v>
      </c>
      <c r="C62" s="31">
        <f>VLOOKUP(C2,'218. P.S. LA BUENA MADRE'!E2:F1000,2,FALSE)</f>
        <v>0</v>
      </c>
    </row>
    <row r="63" spans="1:3" x14ac:dyDescent="0.25">
      <c r="B63" s="30" t="s">
        <v>63</v>
      </c>
      <c r="C63" s="31">
        <f>VLOOKUP(C2,'3-102 COMBATIENTES DE MALVINAS'!E2:F1000,2,FALSE)</f>
        <v>0</v>
      </c>
    </row>
    <row r="64" spans="1:3" x14ac:dyDescent="0.25">
      <c r="A64" s="29"/>
      <c r="B64" s="30" t="s">
        <v>64</v>
      </c>
      <c r="C64" s="31">
        <f>VLOOKUP(C2,'9-003 NORMAL SUPERIOR'!E2:F1000,2,FALSE)</f>
        <v>0</v>
      </c>
    </row>
    <row r="65" spans="1:3" x14ac:dyDescent="0.25">
      <c r="B65" s="30" t="s">
        <v>65</v>
      </c>
      <c r="C65" s="31">
        <f>VLOOKUP(C2,'4-101 EL NEVADO - GOUDGE'!E2:F1000,2,FALSE)</f>
        <v>0</v>
      </c>
    </row>
    <row r="66" spans="1:3" x14ac:dyDescent="0.25">
      <c r="A66" s="29"/>
      <c r="B66" s="30" t="s">
        <v>66</v>
      </c>
      <c r="C66" s="31">
        <f>VLOOKUP(C2,'1-357 HORTENCIO OJEDA '!E2:F1000,2,FALSE)</f>
        <v>0</v>
      </c>
    </row>
    <row r="67" spans="1:3" x14ac:dyDescent="0.25">
      <c r="A67" s="29"/>
      <c r="B67" s="30" t="s">
        <v>67</v>
      </c>
      <c r="C67" s="31">
        <f>VLOOKUP(C2,'3-424 PAPA FRANCISCO '!E2:F1000,2,FALSE)</f>
        <v>0</v>
      </c>
    </row>
    <row r="68" spans="1:3" x14ac:dyDescent="0.25">
      <c r="B68" s="30" t="s">
        <v>68</v>
      </c>
      <c r="C68" s="31">
        <f>VLOOKUP(C2,'4-235 EDUARDO PLATERO'!E2:F989,2,FALSE)</f>
        <v>0</v>
      </c>
    </row>
    <row r="69" spans="1:3" x14ac:dyDescent="0.25">
      <c r="B69" s="30" t="s">
        <v>69</v>
      </c>
      <c r="C69" s="31">
        <f>VLOOKUP(C2,'1-406 ELIDA DE PESSANO'!E2:F989,2,FALSE)</f>
        <v>0</v>
      </c>
    </row>
    <row r="70" spans="1:3" x14ac:dyDescent="0.25">
      <c r="B70" s="30" t="s">
        <v>70</v>
      </c>
      <c r="C70" s="31">
        <f>VLOOKUP(C2,'1-415 BARRANCAS DEL PARANA'!E2:F1000,2,FALSE)</f>
        <v>0</v>
      </c>
    </row>
    <row r="71" spans="1:3" x14ac:dyDescent="0.25">
      <c r="B71" s="30" t="s">
        <v>71</v>
      </c>
      <c r="C71" s="31">
        <f>VLOOKUP(C2,'1-598 FEDERICO PALACIOS'!E2:F1000,2,FALSE)</f>
        <v>0</v>
      </c>
    </row>
    <row r="72" spans="1:3" x14ac:dyDescent="0.25">
      <c r="B72" s="30" t="s">
        <v>72</v>
      </c>
      <c r="C72" s="31">
        <f>VLOOKUP(C2,'1-083 FAUSTINO PICALLO'!E2:F1000,2,FALSE)</f>
        <v>0</v>
      </c>
    </row>
    <row r="73" spans="1:3" x14ac:dyDescent="0.25">
      <c r="B73" s="30" t="s">
        <v>73</v>
      </c>
      <c r="C73" s="31">
        <f>VLOOKUP(C2,'4-127 POLIVALENTE DE ARTE'!E2:F988,2,FALSE)</f>
        <v>0</v>
      </c>
    </row>
    <row r="74" spans="1:3" x14ac:dyDescent="0.25">
      <c r="B74" s="30" t="s">
        <v>74</v>
      </c>
      <c r="C74" s="31">
        <f>VLOOKUP(C2,'2-010 NICOLAS PAPERNO'!E2:F991,2,FALSE)</f>
        <v>0</v>
      </c>
    </row>
    <row r="75" spans="1:3" x14ac:dyDescent="0.25">
      <c r="B75" s="30" t="s">
        <v>75</v>
      </c>
      <c r="C75" s="31">
        <f>VLOOKUP(C2,'9-014 PROFESORADO DE ARTE'!E2:F1000,2,FALSE)</f>
        <v>0</v>
      </c>
    </row>
    <row r="76" spans="1:3" x14ac:dyDescent="0.25">
      <c r="B76" s="30" t="s">
        <v>76</v>
      </c>
      <c r="C76" s="31">
        <f>VLOOKUP(C2,'3-502 PROF. ALICIA PETRINI'!E2:F1000,2,FALSE)</f>
        <v>0</v>
      </c>
    </row>
    <row r="77" spans="1:3" x14ac:dyDescent="0.25">
      <c r="A77" s="29"/>
      <c r="B77" s="30" t="s">
        <v>77</v>
      </c>
      <c r="C77" s="31">
        <f>VLOOKUP(C2,'3-444 JUANA ROBLEDO'!E2:F1000,2,FALSE)</f>
        <v>0</v>
      </c>
    </row>
    <row r="78" spans="1:3" x14ac:dyDescent="0.25">
      <c r="B78" s="30" t="s">
        <v>78</v>
      </c>
      <c r="C78" s="31">
        <f>VLOOKUP(C2,'4-130 JORGE DE LA RETA'!E2:F988,2,FALSE)</f>
        <v>0</v>
      </c>
    </row>
    <row r="79" spans="1:3" x14ac:dyDescent="0.25">
      <c r="B79" s="30" t="s">
        <v>79</v>
      </c>
      <c r="C79" s="31">
        <f>VLOOKUP(C2,'1-138 SATURNINO DE LA RETA'!E2:F989,2,FALSE)</f>
        <v>0</v>
      </c>
    </row>
    <row r="80" spans="1:3" x14ac:dyDescent="0.25">
      <c r="B80" s="30" t="s">
        <v>80</v>
      </c>
      <c r="C80" s="31">
        <f>VLOOKUP(C2,'4-098 REPUBLICA DEL PERU'!E2:F1000,2,FALSE)</f>
        <v>0</v>
      </c>
    </row>
    <row r="81" spans="1:3" x14ac:dyDescent="0.25">
      <c r="B81" s="30" t="s">
        <v>81</v>
      </c>
      <c r="C81" s="31">
        <f>VLOOKUP(C2,'3-436 CACICA MARIA J. ROCO'!E2:F1000,2,FALSE)</f>
        <v>0</v>
      </c>
    </row>
    <row r="82" spans="1:3" x14ac:dyDescent="0.25">
      <c r="A82" s="29"/>
      <c r="B82" s="30" t="s">
        <v>82</v>
      </c>
      <c r="C82" s="31">
        <f>VLOOKUP(C2,'5-011 SAN FRANCISCO SOLANO'!E2:F1000,2,FALSE)</f>
        <v>0</v>
      </c>
    </row>
    <row r="83" spans="1:3" x14ac:dyDescent="0.25">
      <c r="B83" s="30" t="s">
        <v>83</v>
      </c>
      <c r="C83" s="31">
        <f>VLOOKUP(C2,'1-207 MANUEL A. SAEZ'!E2:F1000,2,FALSE)</f>
        <v>0</v>
      </c>
    </row>
    <row r="84" spans="1:3" x14ac:dyDescent="0.25">
      <c r="B84" s="30" t="s">
        <v>84</v>
      </c>
      <c r="C84" s="31">
        <f>VLOOKUP(C2,'3-490 SANTA MARIA DEL SILENCIO'!E2:F1000,2,FALSE)</f>
        <v>0</v>
      </c>
    </row>
    <row r="85" spans="1:3" x14ac:dyDescent="0.25">
      <c r="B85" s="30" t="s">
        <v>85</v>
      </c>
      <c r="C85" s="31">
        <f>VLOOKUP(C2,'4-004 MERCEDES A. DE SEGURA'!E2:F1000,2,FALSE)</f>
        <v>0</v>
      </c>
    </row>
    <row r="86" spans="1:3" x14ac:dyDescent="0.25">
      <c r="B86" s="30" t="s">
        <v>86</v>
      </c>
      <c r="C86" s="31">
        <f>VLOOKUP(C2,'1-226 SANTA CRUZ'!E2:F1000,2,FALSE)</f>
        <v>0</v>
      </c>
    </row>
    <row r="87" spans="1:3" x14ac:dyDescent="0.25">
      <c r="A87" s="29"/>
      <c r="B87" s="30" t="s">
        <v>87</v>
      </c>
      <c r="C87" s="31">
        <f>VLOOKUP(C2,'1-444 TEODORO J. SCHESTAKOW'!E2:F1000,2,FALSE)</f>
        <v>0</v>
      </c>
    </row>
    <row r="88" spans="1:3" x14ac:dyDescent="0.25">
      <c r="B88" s="30" t="s">
        <v>88</v>
      </c>
      <c r="C88" s="31">
        <f>VLOOKUP(C2,'1-186 JUAN B. TERAN'!E2:F1000,2,FALSE)</f>
        <v>0</v>
      </c>
    </row>
    <row r="89" spans="1:3" x14ac:dyDescent="0.25">
      <c r="B89" s="30" t="s">
        <v>89</v>
      </c>
      <c r="C89" s="31">
        <f>VLOOKUP(C2,'1-187 EMILIO TURQUI'!E2:F1000,2,FALSE)</f>
        <v>0</v>
      </c>
    </row>
    <row r="90" spans="1:3" x14ac:dyDescent="0.25">
      <c r="A90" s="29"/>
      <c r="B90" s="30" t="s">
        <v>90</v>
      </c>
      <c r="C90" s="31">
        <f>VLOOKUP(C2,'1-291 JOSE VILLANUEVA'!E2:F1000,2,FALSE)</f>
        <v>0</v>
      </c>
    </row>
    <row r="91" spans="1:3" x14ac:dyDescent="0.25">
      <c r="B91" s="30" t="s">
        <v>91</v>
      </c>
      <c r="C91" s="31">
        <f>VLOOKUP(C2,'1-092 JUAN ISIDRO ZAPATA'!E2:F1000,2,FALSE)</f>
        <v>0</v>
      </c>
    </row>
    <row r="92" spans="1:3" x14ac:dyDescent="0.25">
      <c r="B92" s="30" t="s">
        <v>92</v>
      </c>
      <c r="C92" s="31">
        <f>VLOOKUP(C2,'2-039 CARRONE'!E2:F1000,2,FALSE)</f>
        <v>0</v>
      </c>
    </row>
    <row r="93" spans="1:3" x14ac:dyDescent="0.25">
      <c r="B93" s="30" t="s">
        <v>93</v>
      </c>
      <c r="C93" s="31">
        <f>VLOOKUP(C2,'3-035 JOSE ALCORTA'!E2:F1000,2,FALSE)</f>
        <v>0</v>
      </c>
    </row>
    <row r="94" spans="1:3" x14ac:dyDescent="0.25">
      <c r="B94" s="30" t="s">
        <v>94</v>
      </c>
      <c r="C94" s="31">
        <f>VLOOKUP(C2,'3-226 JUDITH DE SAMA'!E2:F1000,2,FALSE)</f>
        <v>0</v>
      </c>
    </row>
    <row r="95" spans="1:3" x14ac:dyDescent="0.25">
      <c r="B95" s="30" t="s">
        <v>95</v>
      </c>
      <c r="C95" s="31">
        <f>VLOOKUP(C2,'3-030 7º CABALLERIA'!E2:F1000,2,FALSE)</f>
        <v>0</v>
      </c>
    </row>
    <row r="96" spans="1:3" x14ac:dyDescent="0.25">
      <c r="B96" s="30" t="s">
        <v>105</v>
      </c>
      <c r="C96" s="31">
        <f>VLOOKUP(C2,'T-003 NORMAL SUPERIOR Terciario'!E2:F1000,2,FALSE)</f>
        <v>0</v>
      </c>
    </row>
    <row r="97" spans="2:3" x14ac:dyDescent="0.25">
      <c r="B97" s="30" t="s">
        <v>96</v>
      </c>
      <c r="C97" s="31">
        <f>VLOOKUP(C2,'3-109 R. FERNANDEZ'!E2:F1000,2,FALSE)</f>
        <v>0</v>
      </c>
    </row>
    <row r="98" spans="2:3" x14ac:dyDescent="0.25">
      <c r="B98" s="30" t="s">
        <v>97</v>
      </c>
      <c r="C98" s="31">
        <f>VLOOKUP(C2,'1-270 RODOLFO ISELIN'!E2:F989,2,FALSE)</f>
        <v>0</v>
      </c>
    </row>
    <row r="99" spans="2:3" x14ac:dyDescent="0.25">
      <c r="B99" s="30" t="s">
        <v>98</v>
      </c>
      <c r="C99" s="31">
        <f>VLOOKUP(C2,'0-195 EL MOLINO'!E2:F1000,2,FALSE)</f>
        <v>0</v>
      </c>
    </row>
    <row r="100" spans="2:3" x14ac:dyDescent="0.25">
      <c r="B100" s="30" t="s">
        <v>172</v>
      </c>
      <c r="C100" s="31">
        <f>VLOOKUP(C2,'9-036 NORMAL PRIMARIO'!E2:F1000,2,FALSE)</f>
        <v>0</v>
      </c>
    </row>
    <row r="101" spans="2:3" x14ac:dyDescent="0.25">
      <c r="B101" s="30" t="s">
        <v>214</v>
      </c>
      <c r="C101" s="31">
        <f>VLOOKUP(C2,'2-024 AMADEO NATALE'!E2:F1000,2,FALSE)</f>
        <v>0</v>
      </c>
    </row>
    <row r="102" spans="2:3" x14ac:dyDescent="0.25">
      <c r="B102" s="30" t="s">
        <v>215</v>
      </c>
      <c r="C102" s="31">
        <f>VLOOKUP(C2,'7-007 RAUL'!E2:F1000,2,FALSE)</f>
        <v>0</v>
      </c>
    </row>
  </sheetData>
  <sheetProtection algorithmName="SHA-512" hashValue="LgwYmhVA8bq1LMOaXM7bi2KMx8N0wK84EDLDB4JPXWyHTAKptkt1bLH7YBtGD8ww/0MAvyexK0DNcRHMtj+V6g==" saltValue="YRgsuJ8vpFlW1VDlRXTguQ==" spinCount="100000" sheet="1" objects="1" scenarios="1"/>
  <hyperlinks>
    <hyperlink ref="B2" location="'Escuela5'!A1" display="Escuela5" xr:uid="{00000000-0004-0000-0000-000000000000}"/>
    <hyperlink ref="B3" location="'9-012 IES S-N INFORMATICA'!A1" display="9-012 IES S-N INFORMATICA" xr:uid="{00000000-0004-0000-0000-000001000000}"/>
    <hyperlink ref="B4" location="'4-239 S-N EL SOSNEADO'!A1" display="4-239 S-N EL SOSNEADO" xr:uid="{00000000-0004-0000-0000-000002000000}"/>
    <hyperlink ref="B5" location="'6-042 S-N'!A1" display="6-042 S-N" xr:uid="{00000000-0004-0000-0000-000003000000}"/>
    <hyperlink ref="B6" location="'4-246 S- N '!A1" display="4-246 S- N " xr:uid="{00000000-0004-0000-0000-000004000000}"/>
    <hyperlink ref="B7" location="'4-230 S-N'!A1" display="4-230 S-N" xr:uid="{00000000-0004-0000-0000-000005000000}"/>
    <hyperlink ref="B8" location="'6-046 S-N'!A1" display="6-046 S-N" xr:uid="{00000000-0004-0000-0000-000006000000}"/>
    <hyperlink ref="B9" location="'3-076 CORA T. DE ACOSTA'!A1" display="3-076 CORA T. DE ACOSTA" xr:uid="{00000000-0004-0000-0000-000007000000}"/>
    <hyperlink ref="B10" location="'4-170 AGUAS DEL DIAMANTE'!A1" display="4-170 AGUAS DEL DIAMANTE" xr:uid="{00000000-0004-0000-0000-000008000000}"/>
    <hyperlink ref="B11" location="'4-221 VALENTIN BIANCHI'!A1" display="4-221 VALENTIN BIANCHI" xr:uid="{00000000-0004-0000-0000-000009000000}"/>
    <hyperlink ref="B12" location="'1-447 PEDRO BOMBAL '!A1" display="1-447 PEDRO BOMBAL " xr:uid="{00000000-0004-0000-0000-00000A000000}"/>
    <hyperlink ref="B13" location="'1-344 CARLOS BUNGE'!A1" display="1-344 CARLOS BUNGE" xr:uid="{00000000-0004-0000-0000-00000B000000}"/>
    <hyperlink ref="B14" location="'1-351 SAN JUAN BOSCO '!A1" display="1-351 SAN JUAN BOSCO " xr:uid="{00000000-0004-0000-0000-00000C000000}"/>
    <hyperlink ref="B15" location="'1-262 ALFREDO BUFANO'!A1" display="1-262 ALFREDO BUFANO" xr:uid="{00000000-0004-0000-0000-00000D000000}"/>
    <hyperlink ref="B16" location="'1-297 DANIEL BUSTELO'!A1" display="1-297 DANIEL BUSTELO" xr:uid="{00000000-0004-0000-0000-00000E000000}"/>
    <hyperlink ref="B17" location="'1-124 SANTOS BIRITOS '!A1" display="1-124 SANTOS BIRITOS " xr:uid="{00000000-0004-0000-0000-00000F000000}"/>
    <hyperlink ref="B18" location="'1-094 JACINTO BOTANA'!A1" display="1-094 JACINTO BOTANA" xr:uid="{00000000-0004-0000-0000-000010000000}"/>
    <hyperlink ref="B19" location="'4-070 ABELARDO A. BALLOFFET'!A1" display="4-070 ABELARDO A. BALLOFFET" xr:uid="{00000000-0004-0000-0000-000011000000}"/>
    <hyperlink ref="B20" location="'9-036 M.T.S.M. DE BALCARCE '!A1" display="9-036 M.T.S.M. DE BALCARCE " xr:uid="{00000000-0004-0000-0000-000012000000}"/>
    <hyperlink ref="B21" location="'3-428 PROF. A. BLANCO '!A1" display="3-428 PROF. A. BLANCO " xr:uid="{00000000-0004-0000-0000-000013000000}"/>
    <hyperlink ref="B22" location="'7-002 CHIMENO CODÓ '!A1" display="7-002 CHIMENO CODÓ " xr:uid="{00000000-0004-0000-0000-000014000000}"/>
    <hyperlink ref="B23" location="'5-004 BLANCA NOTTI DE CUARTARA'!A1" display="5-004 BLANCA NOTTI DE CUARTARA" xr:uid="{00000000-0004-0000-0000-000015000000}"/>
    <hyperlink ref="B24" location="'4-129 ANA G. DE CALZADA'!A1" display="4-129 ANA G. DE CALZADA" xr:uid="{00000000-0004-0000-0000-000016000000}"/>
    <hyperlink ref="B25" location="'1-081 COMODORO LUIS PY '!A1" display="1-081 COMODORO LUIS PY " xr:uid="{00000000-0004-0000-0000-000017000000}"/>
    <hyperlink ref="B26" location="'3-468 DANIEL PRIETO CASTILLO '!A1" display="3-468 DANIEL PRIETO CASTILLO " xr:uid="{00000000-0004-0000-0000-000018000000}"/>
    <hyperlink ref="B27" location="'1-302 RAFAEL M. CASTILLO '!A1" display="1-302 RAFAEL M. CASTILLO " xr:uid="{00000000-0004-0000-0000-000019000000}"/>
    <hyperlink ref="B28" location="'6-039 GUILLERMO CATALAN'!A1" display="6-039 GUILLERMO CATALAN" xr:uid="{00000000-0004-0000-0000-00001A000000}"/>
    <hyperlink ref="B29" location="'3-066 PROF. NORMA DIAZ'!A1" display="3-066 PROF. NORMA DIAZ" xr:uid="{00000000-0004-0000-0000-00001B000000}"/>
    <hyperlink ref="B30" location="'0-137 DIVINO NIÑO JESUS '!A1" display="0-137 DIVINO NIÑO JESUS " xr:uid="{00000000-0004-0000-0000-00001C000000}"/>
    <hyperlink ref="B31" location="'4-043 ANTONIO DI BENEDETTO'!A1" display="4-043 ANTONIO DI BENEDETTO" xr:uid="{00000000-0004-0000-0000-00001D000000}"/>
    <hyperlink ref="B32" location="'4-117 EJERCITO DE LOS ANDES'!A1" display="4-117 EJERCITO DE LOS ANDES" xr:uid="{00000000-0004-0000-0000-00001E000000}"/>
    <hyperlink ref="B33" location="'3-029  FERROVIARIOS ARGENTINOS'!A1" display="3-029  FERROVIARIOS ARGENTINOS" xr:uid="{00000000-0004-0000-0000-00001F000000}"/>
    <hyperlink ref="B34" location="'6-024 ANGELINA OLAGUER DE FELIÚ'!A1" display="6-024 ANGELINA OLAGUER DE FELIÚ" xr:uid="{00000000-0004-0000-0000-000020000000}"/>
    <hyperlink ref="B35" location="'4-057 MARGARITA C. DE GEARY'!A1" display="4-057 MARGARITA C. DE GEARY" xr:uid="{00000000-0004-0000-0000-000021000000}"/>
    <hyperlink ref="B36" location="'1-271 PEDRO GOYENA'!A1" display="1-271 PEDRO GOYENA" xr:uid="{00000000-0004-0000-0000-000022000000}"/>
    <hyperlink ref="B37" location="'4-021 MARTIN GUEMES'!A1" display="4-021 MARTIN GUEMES" xr:uid="{00000000-0004-0000-0000-000023000000}"/>
    <hyperlink ref="B38" location="'4-198 FRANCISCO GARCIA'!A1" display="4-198 FRANCISCO GARCIA" xr:uid="{00000000-0004-0000-0000-000024000000}"/>
    <hyperlink ref="B39" location="'4-014 MAYOR GARCIA'!A1" display="4-014 MAYOR GARCIA" xr:uid="{00000000-0004-0000-0000-000025000000}"/>
    <hyperlink ref="B40" location="'1-285 JUAN DE GARAY'!A1" display="1-285 JUAN DE GARAY" xr:uid="{00000000-0004-0000-0000-000026000000}"/>
    <hyperlink ref="B41" location="'1-084 DEOCLESIO GARCIA'!A1" display="1-084 DEOCLESIO GARCIA" xr:uid="{00000000-0004-0000-0000-000027000000}"/>
    <hyperlink ref="B42" location="'4-141 ANTONIO GARBIN'!A1" display="4-141 ANTONIO GARBIN" xr:uid="{00000000-0004-0000-0000-000028000000}"/>
    <hyperlink ref="B43" location="'1-091 DOMINGO HERMIDA'!A1" display="1-091 DOMINGO HERMIDA" xr:uid="{00000000-0004-0000-0000-000029000000}"/>
    <hyperlink ref="B44" location="'9-011 IES DEL ATUEL'!A1" display="9-011 IES DEL ATUEL" xr:uid="{00000000-0004-0000-0000-00002A000000}"/>
    <hyperlink ref="B45" location="'3-015 TENIENTE IBAÑEZ'!A1" display="3-015 TENIENTE IBAÑEZ" xr:uid="{00000000-0004-0000-0000-00002B000000}"/>
    <hyperlink ref="B46" location="'4-006 PASCUAL IACCARINI'!A1" display="4-006 PASCUAL IACCARINI" xr:uid="{00000000-0004-0000-0000-00002C000000}"/>
    <hyperlink ref="B47" location="'64 P. ESPECIAL IRIS'!A1" display="64 P. ESPECIAL IRIS" xr:uid="{00000000-0004-0000-0000-00002D000000}"/>
    <hyperlink ref="B48" location="'3-227 PROF. MARIA E. IZUEL'!A1" display="3-227 PROF. MARIA E. IZUEL" xr:uid="{00000000-0004-0000-0000-00002E000000}"/>
    <hyperlink ref="B49" location="'4-017 BERNARDINO IZUEL'!A1" display="4-017 BERNARDINO IZUEL" xr:uid="{00000000-0004-0000-0000-00002F000000}"/>
    <hyperlink ref="B50" location="'4-095 ISLAS MALVINAS'!A1" display="4-095 ISLAS MALVINAS" xr:uid="{00000000-0004-0000-0000-000030000000}"/>
    <hyperlink ref="B51" location="'4-116 JUAN PABLO II'!A1" display="4-116 JUAN PABLO II" xr:uid="{00000000-0004-0000-0000-000031000000}"/>
    <hyperlink ref="B52" location="'4-169  DR. BERNARDINO LEIVA'!A1" display="4-169  DR. BERNARDINO LEIVA" xr:uid="{00000000-0004-0000-0000-000032000000}"/>
    <hyperlink ref="B53" location="'3-097 ARNALDO LINDAVER'!A1" display="3-097 ARNALDO LINDAVER" xr:uid="{00000000-0004-0000-0000-000033000000}"/>
    <hyperlink ref="B54" location="'1-442 COLONIZADOR V. LOPEZ'!A1" display="1-442 COLONIZADOR V. LOPEZ" xr:uid="{00000000-0004-0000-0000-000034000000}"/>
    <hyperlink ref="B55" location="'4-229 DR. HUMBERTO LAGIGLIA'!A1" display="4-229 DR. HUMBERTO LAGIGLIA" xr:uid="{00000000-0004-0000-0000-000035000000}"/>
    <hyperlink ref="B56" location="'1-258 T. LUZURIAGA'!A1" display="1-258 T. LUZURIAGA" xr:uid="{00000000-0004-0000-0000-000036000000}"/>
    <hyperlink ref="B57" location="'MUNICIPALIDAD DE SAN RAFAEL'!A1" display="MUNICIPALIDAD DE SAN RAFAEL" xr:uid="{00000000-0004-0000-0000-000037000000}"/>
    <hyperlink ref="B58" location="'1-076 PEDRO MOLINA'!A1" display="1-076 PEDRO MOLINA" xr:uid="{00000000-0004-0000-0000-000038000000}"/>
    <hyperlink ref="B59" location="'4-087 MANUEL I. MOLINA'!A1" display="4-087 MANUEL I. MOLINA" xr:uid="{00000000-0004-0000-0000-000039000000}"/>
    <hyperlink ref="B60" location="'4-124 REYNALDO MERIN'!A1" display="4-124 REYNALDO MERIN" xr:uid="{00000000-0004-0000-0000-00003A000000}"/>
    <hyperlink ref="B61" location="'1-125 MERCEDES MAURE'!A1" display="1-125 MERCEDES MAURE" xr:uid="{00000000-0004-0000-0000-00003B000000}"/>
    <hyperlink ref="B62" location="'218. P.S. LA BUENA MADRE'!A1" display="218. P.S. LA BUENA MADRE" xr:uid="{00000000-0004-0000-0000-00003C000000}"/>
    <hyperlink ref="B63" location="'3-102 COMBATIENTES DE MALVINAS'!A1" display="3-102 COMBATIENTES DE MALVINAS" xr:uid="{00000000-0004-0000-0000-00003D000000}"/>
    <hyperlink ref="B64" location="'9-003 NORMAL SUPERIOR'!A1" display="9-003 NORMAL SUPERIOR" xr:uid="{00000000-0004-0000-0000-00003E000000}"/>
    <hyperlink ref="B65" location="'4-101 EL NEVADO - GOUDGE'!A1" display="4-101 EL NEVADO - GOUDGE" xr:uid="{00000000-0004-0000-0000-00003F000000}"/>
    <hyperlink ref="B66" location="'1-357 HORTENCIO OJEDA '!A1" display="1-357 HORTENCIO OJEDA " xr:uid="{00000000-0004-0000-0000-000040000000}"/>
    <hyperlink ref="B67" location="'3-424 PAPA FRANCISCO '!A1" display="3-424 PAPA FRANCISCO " xr:uid="{00000000-0004-0000-0000-000041000000}"/>
    <hyperlink ref="B68" location="'4-235 EDUARDO PLATERO'!A1" display="4-235 EDUARDO PLATERO" xr:uid="{00000000-0004-0000-0000-000042000000}"/>
    <hyperlink ref="B69" location="'1-406 ELIDA DE PESSANO'!A1" display="1-406 ELIDA DE PESSANO" xr:uid="{00000000-0004-0000-0000-000043000000}"/>
    <hyperlink ref="B70" location="'1-415 BARRANCAS DEL PARANA'!A1" display="1-415 BARRANCAS DEL PARANA" xr:uid="{00000000-0004-0000-0000-000044000000}"/>
    <hyperlink ref="B71" location="'1-598 FEDERICO PALACIOS'!A1" display="1-598 FEDERICO PALACIOS" xr:uid="{00000000-0004-0000-0000-000045000000}"/>
    <hyperlink ref="B72" location="'1-083 FAUSTINO PICALLO'!A1" display="1-083 FAUSTINO PICALLO" xr:uid="{00000000-0004-0000-0000-000046000000}"/>
    <hyperlink ref="B73" location="'4-127 POLIVALENTE DE ARTE'!A1" display="4-127 POLIVALENTE DE ARTE" xr:uid="{00000000-0004-0000-0000-000047000000}"/>
    <hyperlink ref="B74" location="'2-010 NICOLAS PAPERNO'!A1" display="2-010 NICOLAS PAPERNO" xr:uid="{00000000-0004-0000-0000-000048000000}"/>
    <hyperlink ref="B75" location="'9-014 PROFESORADO DE ARTE'!A1" display="9-014 PROFESORADO DE ARTE" xr:uid="{00000000-0004-0000-0000-000049000000}"/>
    <hyperlink ref="B76" location="'3-502 PROF. ALICIA PETRINI'!A1" display="3-502 PROF. ALICIA PETRINI" xr:uid="{00000000-0004-0000-0000-00004A000000}"/>
    <hyperlink ref="B77" location="'3-444 JUANA ROBLEDO'!A1" display="3-444 JUANA ROBLEDO" xr:uid="{00000000-0004-0000-0000-00004B000000}"/>
    <hyperlink ref="B78" location="'4-130 JORGE DE LA RETA'!A1" display="4-130 JORGE DE LA RETA" xr:uid="{00000000-0004-0000-0000-00004C000000}"/>
    <hyperlink ref="B79" location="'1-138 SATURNINO DE LA RETA'!A1" display="1-138 SATURNINO DE LA RETA" xr:uid="{00000000-0004-0000-0000-00004D000000}"/>
    <hyperlink ref="B80" location="'4-098 REPUBLICA DEL PERU'!A1" display="4-098 REPUBLICA DEL PERU" xr:uid="{00000000-0004-0000-0000-00004E000000}"/>
    <hyperlink ref="B81" location="'3-436 CACICA MARIA J. ROCO'!A1" display="3-436 CACICA MARIA J. ROCO" xr:uid="{00000000-0004-0000-0000-00004F000000}"/>
    <hyperlink ref="B82" location="'5-011 SAN FRANCISCO SOLANO'!A1" display="5-011 SAN FRANCISCO SOLANO" xr:uid="{00000000-0004-0000-0000-000050000000}"/>
    <hyperlink ref="B83" location="'1-207 MANUEL A. SAEZ'!A1" display="1-207 MANUEL A. SAEZ" xr:uid="{00000000-0004-0000-0000-000051000000}"/>
    <hyperlink ref="B84" location="'3-490 SANTA MARIA DEL SILENCIO'!A1" display="3-490 SANTA MARIA DEL SILENCIO" xr:uid="{00000000-0004-0000-0000-000052000000}"/>
    <hyperlink ref="B85" location="'4-004 MERCEDES A. DE SEGURA'!A1" display="4-004 MERCEDES A. DE SEGURA" xr:uid="{00000000-0004-0000-0000-000053000000}"/>
    <hyperlink ref="B86" location="'1-226 SANTA CRUZ'!A1" display="1-226 SANTA CRUZ" xr:uid="{00000000-0004-0000-0000-000054000000}"/>
    <hyperlink ref="B87" location="'1-444 TEODORO J. SCHESTAKOW'!A1" display="1-444 TEODORO J. SCHESTAKOW" xr:uid="{00000000-0004-0000-0000-000055000000}"/>
    <hyperlink ref="B88" location="'1-186 JUAN B. TERAN'!A1" display="1-186 JUAN B. TERAN" xr:uid="{00000000-0004-0000-0000-000056000000}"/>
    <hyperlink ref="B89" location="'1-187 EMILIO TURQUI'!A1" display="1-187 EMILIO TURQUI" xr:uid="{00000000-0004-0000-0000-000057000000}"/>
    <hyperlink ref="B90" location="'1-291 JOSE VILLANUEVA'!A1" display="1-291 JOSE VILLANUEVA" xr:uid="{00000000-0004-0000-0000-000058000000}"/>
    <hyperlink ref="B91" location="'1-092 JUAN ISIDRO ZAPATA'!A1" display="1-092 JUAN ISIDRO ZAPATA" xr:uid="{00000000-0004-0000-0000-000059000000}"/>
    <hyperlink ref="B92" location="'2-039 CARRONE'!A1" display="2-039 CARRONE" xr:uid="{00000000-0004-0000-0000-00005A000000}"/>
    <hyperlink ref="B93" location="'3-035 JOSE ALCORTA'!A1" display="3-035 JOSE ALCORTA" xr:uid="{00000000-0004-0000-0000-00005B000000}"/>
    <hyperlink ref="B94" location="'3-226 JUDITH DE SAMA'!A1" display="3-226 JUDITH DE SAMA" xr:uid="{00000000-0004-0000-0000-00005C000000}"/>
    <hyperlink ref="B95" location="'3-030 7º CABALLERIA'!A1" display="3-030 7º CABALLERIA" xr:uid="{00000000-0004-0000-0000-00005D000000}"/>
    <hyperlink ref="B96" location="'T-003 NORMAL SUPERIOR Terciario'!A1" display="T-003 NORMAL SUPERIOR Terciario" xr:uid="{00000000-0004-0000-0000-00005E000000}"/>
    <hyperlink ref="B97" location="'3-109 R. FERNANDEZ'!A1" display="3-109 R. FERNANDEZ" xr:uid="{00000000-0004-0000-0000-00005F000000}"/>
    <hyperlink ref="B98" location="'1-270 RODOLFO ISELIN'!A1" display="1-270 RODOLFO ISELIN" xr:uid="{00000000-0004-0000-0000-000060000000}"/>
    <hyperlink ref="B99" location="'0-195 EL MOLINO'!A1" display="0-195 EL MOLINO" xr:uid="{00000000-0004-0000-0000-000061000000}"/>
    <hyperlink ref="B100" location="'9-036 NORMAL PRIMARIO'!A1" display="9-036 NORMAL PRIMARIO" xr:uid="{00000000-0004-0000-0000-000062000000}"/>
    <hyperlink ref="B101" location="'2-024 AMADEO NATALE'!A1" display="2-024 AMADEO NATALE" xr:uid="{00000000-0004-0000-0000-000063000000}"/>
    <hyperlink ref="B102" location="'7-007 RAUL'!A1" display="7-007 RAUL" xr:uid="{00000000-0004-0000-0000-000064000000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regarEscuela">
                <anchor moveWithCells="1" sizeWithCells="1">
                  <from>
                    <xdr:col>4</xdr:col>
                    <xdr:colOff>38100</xdr:colOff>
                    <xdr:row>0</xdr:row>
                    <xdr:rowOff>38100</xdr:rowOff>
                  </from>
                  <to>
                    <xdr:col>5</xdr:col>
                    <xdr:colOff>142875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sprotegerLibro">
                <anchor moveWithCells="1" sizeWithCells="1">
                  <from>
                    <xdr:col>5</xdr:col>
                    <xdr:colOff>209550</xdr:colOff>
                    <xdr:row>0</xdr:row>
                    <xdr:rowOff>38100</xdr:rowOff>
                  </from>
                  <to>
                    <xdr:col>6</xdr:col>
                    <xdr:colOff>314325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otegerLibro">
                <anchor moveWithCells="1" sizeWithCells="1">
                  <from>
                    <xdr:col>6</xdr:col>
                    <xdr:colOff>371475</xdr:colOff>
                    <xdr:row>0</xdr:row>
                    <xdr:rowOff>38100</xdr:rowOff>
                  </from>
                  <to>
                    <xdr:col>7</xdr:col>
                    <xdr:colOff>476250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1"/>
  <dimension ref="B1:F23"/>
  <sheetViews>
    <sheetView zoomScaleNormal="100" workbookViewId="0">
      <pane ySplit="2" topLeftCell="A3" activePane="bottomLeft" state="frozen"/>
      <selection pane="bottomLeft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3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</sheetData>
  <sheetProtection algorithmName="SHA-512" hashValue="WYE0HZQw+gk/mcdWwkGaun8u4pW551qdcSgKeqtxt+aIlqe7IH+6M7TxsUFuyfgoFMPJkUtapgCmqw+tk3tHTA==" saltValue="8kcco62TrC/lHxS1xUZ2Ew==" spinCount="100000" sheet="1" objects="1" scenarios="1"/>
  <hyperlinks>
    <hyperlink ref="B1" location="'INF. GENERAL'!A1" display="VOLVER" xr:uid="{00000000-0004-0000-01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02"/>
  <dimension ref="B1:F23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4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</sheetData>
  <sheetProtection algorithmName="SHA-512" hashValue="iRr48oShytVjaBsKJ7dHWI1fVPA/GoB/PNcBBBb5tSQFtrgJ4RkizRS18mNbPK+/uX0Azxmxmuw7woVfA/8Y1A==" saltValue="9n6mhRO4v/pBcvIF91/bNg==" spinCount="100000" sheet="1" objects="1" scenarios="1"/>
  <hyperlinks>
    <hyperlink ref="B1" location="'INF. GENERAL'!A1" display="VOLVER" xr:uid="{00000000-0004-0000-02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3"/>
  <dimension ref="B1:F24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5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</sheetData>
  <sheetProtection algorithmName="SHA-512" hashValue="WeOjFzEv0hC47L9LaAswHMczmRM9IjIgzTLY6toDHGgZU2LoRyOFBIArGqMQeKGh7RRb8zWlOus1R0ryGZMEiw==" saltValue="MvX7HaLdlcc/E5BChvz+rg==" spinCount="100000" sheet="1" objects="1" scenarios="1"/>
  <hyperlinks>
    <hyperlink ref="B1" location="'INF. GENERAL'!A1" display="VOLVER" xr:uid="{00000000-0004-0000-03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04"/>
  <dimension ref="B1:F46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6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</sheetData>
  <sheetProtection algorithmName="SHA-512" hashValue="Ml8n7U1+e5retHs+JP1Dv22tSWtncKxpmmxhjS3SRbRc67L2d7BBOBYd1erovPbPljmhiPRreTnTilb5wdEUUw==" saltValue="CnA2MaZNjf6MXpBPOyvE9w==" spinCount="100000" sheet="1" objects="1" scenarios="1"/>
  <hyperlinks>
    <hyperlink ref="B1" location="'INF. GENERAL'!A1" display="VOLVER" xr:uid="{00000000-0004-0000-04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05"/>
  <dimension ref="B1:F27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7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</sheetData>
  <sheetProtection algorithmName="SHA-512" hashValue="2wE8NJNme669EDl3Pkz3GLtmfM5e+8Su0Pr54d7GBpwyOG4wb9pv5m/B/C2LyKLsQUMJ7lzmSnvDgwA5bw2WYw==" saltValue="6u/GxlHw8QU5ruM8pKw5Kg==" spinCount="100000" sheet="1" objects="1" scenarios="1"/>
  <hyperlinks>
    <hyperlink ref="B1" location="'INF. GENERAL'!A1" display="VOLVER" xr:uid="{00000000-0004-0000-05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06"/>
  <dimension ref="B1:F26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8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</sheetData>
  <sheetProtection algorithmName="SHA-512" hashValue="2Kl61TZWqFLWFB+y5NS99LOxmkkbzQimc3oxkfLwQwX8aIkZZx2jYcrn89l721uQuFHK/J/vas8rpnCEmqnNzw==" saltValue="BZvcoE/o4DT9kDefh9JbaA==" spinCount="100000" sheet="1" objects="1" scenarios="1"/>
  <hyperlinks>
    <hyperlink ref="B1" location="'INF. GENERAL'!A1" display="VOLVER" xr:uid="{00000000-0004-0000-06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07"/>
  <dimension ref="B1:F19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9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</sheetData>
  <sheetProtection algorithmName="SHA-512" hashValue="tlPc/+UUIRbBoY3isMxGrPxUrqTeT0Q0RytjjJa8j5LaLpymt4cjVJwX2r74knhKP5As2zM0oyAzhZHuN1OOaA==" saltValue="b6l0XKErI/X0eM82Qy2F0Q==" spinCount="100000" sheet="1" objects="1" scenarios="1"/>
  <hyperlinks>
    <hyperlink ref="B1" location="'INF. GENERAL'!A1" display="VOLVER" xr:uid="{00000000-0004-0000-07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4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8"/>
  <dimension ref="B1:F31"/>
  <sheetViews>
    <sheetView zoomScaleNormal="100" workbookViewId="0">
      <pane ySplit="2" topLeftCell="A12" activePane="bottomLeft" state="frozen"/>
      <selection pane="bottomLeft" activeCell="B12" sqref="B12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10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8">
        <v>42370</v>
      </c>
      <c r="C3" s="9" t="s">
        <v>107</v>
      </c>
      <c r="D3" s="12">
        <v>0</v>
      </c>
      <c r="E3" s="11"/>
      <c r="F3" s="11">
        <f>D3-E3</f>
        <v>0</v>
      </c>
    </row>
    <row r="4" spans="2:6" x14ac:dyDescent="0.25">
      <c r="B4" s="8">
        <v>42447</v>
      </c>
      <c r="C4" s="9" t="s">
        <v>109</v>
      </c>
      <c r="D4" s="12">
        <v>8770</v>
      </c>
      <c r="E4" s="11"/>
      <c r="F4" s="11">
        <f>F3+D4-E4</f>
        <v>8770</v>
      </c>
    </row>
    <row r="5" spans="2:6" x14ac:dyDescent="0.25">
      <c r="B5" s="8">
        <v>42447</v>
      </c>
      <c r="C5" s="9" t="s">
        <v>110</v>
      </c>
      <c r="D5" s="12"/>
      <c r="E5" s="11">
        <v>8770</v>
      </c>
      <c r="F5" s="11">
        <f t="shared" ref="F5:F22" si="0">F4+D5-E5</f>
        <v>0</v>
      </c>
    </row>
    <row r="6" spans="2:6" x14ac:dyDescent="0.25">
      <c r="B6" s="8">
        <v>42480</v>
      </c>
      <c r="C6" s="9" t="s">
        <v>111</v>
      </c>
      <c r="D6" s="12">
        <v>8770</v>
      </c>
      <c r="E6" s="11"/>
      <c r="F6" s="11">
        <f t="shared" si="0"/>
        <v>8770</v>
      </c>
    </row>
    <row r="7" spans="2:6" x14ac:dyDescent="0.25">
      <c r="B7" s="8">
        <v>42481</v>
      </c>
      <c r="C7" s="9" t="s">
        <v>112</v>
      </c>
      <c r="D7" s="12"/>
      <c r="E7" s="11">
        <v>8770</v>
      </c>
      <c r="F7" s="11">
        <f t="shared" si="0"/>
        <v>0</v>
      </c>
    </row>
    <row r="8" spans="2:6" x14ac:dyDescent="0.25">
      <c r="B8" s="8">
        <v>42508</v>
      </c>
      <c r="C8" s="9" t="s">
        <v>113</v>
      </c>
      <c r="D8" s="12">
        <v>8770</v>
      </c>
      <c r="E8" s="11"/>
      <c r="F8" s="11">
        <f t="shared" si="0"/>
        <v>8770</v>
      </c>
    </row>
    <row r="9" spans="2:6" x14ac:dyDescent="0.25">
      <c r="B9" s="8">
        <v>42508</v>
      </c>
      <c r="C9" s="9" t="s">
        <v>114</v>
      </c>
      <c r="D9" s="12"/>
      <c r="E9" s="11">
        <v>8770</v>
      </c>
      <c r="F9" s="11">
        <f t="shared" si="0"/>
        <v>0</v>
      </c>
    </row>
    <row r="10" spans="2:6" x14ac:dyDescent="0.25">
      <c r="B10" s="8">
        <v>42537</v>
      </c>
      <c r="C10" s="9" t="s">
        <v>115</v>
      </c>
      <c r="D10" s="12">
        <v>8770</v>
      </c>
      <c r="E10" s="11"/>
      <c r="F10" s="11">
        <f t="shared" si="0"/>
        <v>8770</v>
      </c>
    </row>
    <row r="11" spans="2:6" x14ac:dyDescent="0.25">
      <c r="B11" s="14">
        <v>42542</v>
      </c>
      <c r="C11" s="15" t="s">
        <v>116</v>
      </c>
      <c r="D11" s="21"/>
      <c r="E11" s="16">
        <v>8770</v>
      </c>
      <c r="F11" s="16">
        <f t="shared" si="0"/>
        <v>0</v>
      </c>
    </row>
    <row r="12" spans="2:6" x14ac:dyDescent="0.25">
      <c r="B12" s="32"/>
      <c r="C12" s="32"/>
      <c r="D12" s="35"/>
      <c r="E12" s="36"/>
      <c r="F12" s="37">
        <f>F11+D12-E12</f>
        <v>0</v>
      </c>
    </row>
    <row r="13" spans="2:6" x14ac:dyDescent="0.25">
      <c r="D13"/>
      <c r="E13" s="33" t="s">
        <v>2</v>
      </c>
      <c r="F13" s="34">
        <f>F12</f>
        <v>0</v>
      </c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</sheetData>
  <sheetProtection algorithmName="SHA-512" hashValue="YaR6qWE4/jouwCtr7vEz1q/9QBBb9Ya0ObiJ9tHI/wPQNozv6n3cuOOeyr+UvZBo8uXLB5abhVdDe5nqXGZNGw==" saltValue="PbKBgsRNVa/1MG4AWRXFXA==" spinCount="100000" sheet="1" objects="1" scenarios="1"/>
  <hyperlinks>
    <hyperlink ref="B1" location="'INF. GENERAL'!A1" display="VOLVER" xr:uid="{00000000-0004-0000-08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8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9"/>
  <dimension ref="B1:F32"/>
  <sheetViews>
    <sheetView zoomScaleNormal="100" workbookViewId="0">
      <pane ySplit="2" topLeftCell="A18" activePane="bottomLeft" state="frozen"/>
      <selection pane="bottomLeft" activeCell="B18" sqref="B18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11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8">
        <v>42370</v>
      </c>
      <c r="C3" s="9" t="s">
        <v>107</v>
      </c>
      <c r="D3" s="10">
        <v>0</v>
      </c>
      <c r="E3" s="11"/>
      <c r="F3" s="11">
        <f>D3-E3</f>
        <v>0</v>
      </c>
    </row>
    <row r="4" spans="2:6" x14ac:dyDescent="0.25">
      <c r="B4" s="8">
        <v>42452</v>
      </c>
      <c r="C4" s="9" t="s">
        <v>117</v>
      </c>
      <c r="D4" s="12">
        <v>1000</v>
      </c>
      <c r="E4" s="11"/>
      <c r="F4" s="11">
        <f t="shared" ref="F4:F23" si="0">F3+D4-E4</f>
        <v>1000</v>
      </c>
    </row>
    <row r="5" spans="2:6" x14ac:dyDescent="0.25">
      <c r="B5" s="8">
        <v>42475</v>
      </c>
      <c r="C5" s="9" t="s">
        <v>118</v>
      </c>
      <c r="D5" s="12"/>
      <c r="E5" s="11">
        <v>1000</v>
      </c>
      <c r="F5" s="11">
        <f t="shared" si="0"/>
        <v>0</v>
      </c>
    </row>
    <row r="6" spans="2:6" x14ac:dyDescent="0.25">
      <c r="B6" s="8">
        <v>42479</v>
      </c>
      <c r="C6" s="9" t="s">
        <v>119</v>
      </c>
      <c r="D6" s="12">
        <v>1000</v>
      </c>
      <c r="E6" s="11"/>
      <c r="F6" s="11">
        <f t="shared" si="0"/>
        <v>1000</v>
      </c>
    </row>
    <row r="7" spans="2:6" x14ac:dyDescent="0.25">
      <c r="B7" s="8">
        <v>42503</v>
      </c>
      <c r="C7" s="9" t="s">
        <v>120</v>
      </c>
      <c r="D7" s="12"/>
      <c r="E7" s="11">
        <v>1000</v>
      </c>
      <c r="F7" s="11">
        <f t="shared" si="0"/>
        <v>0</v>
      </c>
    </row>
    <row r="8" spans="2:6" x14ac:dyDescent="0.25">
      <c r="B8" s="8">
        <v>42501</v>
      </c>
      <c r="C8" s="9" t="s">
        <v>121</v>
      </c>
      <c r="D8" s="12">
        <v>1000</v>
      </c>
      <c r="E8" s="11"/>
      <c r="F8" s="11">
        <f t="shared" si="0"/>
        <v>1000</v>
      </c>
    </row>
    <row r="9" spans="2:6" x14ac:dyDescent="0.25">
      <c r="B9" s="8">
        <v>42508</v>
      </c>
      <c r="C9" s="9" t="s">
        <v>122</v>
      </c>
      <c r="D9" s="12"/>
      <c r="E9" s="11">
        <v>1000</v>
      </c>
      <c r="F9" s="11">
        <f t="shared" si="0"/>
        <v>0</v>
      </c>
    </row>
    <row r="10" spans="2:6" x14ac:dyDescent="0.25">
      <c r="B10" s="8">
        <v>42542</v>
      </c>
      <c r="C10" s="9" t="s">
        <v>123</v>
      </c>
      <c r="D10" s="12">
        <v>1000</v>
      </c>
      <c r="E10" s="11"/>
      <c r="F10" s="11">
        <f t="shared" si="0"/>
        <v>1000</v>
      </c>
    </row>
    <row r="11" spans="2:6" x14ac:dyDescent="0.25">
      <c r="B11" s="8">
        <v>42543</v>
      </c>
      <c r="C11" s="9" t="s">
        <v>124</v>
      </c>
      <c r="D11" s="12"/>
      <c r="E11" s="11">
        <v>1000</v>
      </c>
      <c r="F11" s="11">
        <f t="shared" si="0"/>
        <v>0</v>
      </c>
    </row>
    <row r="12" spans="2:6" x14ac:dyDescent="0.25">
      <c r="B12" s="8">
        <v>42600</v>
      </c>
      <c r="C12" s="9" t="s">
        <v>125</v>
      </c>
      <c r="D12" s="11">
        <v>1050</v>
      </c>
      <c r="E12" s="13"/>
      <c r="F12" s="11">
        <f t="shared" si="0"/>
        <v>1050</v>
      </c>
    </row>
    <row r="13" spans="2:6" x14ac:dyDescent="0.25">
      <c r="B13" s="8">
        <v>42601</v>
      </c>
      <c r="C13" s="9" t="s">
        <v>126</v>
      </c>
      <c r="D13" s="11"/>
      <c r="E13" s="13">
        <v>1050</v>
      </c>
      <c r="F13" s="11">
        <f t="shared" si="0"/>
        <v>0</v>
      </c>
    </row>
    <row r="14" spans="2:6" x14ac:dyDescent="0.25">
      <c r="B14" s="8">
        <v>42628</v>
      </c>
      <c r="C14" s="9" t="s">
        <v>127</v>
      </c>
      <c r="D14" s="11">
        <v>1000</v>
      </c>
      <c r="E14" s="13"/>
      <c r="F14" s="11">
        <f t="shared" si="0"/>
        <v>1000</v>
      </c>
    </row>
    <row r="15" spans="2:6" x14ac:dyDescent="0.25">
      <c r="B15" s="8">
        <v>42629</v>
      </c>
      <c r="C15" s="9" t="s">
        <v>128</v>
      </c>
      <c r="D15" s="11"/>
      <c r="E15" s="13">
        <v>1000</v>
      </c>
      <c r="F15" s="11">
        <f t="shared" si="0"/>
        <v>0</v>
      </c>
    </row>
    <row r="16" spans="2:6" x14ac:dyDescent="0.25">
      <c r="B16" s="8">
        <v>42662</v>
      </c>
      <c r="C16" s="9" t="s">
        <v>129</v>
      </c>
      <c r="D16" s="11">
        <v>1100</v>
      </c>
      <c r="E16" s="13"/>
      <c r="F16" s="11">
        <f t="shared" si="0"/>
        <v>1100</v>
      </c>
    </row>
    <row r="17" spans="2:6" x14ac:dyDescent="0.25">
      <c r="B17" s="14">
        <v>42663</v>
      </c>
      <c r="C17" s="15" t="s">
        <v>130</v>
      </c>
      <c r="D17" s="16"/>
      <c r="E17" s="17">
        <v>1100</v>
      </c>
      <c r="F17" s="16">
        <f t="shared" si="0"/>
        <v>0</v>
      </c>
    </row>
    <row r="18" spans="2:6" x14ac:dyDescent="0.25">
      <c r="B18" s="32"/>
      <c r="C18" s="32"/>
      <c r="D18" s="35"/>
      <c r="E18" s="36"/>
      <c r="F18" s="37">
        <f>F17+D18-E18</f>
        <v>0</v>
      </c>
    </row>
    <row r="19" spans="2:6" x14ac:dyDescent="0.25">
      <c r="D19"/>
      <c r="E19" s="33" t="s">
        <v>2</v>
      </c>
      <c r="F19" s="34">
        <f>F18</f>
        <v>0</v>
      </c>
    </row>
    <row r="20" spans="2:6" x14ac:dyDescent="0.25">
      <c r="D20"/>
    </row>
    <row r="21" spans="2:6" x14ac:dyDescent="0.25">
      <c r="D21"/>
    </row>
    <row r="22" spans="2:6" x14ac:dyDescent="0.25">
      <c r="D22"/>
    </row>
    <row r="23" spans="2:6" x14ac:dyDescent="0.25">
      <c r="D23"/>
    </row>
    <row r="24" spans="2:6" x14ac:dyDescent="0.25">
      <c r="D24"/>
    </row>
    <row r="25" spans="2:6" x14ac:dyDescent="0.25">
      <c r="D25"/>
    </row>
    <row r="26" spans="2:6" x14ac:dyDescent="0.25">
      <c r="D26"/>
    </row>
    <row r="27" spans="2:6" x14ac:dyDescent="0.25">
      <c r="D27"/>
    </row>
    <row r="28" spans="2:6" x14ac:dyDescent="0.25">
      <c r="D28"/>
    </row>
    <row r="29" spans="2:6" x14ac:dyDescent="0.25">
      <c r="D29"/>
    </row>
    <row r="30" spans="2:6" x14ac:dyDescent="0.25">
      <c r="D30"/>
    </row>
    <row r="31" spans="2:6" x14ac:dyDescent="0.25">
      <c r="D31"/>
    </row>
    <row r="32" spans="2:6" x14ac:dyDescent="0.25">
      <c r="D32"/>
    </row>
  </sheetData>
  <sheetProtection algorithmName="SHA-512" hashValue="VJe2nrneSKL8Oj87o2b+8nTYsKkL3p/2jZnH4+r4RTmy7LTj7zJbOdgzNK622zd1tAZ5WTVlo08+6WoC2FI2VA==" saltValue="ue5qDZs3PGiSKFAXz5Wo+w==" spinCount="100000" sheet="1" objects="1" scenarios="1"/>
  <hyperlinks>
    <hyperlink ref="B1" location="'INF. GENERAL'!A1" display="VOLVER" xr:uid="{00000000-0004-0000-09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0"/>
  <dimension ref="B1:F25"/>
  <sheetViews>
    <sheetView zoomScaleNormal="100" workbookViewId="0">
      <pane ySplit="2" topLeftCell="A4" activePane="bottomLeft" state="frozen"/>
      <selection pane="bottomLeft" activeCell="B4" sqref="B4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12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14">
        <v>42370</v>
      </c>
      <c r="C3" s="15" t="s">
        <v>108</v>
      </c>
      <c r="D3" s="21">
        <v>0</v>
      </c>
      <c r="E3" s="16"/>
      <c r="F3" s="16">
        <f>D3-E3</f>
        <v>0</v>
      </c>
    </row>
    <row r="4" spans="2:6" x14ac:dyDescent="0.25">
      <c r="B4" s="32"/>
      <c r="C4" s="32"/>
      <c r="D4" s="35"/>
      <c r="E4" s="36"/>
      <c r="F4" s="37">
        <f>F3+D4-E4</f>
        <v>0</v>
      </c>
    </row>
    <row r="5" spans="2:6" x14ac:dyDescent="0.25">
      <c r="D5"/>
      <c r="E5" s="33" t="s">
        <v>2</v>
      </c>
      <c r="F5" s="34">
        <f>F4</f>
        <v>0</v>
      </c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</sheetData>
  <sheetProtection algorithmName="SHA-512" hashValue="WctYEoj+sLa/x72uibD7F31qmnOgW4o55lqyGuyCmjvLepkt5ElgF9J4+d2o8KiBLeQDWkYR671v4KUaRQ6ATQ==" saltValue="KxJa98mlaE0+NV9zt+pFqg==" spinCount="100000" sheet="1" objects="1" scenarios="1"/>
  <hyperlinks>
    <hyperlink ref="B1" location="'INF. GENERAL'!A1" display="VOLVER" xr:uid="{00000000-0004-0000-0A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1"/>
  <dimension ref="B1:F26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13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</sheetData>
  <sheetProtection algorithmName="SHA-512" hashValue="vykKus295b2XXV4/crp1NCdHlEU8zGhOpaCkbhPNeYrrBsdz4Hf4GVXILGhIyiiRzljjoDxMYxwhDtgTZ1oMQw==" saltValue="8wmJRB5MHL/MBnoZxPM80g==" spinCount="100000" sheet="1" objects="1" scenarios="1"/>
  <hyperlinks>
    <hyperlink ref="B1" location="'INF. GENERAL'!A1" display="VOLVER" xr:uid="{00000000-0004-0000-0B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12"/>
  <dimension ref="B1:F26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14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</sheetData>
  <sheetProtection algorithmName="SHA-512" hashValue="AbdiceHr+3gT9GTUnGetXKGwJGXJSKlHIcgOhwbHdj7j64MZe3cgF4ajMDP+X/gybxsE5JtX+F188ocDCmG8OA==" saltValue="VumZRWr7BIK4yRGG+SDiEg==" spinCount="100000" sheet="1" objects="1" scenarios="1"/>
  <hyperlinks>
    <hyperlink ref="B1" location="'INF. GENERAL'!A1" display="VOLVER" xr:uid="{00000000-0004-0000-0C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13"/>
  <dimension ref="B1:F28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15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</sheetData>
  <sheetProtection algorithmName="SHA-512" hashValue="LE51R0q0Z9anuhk/tXyY/Rr8JvVj7qEUsDpcKlilcpvoRzjFDwjHZMUm/3tMaesDesa7G5J1Z8zwWYXI4DhuVw==" saltValue="FxuB7X+XnLk9Yw4z5qS54A==" spinCount="100000" sheet="1" objects="1" scenarios="1"/>
  <hyperlinks>
    <hyperlink ref="B1" location="'INF. GENERAL'!A1" display="VOLVER" xr:uid="{00000000-0004-0000-0D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14"/>
  <dimension ref="B1:F27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16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</sheetData>
  <sheetProtection algorithmName="SHA-512" hashValue="o3+bsE0dM+L02CS0YHkZ/NH7QJTTuWU6EOlJRjSqrOtgWaTIj7Xfm3rk7wCvA9NircOZQEBrcEAjyOm9i+kBpw==" saltValue="xqDIoS33Gqxjdh1AlmyWEw==" spinCount="100000" sheet="1" objects="1" scenarios="1"/>
  <hyperlinks>
    <hyperlink ref="B1" location="'INF. GENERAL'!A1" display="VOLVER" xr:uid="{00000000-0004-0000-0E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15"/>
  <dimension ref="B1:F39"/>
  <sheetViews>
    <sheetView zoomScaleNormal="100" workbookViewId="0">
      <pane ySplit="2" topLeftCell="A3" activePane="bottomLeft" state="frozen"/>
      <selection pane="bottomLeft" activeCell="B1" sqref="B1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17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</sheetData>
  <sheetProtection algorithmName="SHA-512" hashValue="9Ni+VmmRfT8TopMMDVLFSD+S/QryXVGTW974H3kgxt7Yp6qFMkvGBGX32dDAHKwPCyxGQTduFNPZtqwiZk6U1w==" saltValue="Kyu6o4lA7yvGmUEJ/AnBTg==" spinCount="100000" sheet="1" objects="1" scenarios="1"/>
  <hyperlinks>
    <hyperlink ref="B1" location="'INF. GENERAL'!A1" display="VOLVER" xr:uid="{00000000-0004-0000-0F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6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16"/>
  <dimension ref="B1:F27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18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</sheetData>
  <sheetProtection algorithmName="SHA-512" hashValue="eUCbtEMw1Ijjdq+GE6yV7AHC+/40kGgnpK7GRrLgr31V8xSuDsbLtkt5kxLlpBNVUDO4QpD8GoTsulxGmZPF9A==" saltValue="NA6lSlz+5fLlKdTHMQdA5A==" spinCount="100000" sheet="1" objects="1" scenarios="1"/>
  <hyperlinks>
    <hyperlink ref="B1" location="'INF. GENERAL'!A1" display="VOLVER" xr:uid="{00000000-0004-0000-10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17"/>
  <dimension ref="B1:F26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19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</sheetData>
  <sheetProtection algorithmName="SHA-512" hashValue="a7pWxaSc+iTeqbdeENL/P3p+bz3qgJ1dmMkEKtkqRJDIgloKKB6CkUckoXzLeM77MG9PQwy9fRQXM/msNglD7g==" saltValue="8HtqAtjxxSKjumrHMB2LHA==" spinCount="100000" sheet="1" objects="1" scenarios="1"/>
  <hyperlinks>
    <hyperlink ref="B1" location="'INF. GENERAL'!A1" display="VOLVER" xr:uid="{00000000-0004-0000-11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4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18"/>
  <dimension ref="B1:F26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20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</sheetData>
  <sheetProtection algorithmName="SHA-512" hashValue="f7G170sthqNCEWc91YGlzz4Ik8fnA+uGPPQ/5AepZ5VAKM84FsnGPuWxot3X0SPoGWHCKRv1mwUNWIe5FCiSYg==" saltValue="j8sauqRwUOuatD+kKPifyg==" spinCount="100000" sheet="1" objects="1" scenarios="1"/>
  <hyperlinks>
    <hyperlink ref="B1" location="'INF. GENERAL'!A1" display="VOLVER" xr:uid="{00000000-0004-0000-12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38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19"/>
  <dimension ref="B1:F18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21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</sheetData>
  <sheetProtection algorithmName="SHA-512" hashValue="Td6zRvURMCC8e9awNL7tz887XRw7U7k98RLOastjCt7si3FeXmcU+Pzwm4TQ/Dd6InTTv6Dpr8jbbgr4fDca3w==" saltValue="QwowTI8ivn0FNw82Nr3GnA==" spinCount="100000" sheet="1" objects="1" scenarios="1"/>
  <hyperlinks>
    <hyperlink ref="B1" location="'INF. GENERAL'!A1" display="VOLVER" xr:uid="{00000000-0004-0000-13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2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20"/>
  <dimension ref="B1:F32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22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</sheetData>
  <sheetProtection algorithmName="SHA-512" hashValue="t6Qat+yuqxNH16GDTpGc5NVgTI8xYKFmZu/2sXBMlOVYhG1EJaH4N0EY6zBfXmHd/EPj0Sjx6Wohhh5FXhcJ1A==" saltValue="bkM5l13MG7pnjrMBaChE7A==" spinCount="100000" sheet="1" objects="1" scenarios="1"/>
  <hyperlinks>
    <hyperlink ref="B1" location="'INF. GENERAL'!A1" display="VOLVER" xr:uid="{00000000-0004-0000-14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5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6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21"/>
  <dimension ref="B1:F26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23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</sheetData>
  <sheetProtection algorithmName="SHA-512" hashValue="K2dY2dbq0tj9sqTnYuxAp3HhtLKPi03heTG6kCbxDnpP4IUruKoi8LCvb/NOG+xO6SuAfOEU10Ujj1W3FN7I+Q==" saltValue="AP4VyWqXtyGpmZ9PNYjXYw==" spinCount="100000" sheet="1" objects="1" scenarios="1"/>
  <hyperlinks>
    <hyperlink ref="B1" location="'INF. GENERAL'!A1" display="VOLVER" xr:uid="{00000000-0004-0000-15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09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0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22"/>
  <dimension ref="B1:F26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24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</sheetData>
  <sheetProtection algorithmName="SHA-512" hashValue="p89k4WOJfa+xRUE57i32YcJ0MYNTdwiVApkxVlrwx8jChfSMjnyXwTYwBIaB9D0B9r007sRufb3KFcpR0Ao/Mw==" saltValue="geLLLJnoEhZV/Jj0xXEz9A==" spinCount="100000" sheet="1" objects="1" scenarios="1"/>
  <hyperlinks>
    <hyperlink ref="B1" location="'INF. GENERAL'!A1" display="VOLVER" xr:uid="{00000000-0004-0000-16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3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4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23"/>
  <dimension ref="B1:F28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25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</sheetData>
  <sheetProtection algorithmName="SHA-512" hashValue="6R7f2TVa9QavULHRJ2bOr0RYpFaKspgUxNhyJFjNLcjHsYXPw2yXU27YmwE8yqE2Im5IAh+3ygoXiSBTwRvOUQ==" saltValue="qcODjKmCf9iWnTrmYvRypA==" spinCount="100000" sheet="1" objects="1" scenarios="1"/>
  <hyperlinks>
    <hyperlink ref="B1" location="'INF. GENERAL'!A1" display="VOLVER" xr:uid="{00000000-0004-0000-17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57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58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124"/>
  <dimension ref="B1:F23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26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</sheetData>
  <sheetProtection algorithmName="SHA-512" hashValue="1uB10Yy/FaBykAXeKbGiF/glkIup5HzrCCgo9HvbtYK4tBbZcSbwMzs7OBciHNxwljH0qZTBHFpdD70QJGdV6w==" saltValue="kXBCwXzMPL0ru4umpBxwJA==" spinCount="100000" sheet="1" objects="1" scenarios="1"/>
  <hyperlinks>
    <hyperlink ref="B1" location="'INF. GENERAL'!A1" display="VOLVER" xr:uid="{00000000-0004-0000-18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1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2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125"/>
  <dimension ref="B1:F27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27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</sheetData>
  <sheetProtection algorithmName="SHA-512" hashValue="NHjEa4BjZLx0KqJ2xo/zEcbmwpV6WXKZjYOgDe4x645HVmcKOtvbr69IV802DGkz2Ji2tbQ7LuinaC3rKXMUFQ==" saltValue="16ixCykKxuK0fbqelifP3A==" spinCount="100000" sheet="1" objects="1" scenarios="1"/>
  <hyperlinks>
    <hyperlink ref="B1" location="'INF. GENERAL'!A1" display="VOLVER" xr:uid="{00000000-0004-0000-19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6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126"/>
  <dimension ref="B1:F48"/>
  <sheetViews>
    <sheetView zoomScaleNormal="100" workbookViewId="0">
      <pane ySplit="2" topLeftCell="A3" activePane="bottomLeft" state="frozen"/>
      <selection pane="bottomLeft" activeCell="H10" sqref="H10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28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</sheetData>
  <hyperlinks>
    <hyperlink ref="B1" location="'INF. GENERAL'!A1" display="VOLVER" xr:uid="{00000000-0004-0000-1A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27"/>
  <dimension ref="B1:F26"/>
  <sheetViews>
    <sheetView zoomScaleNormal="100" workbookViewId="0">
      <pane ySplit="2" topLeftCell="A3" activePane="bottomLeft" state="frozen"/>
      <selection pane="bottomLeft" activeCell="E18" sqref="E18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29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</sheetData>
  <sheetProtection algorithmName="SHA-512" hashValue="0GGKd7MPzchTmAz8f2Jd/zM2nPTVuuXwHHHXst3FE+uIFSakfkPOC5CcDe4c/bQFtkL9P4VIoSopZgZ67SWlsw==" saltValue="Ye+W8SmGXZP1fDkKiv/jnA==" spinCount="100000" sheet="1" objects="1" scenarios="1"/>
  <hyperlinks>
    <hyperlink ref="B1" location="'INF. GENERAL'!A1" display="VOLVER" xr:uid="{00000000-0004-0000-1B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28"/>
  <dimension ref="B1:F26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30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</sheetData>
  <sheetProtection algorithmName="SHA-512" hashValue="dZ3W77BNw8CbcyWMuLHMjXZe68SWRK3hVDy8FQJ5j0S6yE6sYiABRqMiZiguLgHrxcuLxJXLozLZYvhKO7h1xw==" saltValue="el1RY8ErYfNX+78Ml4cGbA==" spinCount="100000" sheet="1" objects="1" scenarios="1"/>
  <hyperlinks>
    <hyperlink ref="B1" location="'INF. GENERAL'!A1" display="VOLVER" xr:uid="{00000000-0004-0000-1C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7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78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9"/>
  <dimension ref="B1:F30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31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</sheetData>
  <sheetProtection algorithmName="SHA-512" hashValue="g9h1Cl8m+8wja2JOO0FPG/7wCYRJDZFB0r+6ZgjDuwIV4qkUhjXa2GOZjbURfH4yng8a0REU7FWu98gSRwzzSg==" saltValue="ZF8+7mNAE3z9AYWpCX+qMw==" spinCount="100000" sheet="1" objects="1" scenarios="1"/>
  <hyperlinks>
    <hyperlink ref="B1" location="'INF. GENERAL'!A1" display="VOLVER" xr:uid="{00000000-0004-0000-1D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2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0"/>
  <dimension ref="B1:F42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32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</sheetData>
  <sheetProtection algorithmName="SHA-512" hashValue="6f/APggH63RUhAWO5wfy0x+VlwFJ28D48nSOa891s+Dg83IniIc+oq1PYaJtrkpH/rOzKvQVO8PrAxj3fwXVMg==" saltValue="kP1tPyZpQx7TgZX30kSj5w==" spinCount="100000" sheet="1" objects="1" scenarios="1"/>
  <hyperlinks>
    <hyperlink ref="B1" location="'INF. GENERAL'!A1" display="VOLVER" xr:uid="{00000000-0004-0000-1E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6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131"/>
  <dimension ref="B1:F34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33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</sheetData>
  <sheetProtection algorithmName="SHA-512" hashValue="vidZ8tAAC+PSeWyd2Y6eWi5mnW/V1l3TUqaozSzu3SJgFETivFm5SROIFftAuQjtJI9BAWDr1LOZTrgkTRjMug==" saltValue="4wkcFw45TSdLdq3Mb1S++Q==" spinCount="100000" sheet="1" objects="1" scenarios="1"/>
  <hyperlinks>
    <hyperlink ref="B1" location="'INF. GENERAL'!A1" display="VOLVER" xr:uid="{00000000-0004-0000-1F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049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0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132"/>
  <dimension ref="B1:F24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34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</sheetData>
  <sheetProtection algorithmName="SHA-512" hashValue="j4uEOfDo7MQOQbsZQzizplJzkbNxffzlL7fzN+VpvwGtPJwe/EdW5a3UZeRb7Yo4Anj+lo7CfNawqkQd4+PVrA==" saltValue="PxQAReJQZQNZlWI+AIEm8Q==" spinCount="100000" sheet="1" objects="1" scenarios="1"/>
  <hyperlinks>
    <hyperlink ref="B1" location="'INF. GENERAL'!A1" display="VOLVER" xr:uid="{00000000-0004-0000-20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74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133"/>
  <dimension ref="B1:F43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35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</sheetData>
  <sheetProtection algorithmName="SHA-512" hashValue="JCAjPrl4Lq41DRRo4vj16jOSLJ0fwOsIZJLc5p5mzafc2BEQc3ZweN5VK14Rp68JedF4pHBVAF47kXReFalU1Q==" saltValue="2rLsjTFYRIb9e+pPoJWOgQ==" spinCount="100000" sheet="1" objects="1" scenarios="1"/>
  <hyperlinks>
    <hyperlink ref="B1" location="'INF. GENERAL'!A1" display="VOLVER" xr:uid="{00000000-0004-0000-21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097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98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134"/>
  <dimension ref="B1:F26"/>
  <sheetViews>
    <sheetView zoomScaleNormal="100" workbookViewId="0">
      <pane ySplit="2" topLeftCell="A3" activePane="bottomLeft" state="frozen"/>
      <selection pane="bottomLeft" activeCell="B1" sqref="B1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36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</sheetData>
  <sheetProtection algorithmName="SHA-512" hashValue="dJVpSFjtNu7OXCcWQVeDdgTgfuImBLscZ6EPJThkzYJNg5dOE+eTEFUAkn8qBkeas49cngzJMk5X38PPJbeZ9w==" saltValue="6ToSKYW2i2/IWJrSlOvyyQ==" spinCount="100000" sheet="1" objects="1" scenarios="1"/>
  <hyperlinks>
    <hyperlink ref="B1" location="'INF. GENERAL'!A1" display="VOLVER" xr:uid="{00000000-0004-0000-22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1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2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135"/>
  <dimension ref="B1:F53"/>
  <sheetViews>
    <sheetView zoomScaleNormal="100" workbookViewId="0">
      <pane ySplit="2" topLeftCell="A3" activePane="bottomLeft" state="frozen"/>
      <selection pane="bottomLeft" activeCell="B1" sqref="B1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37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</sheetData>
  <sheetProtection algorithmName="SHA-512" hashValue="EgTWfEcdrotaevcug4A+m474XlYS5MoFA2WGatuDRHQpDkMEFU6RuwCBr9hvDkFD5Yf1rkdO3qXx+CfajOZnIQ==" saltValue="KjT4xUESFotlNOTvJw3/yQ==" spinCount="100000" sheet="1" objects="1" scenarios="1"/>
  <hyperlinks>
    <hyperlink ref="B1" location="'INF. GENERAL'!A1" display="VOLVER" xr:uid="{00000000-0004-0000-23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136"/>
  <dimension ref="B1:F46"/>
  <sheetViews>
    <sheetView zoomScaleNormal="100" workbookViewId="0">
      <pane ySplit="2" topLeftCell="A3" activePane="bottomLeft" state="frozen"/>
      <selection pane="bottomLeft" activeCell="G15" sqref="G15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38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</sheetData>
  <hyperlinks>
    <hyperlink ref="B1" location="'INF. GENERAL'!A1" display="VOLVER" xr:uid="{00000000-0004-0000-24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0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137"/>
  <dimension ref="B1:F29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39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</sheetData>
  <sheetProtection algorithmName="SHA-512" hashValue="PCOMswy6L+uAgFS0oQ0IpkJFupvovq9X2FmIULAeLaLh0FrqLVc2qbtHIN3gs+Rms5SAtbIWrII3I6kSIuTekw==" saltValue="QI9ElUH1mWN4PFbkDbSWVQ==" spinCount="100000" sheet="1" objects="1" scenarios="1"/>
  <hyperlinks>
    <hyperlink ref="B1" location="'INF. GENERAL'!A1" display="VOLVER" xr:uid="{00000000-0004-0000-25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3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4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138"/>
  <dimension ref="B1:F27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40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</sheetData>
  <sheetProtection algorithmName="SHA-512" hashValue="d/dflPTfSsyZnOcnmnHGZWxWhJ8805/VchF791S5nhqVpBQcz3Gkg5AB9xDnBBKg0HGxTBHjzrPtKHzhuYpcLA==" saltValue="JF5AuNRqwqlOM/SzWplYuw==" spinCount="100000" sheet="1" objects="1" scenarios="1"/>
  <hyperlinks>
    <hyperlink ref="B1" location="'INF. GENERAL'!A1" display="VOLVER" xr:uid="{00000000-0004-0000-26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8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139"/>
  <dimension ref="B1:F28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41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</sheetData>
  <sheetProtection algorithmName="SHA-512" hashValue="VLEuA+GTLr8YYqk3RlN7Aqr1BzMfmdh6OVwbsvW9RCPHJ2kD9L2rFfvw1KUT5sXLNKQc+wM+rmZTP4X/U47kZA==" saltValue="D+ixEXjVW0vfdcm9ECvQsA==" spinCount="100000" sheet="1" objects="1" scenarios="1"/>
  <hyperlinks>
    <hyperlink ref="B1" location="'INF. GENERAL'!A1" display="VOLVER" xr:uid="{00000000-0004-0000-27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140"/>
  <dimension ref="B1:F33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42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</sheetData>
  <sheetProtection algorithmName="SHA-512" hashValue="oOPtsZbyWcnDOsec77OTzvTCTx7V6t0WxptGu1RXHLRpokSvwASUn2b1psszumDGZwKqUgPZdeqq3Z9+mcIsuw==" saltValue="mMy8ByR4tajDYfKCLvVELg==" spinCount="100000" sheet="1" objects="1" scenarios="1"/>
  <hyperlinks>
    <hyperlink ref="B1" location="'INF. GENERAL'!A1" display="VOLVER" xr:uid="{00000000-0004-0000-28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141"/>
  <dimension ref="B1:F23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43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</sheetData>
  <sheetProtection algorithmName="SHA-512" hashValue="a9EfYFNCmnn4kT371BHoX12LGhK1LZBxY0wsK0b0Qz+W2PhGFMDBi3cjHopMR0NZByHlwf6MZnZO1yaR2d5WoA==" saltValue="39n4KVX0dJpagmGQ5QM+QA==" spinCount="100000" sheet="1" objects="1" scenarios="1"/>
  <hyperlinks>
    <hyperlink ref="B1" location="'INF. GENERAL'!A1" display="VOLVER" xr:uid="{00000000-0004-0000-2900-000000000000}"/>
  </hyperlink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4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5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142"/>
  <dimension ref="B1:F13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44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</sheetData>
  <sheetProtection algorithmName="SHA-512" hashValue="dXfPbu8ntfcQ1YJ3A5PuTS9ePRwnmBJp9lA4iWVe5ih0nxe7NklL9Scafn6QUkWFYTGNT1bQkloDi1drrE3+RQ==" saltValue="+2OAuqPh5jyVNGM1XzIlNg==" spinCount="100000" sheet="1" objects="1" scenarios="1"/>
  <hyperlinks>
    <hyperlink ref="B1" location="'INF. GENERAL'!A1" display="VOLVER" xr:uid="{00000000-0004-0000-2A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313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4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143"/>
  <dimension ref="B1:F26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45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</sheetData>
  <sheetProtection algorithmName="SHA-512" hashValue="x0DzKMoUZPjK8+08C9b/55oMeNizKCyIYAVQ54fYZO3xWpBy0sYiUWOsmEe8X43GuBk7CtfFsB8iazWG21N39g==" saltValue="ewKlaK+f+ZSU3TUFHto7Mw==" spinCount="100000" sheet="1" objects="1" scenarios="1"/>
  <hyperlinks>
    <hyperlink ref="B1" location="'INF. GENERAL'!A1" display="VOLVER" xr:uid="{00000000-0004-0000-2B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337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38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144"/>
  <dimension ref="B1:F27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46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</sheetData>
  <sheetProtection algorithmName="SHA-512" hashValue="JKwLvz04qCzza4XV7Q2qLhpZvYSKv4zYvOJ+jR4Tw7SRU6X4cb5jeYaf79WbHUkSIi1MF82jSes59DgbQbGl5A==" saltValue="Gjsov6AnqtJ6D9row09ezg==" spinCount="100000" sheet="1" objects="1" scenarios="1"/>
  <hyperlinks>
    <hyperlink ref="B1" location="'INF. GENERAL'!A1" display="VOLVER" xr:uid="{00000000-0004-0000-2C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2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145"/>
  <dimension ref="B1:F22"/>
  <sheetViews>
    <sheetView zoomScaleNormal="100" workbookViewId="0">
      <pane ySplit="2" topLeftCell="A3" activePane="bottomLeft" state="frozen"/>
      <selection pane="bottomLeft" activeCell="E19" sqref="E19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47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</sheetData>
  <sheetProtection algorithmName="SHA-512" hashValue="x3AYQwGh9Td76++ieJ0pmXzgQhgQf/u5dCc8V8b1zKceM6u+8glBvNPlBzWMSdjP1TfRWWwGXWMM+na2yYHMlg==" saltValue="xdu3WTAC3qR1bwzu5ESnEQ==" spinCount="100000" sheet="1" objects="1" scenarios="1"/>
  <hyperlinks>
    <hyperlink ref="B1" location="'INF. GENERAL'!A1" display="VOLVER" xr:uid="{00000000-0004-0000-2D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6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146"/>
  <dimension ref="B1:F37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48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</sheetData>
  <sheetProtection algorithmName="SHA-512" hashValue="QYOGpGinUX87s+qYznc3XSpRpyyeLVE1hkN6lJX7iKZNt1s4KTPiunRSHcJU2TBxMXfX7e9owPVNMp789jqkug==" saltValue="IM6TQEKBnax6+PaIRvCqKQ==" spinCount="100000" sheet="1" objects="1" scenarios="1"/>
  <hyperlinks>
    <hyperlink ref="B1" location="'INF. GENERAL'!A1" display="VOLVER" xr:uid="{00000000-0004-0000-2E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409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0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Hoja147"/>
  <dimension ref="B1:F24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49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</sheetData>
  <sheetProtection algorithmName="SHA-512" hashValue="38t3MJBmUH9lvL5GqNL2dmvv1iaPiR4RufjcOT9V9CduuKiR6FuNuAEkbdZ6VptjQiBJE/aaTdCwUpaeGvczxQ==" saltValue="dVGlEEb2nSk4ToQ3NvUHEw==" spinCount="100000" sheet="1" objects="1" scenarios="1"/>
  <hyperlinks>
    <hyperlink ref="B1" location="'INF. GENERAL'!A1" display="VOLVER" xr:uid="{00000000-0004-0000-2F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33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4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Hoja148"/>
  <dimension ref="B1:F37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50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</sheetData>
  <sheetProtection algorithmName="SHA-512" hashValue="Si9nSoOvURB0JcLpS5D52ypN/Eluy2MKo+3in3rAghsdzdSl020LgVFnuvsLTMVXsqmWqeviMuKIdqUGU8Q0Sg==" saltValue="UCBjsF9ZcjpXtAuSHiH3ug==" spinCount="100000" sheet="1" objects="1" scenarios="1"/>
  <hyperlinks>
    <hyperlink ref="B1" location="'INF. GENERAL'!A1" display="VOLVER" xr:uid="{00000000-0004-0000-30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Hoja149"/>
  <dimension ref="B1:F29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51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</sheetData>
  <sheetProtection algorithmName="SHA-512" hashValue="/tddhCJODmWd9gSgWGlSVBPOy5/dORbfNGIXvPeMN4myIxLOjEjlfVoO2s9Fg+EPAb78ePzsK6Vip5lOMU90Yw==" saltValue="HI8+GY68EVyznNt6JrPmag==" spinCount="100000" sheet="1" objects="1" scenarios="1"/>
  <hyperlinks>
    <hyperlink ref="B1" location="'INF. GENERAL'!A1" display="VOLVER" xr:uid="{00000000-0004-0000-31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1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Hoja150"/>
  <dimension ref="B1:F24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52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</sheetData>
  <sheetProtection algorithmName="SHA-512" hashValue="4CXxngayBhwM+pcOfo4k6KJc1o9Za7sdnxW7uc6qL07fwFOcdyWYq20P3JGdF2vdMERTW9ZeyaqHl1VGoMiVWA==" saltValue="guAjpBq9WX39h729acx7Gw==" spinCount="100000" sheet="1" objects="1" scenarios="1"/>
  <hyperlinks>
    <hyperlink ref="B1" location="'INF. GENERAL'!A1" display="VOLVER" xr:uid="{00000000-0004-0000-32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505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6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Hoja151"/>
  <dimension ref="B1:F22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53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</sheetData>
  <sheetProtection algorithmName="SHA-512" hashValue="xTnb/3ekNgtRo5j8Pb3WdYuR6WZ0O6ZfWFpcpmUCmsABw9f6FmIx6wMJJL9rmmRasuHwgfPGfKVCNuYOqaTcfw==" saltValue="PlZnaOywIYEUiZ1WoaIN8w==" spinCount="100000" sheet="1" objects="1" scenarios="1"/>
  <hyperlinks>
    <hyperlink ref="B1" location="'INF. GENERAL'!A1" display="VOLVER" xr:uid="{00000000-0004-0000-33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29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0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Hoja152"/>
  <dimension ref="B1:F32"/>
  <sheetViews>
    <sheetView zoomScaleNormal="100" workbookViewId="0">
      <pane ySplit="2" topLeftCell="A18" activePane="bottomLeft" state="frozen"/>
      <selection pane="bottomLeft" activeCell="B18" sqref="B18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54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8">
        <v>42370</v>
      </c>
      <c r="C3" s="9" t="s">
        <v>107</v>
      </c>
      <c r="D3" s="12">
        <v>0</v>
      </c>
      <c r="E3" s="11"/>
      <c r="F3" s="11">
        <f>D3-E3</f>
        <v>0</v>
      </c>
    </row>
    <row r="4" spans="2:6" x14ac:dyDescent="0.25">
      <c r="B4" s="22">
        <v>42089</v>
      </c>
      <c r="C4" s="23" t="s">
        <v>133</v>
      </c>
      <c r="D4" s="10">
        <v>715</v>
      </c>
      <c r="E4" s="24"/>
      <c r="F4" s="11">
        <f>F3+D4-E4</f>
        <v>715</v>
      </c>
    </row>
    <row r="5" spans="2:6" x14ac:dyDescent="0.25">
      <c r="B5" s="22">
        <v>42178</v>
      </c>
      <c r="C5" s="23" t="s">
        <v>134</v>
      </c>
      <c r="D5" s="10">
        <v>225</v>
      </c>
      <c r="E5" s="24"/>
      <c r="F5" s="11">
        <f t="shared" ref="F5:F25" si="0">F4+D5-E5</f>
        <v>940</v>
      </c>
    </row>
    <row r="6" spans="2:6" x14ac:dyDescent="0.25">
      <c r="B6" s="22">
        <v>42174</v>
      </c>
      <c r="C6" s="23" t="s">
        <v>135</v>
      </c>
      <c r="D6" s="10"/>
      <c r="E6" s="24">
        <v>400</v>
      </c>
      <c r="F6" s="11">
        <f t="shared" si="0"/>
        <v>540</v>
      </c>
    </row>
    <row r="7" spans="2:6" x14ac:dyDescent="0.25">
      <c r="B7" s="22">
        <v>42297</v>
      </c>
      <c r="C7" s="23" t="s">
        <v>136</v>
      </c>
      <c r="D7" s="10"/>
      <c r="E7" s="24">
        <v>216</v>
      </c>
      <c r="F7" s="11">
        <f t="shared" si="0"/>
        <v>324</v>
      </c>
    </row>
    <row r="8" spans="2:6" x14ac:dyDescent="0.25">
      <c r="B8" s="18">
        <v>42446</v>
      </c>
      <c r="C8" s="19" t="s">
        <v>137</v>
      </c>
      <c r="D8" s="20">
        <v>1872</v>
      </c>
      <c r="E8" s="25"/>
      <c r="F8" s="11">
        <f t="shared" si="0"/>
        <v>2196</v>
      </c>
    </row>
    <row r="9" spans="2:6" x14ac:dyDescent="0.25">
      <c r="B9" s="8">
        <v>42448</v>
      </c>
      <c r="C9" s="9" t="s">
        <v>138</v>
      </c>
      <c r="D9" s="12"/>
      <c r="E9" s="11">
        <v>1872</v>
      </c>
      <c r="F9" s="11">
        <f t="shared" si="0"/>
        <v>324</v>
      </c>
    </row>
    <row r="10" spans="2:6" x14ac:dyDescent="0.25">
      <c r="B10" s="8">
        <v>42495</v>
      </c>
      <c r="C10" s="9" t="s">
        <v>139</v>
      </c>
      <c r="D10" s="12">
        <v>1872</v>
      </c>
      <c r="E10" s="11"/>
      <c r="F10" s="11">
        <f t="shared" si="0"/>
        <v>2196</v>
      </c>
    </row>
    <row r="11" spans="2:6" x14ac:dyDescent="0.25">
      <c r="B11" s="8">
        <v>42496</v>
      </c>
      <c r="C11" s="9" t="s">
        <v>140</v>
      </c>
      <c r="D11" s="12"/>
      <c r="E11" s="11">
        <v>1872</v>
      </c>
      <c r="F11" s="11">
        <f t="shared" si="0"/>
        <v>324</v>
      </c>
    </row>
    <row r="12" spans="2:6" x14ac:dyDescent="0.25">
      <c r="B12" s="8">
        <v>42502</v>
      </c>
      <c r="C12" s="9" t="s">
        <v>141</v>
      </c>
      <c r="D12" s="12">
        <v>1872</v>
      </c>
      <c r="E12" s="11"/>
      <c r="F12" s="11">
        <f t="shared" si="0"/>
        <v>2196</v>
      </c>
    </row>
    <row r="13" spans="2:6" x14ac:dyDescent="0.25">
      <c r="B13" s="8">
        <v>42508</v>
      </c>
      <c r="C13" s="9" t="s">
        <v>142</v>
      </c>
      <c r="D13" s="12"/>
      <c r="E13" s="11">
        <v>1872</v>
      </c>
      <c r="F13" s="11">
        <f t="shared" si="0"/>
        <v>324</v>
      </c>
    </row>
    <row r="14" spans="2:6" x14ac:dyDescent="0.25">
      <c r="B14" s="8">
        <v>42504</v>
      </c>
      <c r="C14" s="9" t="s">
        <v>143</v>
      </c>
      <c r="D14" s="12">
        <v>1872</v>
      </c>
      <c r="E14" s="11"/>
      <c r="F14" s="11">
        <f t="shared" si="0"/>
        <v>2196</v>
      </c>
    </row>
    <row r="15" spans="2:6" x14ac:dyDescent="0.25">
      <c r="B15" s="8">
        <v>42536</v>
      </c>
      <c r="C15" s="9" t="s">
        <v>144</v>
      </c>
      <c r="D15" s="12"/>
      <c r="E15" s="11">
        <v>1872</v>
      </c>
      <c r="F15" s="11">
        <f t="shared" si="0"/>
        <v>324</v>
      </c>
    </row>
    <row r="16" spans="2:6" x14ac:dyDescent="0.25">
      <c r="B16" s="8">
        <v>42590</v>
      </c>
      <c r="C16" s="9" t="s">
        <v>145</v>
      </c>
      <c r="D16" s="11">
        <v>1872</v>
      </c>
      <c r="E16" s="11"/>
      <c r="F16" s="11">
        <f t="shared" si="0"/>
        <v>2196</v>
      </c>
    </row>
    <row r="17" spans="2:6" x14ac:dyDescent="0.25">
      <c r="B17" s="14">
        <v>42593</v>
      </c>
      <c r="C17" s="15" t="s">
        <v>146</v>
      </c>
      <c r="D17" s="16"/>
      <c r="E17" s="16">
        <v>2196</v>
      </c>
      <c r="F17" s="16">
        <f t="shared" si="0"/>
        <v>0</v>
      </c>
    </row>
    <row r="18" spans="2:6" x14ac:dyDescent="0.25">
      <c r="B18" s="32"/>
      <c r="C18" s="32"/>
      <c r="D18" s="35"/>
      <c r="E18" s="36"/>
      <c r="F18" s="37">
        <f>F17+D18-E18</f>
        <v>0</v>
      </c>
    </row>
    <row r="19" spans="2:6" x14ac:dyDescent="0.25">
      <c r="D19"/>
      <c r="E19" s="33" t="s">
        <v>2</v>
      </c>
      <c r="F19" s="34">
        <f>F18</f>
        <v>0</v>
      </c>
    </row>
    <row r="20" spans="2:6" x14ac:dyDescent="0.25">
      <c r="D20"/>
    </row>
    <row r="21" spans="2:6" x14ac:dyDescent="0.25">
      <c r="D21"/>
    </row>
    <row r="22" spans="2:6" x14ac:dyDescent="0.25">
      <c r="D22"/>
    </row>
    <row r="23" spans="2:6" x14ac:dyDescent="0.25">
      <c r="D23"/>
    </row>
    <row r="24" spans="2:6" x14ac:dyDescent="0.25">
      <c r="D24"/>
    </row>
    <row r="25" spans="2:6" x14ac:dyDescent="0.25">
      <c r="D25"/>
    </row>
    <row r="26" spans="2:6" x14ac:dyDescent="0.25">
      <c r="D26"/>
    </row>
    <row r="27" spans="2:6" x14ac:dyDescent="0.25">
      <c r="D27"/>
    </row>
    <row r="28" spans="2:6" x14ac:dyDescent="0.25">
      <c r="D28"/>
    </row>
    <row r="29" spans="2:6" x14ac:dyDescent="0.25">
      <c r="D29"/>
    </row>
    <row r="30" spans="2:6" x14ac:dyDescent="0.25">
      <c r="D30"/>
    </row>
    <row r="31" spans="2:6" x14ac:dyDescent="0.25">
      <c r="D31"/>
    </row>
    <row r="32" spans="2:6" x14ac:dyDescent="0.25">
      <c r="D32"/>
    </row>
  </sheetData>
  <sheetProtection algorithmName="SHA-512" hashValue="0/oZ0zeg9he3x5inkcJ76qIr5mfbAZUve6E6SLJLT15U0lRV6OWSdZnKL7gBiUDAgB05SVoqpuq8/F4v9ESkGg==" saltValue="jD+j4LKXfA1iOG3wbvaXng==" spinCount="100000" sheet="1" objects="1" scenarios="1"/>
  <hyperlinks>
    <hyperlink ref="B1" location="'INF. GENERAL'!A1" display="VOLVER" xr:uid="{00000000-0004-0000-34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553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4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Hoja153"/>
  <dimension ref="B1:F30"/>
  <sheetViews>
    <sheetView zoomScaleNormal="100" workbookViewId="0">
      <pane ySplit="2" topLeftCell="A18" activePane="bottomLeft" state="frozen"/>
      <selection pane="bottomLeft" activeCell="B18" sqref="B18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55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8">
        <v>42370</v>
      </c>
      <c r="C3" s="9" t="s">
        <v>107</v>
      </c>
      <c r="D3" s="12">
        <v>0</v>
      </c>
      <c r="E3" s="11"/>
      <c r="F3" s="11">
        <f>D3-E3</f>
        <v>0</v>
      </c>
    </row>
    <row r="4" spans="2:6" x14ac:dyDescent="0.25">
      <c r="B4" s="8">
        <v>42451</v>
      </c>
      <c r="C4" s="9" t="s">
        <v>147</v>
      </c>
      <c r="D4" s="12">
        <v>2085</v>
      </c>
      <c r="E4" s="11"/>
      <c r="F4" s="11">
        <f t="shared" ref="F4:F23" si="0">F3+D4-E4</f>
        <v>2085</v>
      </c>
    </row>
    <row r="5" spans="2:6" x14ac:dyDescent="0.25">
      <c r="B5" s="8">
        <v>42452</v>
      </c>
      <c r="C5" s="9" t="s">
        <v>148</v>
      </c>
      <c r="D5" s="12"/>
      <c r="E5" s="11">
        <v>2085</v>
      </c>
      <c r="F5" s="11">
        <f t="shared" si="0"/>
        <v>0</v>
      </c>
    </row>
    <row r="6" spans="2:6" x14ac:dyDescent="0.25">
      <c r="B6" s="8">
        <v>42480</v>
      </c>
      <c r="C6" s="9" t="s">
        <v>149</v>
      </c>
      <c r="D6" s="12">
        <v>1500</v>
      </c>
      <c r="E6" s="11"/>
      <c r="F6" s="11">
        <f t="shared" si="0"/>
        <v>1500</v>
      </c>
    </row>
    <row r="7" spans="2:6" x14ac:dyDescent="0.25">
      <c r="B7" s="8">
        <v>42480</v>
      </c>
      <c r="C7" s="9" t="s">
        <v>150</v>
      </c>
      <c r="D7" s="12"/>
      <c r="E7" s="11">
        <v>1500</v>
      </c>
      <c r="F7" s="11">
        <f t="shared" si="0"/>
        <v>0</v>
      </c>
    </row>
    <row r="8" spans="2:6" x14ac:dyDescent="0.25">
      <c r="B8" s="8">
        <v>42507</v>
      </c>
      <c r="C8" s="9" t="s">
        <v>151</v>
      </c>
      <c r="D8" s="12">
        <v>1885</v>
      </c>
      <c r="E8" s="11"/>
      <c r="F8" s="11">
        <f t="shared" si="0"/>
        <v>1885</v>
      </c>
    </row>
    <row r="9" spans="2:6" x14ac:dyDescent="0.25">
      <c r="B9" s="8">
        <v>42508</v>
      </c>
      <c r="C9" s="9" t="s">
        <v>152</v>
      </c>
      <c r="D9" s="12"/>
      <c r="E9" s="11">
        <v>1885</v>
      </c>
      <c r="F9" s="11">
        <f t="shared" si="0"/>
        <v>0</v>
      </c>
    </row>
    <row r="10" spans="2:6" x14ac:dyDescent="0.25">
      <c r="B10" s="8">
        <v>42537</v>
      </c>
      <c r="C10" s="9" t="s">
        <v>153</v>
      </c>
      <c r="D10" s="12">
        <v>1925</v>
      </c>
      <c r="E10" s="11"/>
      <c r="F10" s="11">
        <f t="shared" si="0"/>
        <v>1925</v>
      </c>
    </row>
    <row r="11" spans="2:6" x14ac:dyDescent="0.25">
      <c r="B11" s="8">
        <v>42542</v>
      </c>
      <c r="C11" s="9" t="s">
        <v>154</v>
      </c>
      <c r="D11" s="12"/>
      <c r="E11" s="11">
        <v>1925</v>
      </c>
      <c r="F11" s="11">
        <f t="shared" si="0"/>
        <v>0</v>
      </c>
    </row>
    <row r="12" spans="2:6" x14ac:dyDescent="0.25">
      <c r="B12" s="8">
        <v>42590</v>
      </c>
      <c r="C12" s="9" t="s">
        <v>155</v>
      </c>
      <c r="D12" s="11">
        <v>2070</v>
      </c>
      <c r="E12" s="13"/>
      <c r="F12" s="11">
        <f t="shared" si="0"/>
        <v>2070</v>
      </c>
    </row>
    <row r="13" spans="2:6" x14ac:dyDescent="0.25">
      <c r="B13" s="8">
        <v>42591</v>
      </c>
      <c r="C13" s="9" t="s">
        <v>156</v>
      </c>
      <c r="D13" s="11"/>
      <c r="E13" s="13">
        <v>2070</v>
      </c>
      <c r="F13" s="11">
        <f t="shared" si="0"/>
        <v>0</v>
      </c>
    </row>
    <row r="14" spans="2:6" x14ac:dyDescent="0.25">
      <c r="B14" s="8">
        <v>42625</v>
      </c>
      <c r="C14" s="9" t="s">
        <v>157</v>
      </c>
      <c r="D14" s="11">
        <v>1960</v>
      </c>
      <c r="E14" s="13"/>
      <c r="F14" s="11">
        <f t="shared" si="0"/>
        <v>1960</v>
      </c>
    </row>
    <row r="15" spans="2:6" x14ac:dyDescent="0.25">
      <c r="B15" s="8">
        <v>42625</v>
      </c>
      <c r="C15" s="9" t="s">
        <v>158</v>
      </c>
      <c r="D15" s="11"/>
      <c r="E15" s="13">
        <v>1960</v>
      </c>
      <c r="F15" s="11">
        <f t="shared" si="0"/>
        <v>0</v>
      </c>
    </row>
    <row r="16" spans="2:6" x14ac:dyDescent="0.25">
      <c r="B16" s="8">
        <v>42656</v>
      </c>
      <c r="C16" s="9" t="s">
        <v>159</v>
      </c>
      <c r="D16" s="11">
        <v>1800</v>
      </c>
      <c r="E16" s="13"/>
      <c r="F16" s="11">
        <f t="shared" si="0"/>
        <v>1800</v>
      </c>
    </row>
    <row r="17" spans="2:6" x14ac:dyDescent="0.25">
      <c r="B17" s="14">
        <v>42657</v>
      </c>
      <c r="C17" s="15" t="s">
        <v>160</v>
      </c>
      <c r="D17" s="16"/>
      <c r="E17" s="17">
        <v>1800</v>
      </c>
      <c r="F17" s="16">
        <f t="shared" si="0"/>
        <v>0</v>
      </c>
    </row>
    <row r="18" spans="2:6" x14ac:dyDescent="0.25">
      <c r="B18" s="32"/>
      <c r="C18" s="32"/>
      <c r="D18" s="35"/>
      <c r="E18" s="36"/>
      <c r="F18" s="37">
        <f>F17+D18-E18</f>
        <v>0</v>
      </c>
    </row>
    <row r="19" spans="2:6" x14ac:dyDescent="0.25">
      <c r="D19"/>
      <c r="E19" s="33" t="s">
        <v>2</v>
      </c>
      <c r="F19" s="34">
        <f>F18</f>
        <v>0</v>
      </c>
    </row>
    <row r="20" spans="2:6" x14ac:dyDescent="0.25">
      <c r="D20"/>
    </row>
    <row r="21" spans="2:6" x14ac:dyDescent="0.25">
      <c r="D21"/>
    </row>
    <row r="22" spans="2:6" x14ac:dyDescent="0.25">
      <c r="D22"/>
    </row>
    <row r="23" spans="2:6" x14ac:dyDescent="0.25">
      <c r="D23"/>
    </row>
    <row r="24" spans="2:6" x14ac:dyDescent="0.25">
      <c r="D24"/>
    </row>
    <row r="25" spans="2:6" x14ac:dyDescent="0.25">
      <c r="D25"/>
    </row>
    <row r="26" spans="2:6" x14ac:dyDescent="0.25">
      <c r="D26"/>
    </row>
    <row r="27" spans="2:6" x14ac:dyDescent="0.25">
      <c r="D27"/>
    </row>
    <row r="28" spans="2:6" x14ac:dyDescent="0.25">
      <c r="D28"/>
    </row>
    <row r="29" spans="2:6" x14ac:dyDescent="0.25">
      <c r="D29"/>
    </row>
    <row r="30" spans="2:6" x14ac:dyDescent="0.25">
      <c r="D30"/>
    </row>
  </sheetData>
  <sheetProtection algorithmName="SHA-512" hashValue="e9yAgbU0al3QMKmSy+J5cQZ6vJvnCBOxkQcsrZu+Y9nPJalAopoiBhc1uu8ltk5BpAv8JJCfhKYeT+n6Ukzorw==" saltValue="EbyaY2mtA0OATrGBUk5hyw==" spinCount="100000" sheet="1" objects="1" scenarios="1"/>
  <hyperlinks>
    <hyperlink ref="B1" location="'INF. GENERAL'!A1" display="VOLVER" xr:uid="{00000000-0004-0000-35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2577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8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Hoja154"/>
  <dimension ref="B1:F10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56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</sheetData>
  <sheetProtection algorithmName="SHA-512" hashValue="dKkyUoZM4HMrgs7ep2r9xluvoy92EPcPt8bO+UPJ1LYkR3qRG2xeUOG3jdITWjyhmsq2e7w29UhXH0bDC4Q69A==" saltValue="hpICz8BTIOGCpIk3bpaXgA==" spinCount="100000" sheet="1" objects="1" scenarios="1"/>
  <hyperlinks>
    <hyperlink ref="B1" location="'INF. GENERAL'!A1" display="VOLVER" xr:uid="{00000000-0004-0000-3600-000000000000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4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r:id="rId5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Hoja155"/>
  <dimension ref="B1:F9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57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</sheetData>
  <sheetProtection algorithmName="SHA-512" hashValue="Y43G14ELOU/eeBWjJpny+LT6If5iSaCOSn8En77NVOe92zYAzRFtn6utKgVuDEj1zQbeUmCu73YCQ9zhsfd4QA==" saltValue="JzPWzeyNIW0rtmfBfe0Q8w==" spinCount="100000" sheet="1" objects="1" scenarios="1"/>
  <hyperlinks>
    <hyperlink ref="B1" location="'INF. GENERAL'!A1" display="VOLVER" xr:uid="{00000000-0004-0000-37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Hoja156"/>
  <dimension ref="B1:F30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58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</sheetData>
  <sheetProtection algorithmName="SHA-512" hashValue="h+AwytRDg+tVR9Vf9T+XpDy3lFYAn+6nlRTKXUDgGaHGeSSAkyAagNiFO5953cZ+N0i6P3qJAud613UXFPF09Q==" saltValue="DJlKCBKvjWHSQqbsYlGy7w==" spinCount="100000" sheet="1" objects="1" scenarios="1"/>
  <hyperlinks>
    <hyperlink ref="B1" location="'INF. GENERAL'!A1" display="VOLVER" xr:uid="{00000000-0004-0000-38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0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Hoja157"/>
  <dimension ref="B1:F25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59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</sheetData>
  <sheetProtection algorithmName="SHA-512" hashValue="xoiYWiWPqDtF1QroDTXv7DAhIWGWbPAcVhJ2GK5qY/+GmC2H+XI7Io3uYGAh/Lwu+sN6AngyusIYT9K5zkkcew==" saltValue="wJz491jSaTsJ/OrgvZ2bnQ==" spinCount="100000" sheet="1" objects="1" scenarios="1"/>
  <hyperlinks>
    <hyperlink ref="B1" location="'INF. GENERAL'!A1" display="VOLVER" xr:uid="{00000000-0004-0000-39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673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4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Hoja158"/>
  <dimension ref="B1:F29"/>
  <sheetViews>
    <sheetView zoomScaleNormal="100" workbookViewId="0">
      <pane ySplit="2" topLeftCell="A15" activePane="bottomLeft" state="frozen"/>
      <selection pane="bottomLeft" activeCell="B15" sqref="B15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60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8">
        <v>42370</v>
      </c>
      <c r="C3" s="9" t="s">
        <v>108</v>
      </c>
      <c r="D3" s="12">
        <v>0</v>
      </c>
      <c r="E3" s="11"/>
      <c r="F3" s="11">
        <f>D3-E3</f>
        <v>0</v>
      </c>
    </row>
    <row r="4" spans="2:6" x14ac:dyDescent="0.25">
      <c r="B4" s="22">
        <v>41970</v>
      </c>
      <c r="C4" s="23" t="s">
        <v>161</v>
      </c>
      <c r="D4" s="10">
        <v>2649</v>
      </c>
      <c r="E4" s="24"/>
      <c r="F4" s="11">
        <f t="shared" ref="F4:F26" si="0">F3+D4-E4</f>
        <v>2649</v>
      </c>
    </row>
    <row r="5" spans="2:6" x14ac:dyDescent="0.25">
      <c r="B5" s="22">
        <v>42112</v>
      </c>
      <c r="C5" s="23" t="s">
        <v>162</v>
      </c>
      <c r="D5" s="10"/>
      <c r="E5" s="24">
        <v>1200</v>
      </c>
      <c r="F5" s="11">
        <f t="shared" si="0"/>
        <v>1449</v>
      </c>
    </row>
    <row r="6" spans="2:6" x14ac:dyDescent="0.25">
      <c r="B6" s="22">
        <v>42143</v>
      </c>
      <c r="C6" s="23" t="s">
        <v>163</v>
      </c>
      <c r="D6" s="10"/>
      <c r="E6" s="24">
        <v>1449</v>
      </c>
      <c r="F6" s="11">
        <f t="shared" si="0"/>
        <v>0</v>
      </c>
    </row>
    <row r="7" spans="2:6" x14ac:dyDescent="0.25">
      <c r="B7" s="22">
        <v>42156</v>
      </c>
      <c r="C7" s="23" t="s">
        <v>164</v>
      </c>
      <c r="D7" s="10">
        <v>2649</v>
      </c>
      <c r="E7" s="24"/>
      <c r="F7" s="11">
        <f t="shared" si="0"/>
        <v>2649</v>
      </c>
    </row>
    <row r="8" spans="2:6" x14ac:dyDescent="0.25">
      <c r="B8" s="22">
        <v>42221</v>
      </c>
      <c r="C8" s="23" t="s">
        <v>165</v>
      </c>
      <c r="D8" s="10"/>
      <c r="E8" s="24">
        <v>2649</v>
      </c>
      <c r="F8" s="11">
        <f t="shared" si="0"/>
        <v>0</v>
      </c>
    </row>
    <row r="9" spans="2:6" x14ac:dyDescent="0.25">
      <c r="B9" s="8">
        <v>42446</v>
      </c>
      <c r="C9" s="9" t="s">
        <v>166</v>
      </c>
      <c r="D9" s="20">
        <v>2649</v>
      </c>
      <c r="E9" s="11"/>
      <c r="F9" s="11">
        <f t="shared" si="0"/>
        <v>2649</v>
      </c>
    </row>
    <row r="10" spans="2:6" x14ac:dyDescent="0.25">
      <c r="B10" s="8">
        <v>42465</v>
      </c>
      <c r="C10" s="9" t="s">
        <v>167</v>
      </c>
      <c r="D10" s="12"/>
      <c r="E10" s="11">
        <v>2649</v>
      </c>
      <c r="F10" s="11">
        <f t="shared" si="0"/>
        <v>0</v>
      </c>
    </row>
    <row r="11" spans="2:6" x14ac:dyDescent="0.25">
      <c r="B11" s="8">
        <v>42479</v>
      </c>
      <c r="C11" s="9" t="s">
        <v>168</v>
      </c>
      <c r="D11" s="12">
        <v>2649</v>
      </c>
      <c r="E11" s="11"/>
      <c r="F11" s="11">
        <f t="shared" si="0"/>
        <v>2649</v>
      </c>
    </row>
    <row r="12" spans="2:6" x14ac:dyDescent="0.25">
      <c r="B12" s="8">
        <v>42496</v>
      </c>
      <c r="C12" s="9" t="s">
        <v>169</v>
      </c>
      <c r="D12" s="12"/>
      <c r="E12" s="11">
        <v>2649</v>
      </c>
      <c r="F12" s="11">
        <f t="shared" si="0"/>
        <v>0</v>
      </c>
    </row>
    <row r="13" spans="2:6" x14ac:dyDescent="0.25">
      <c r="B13" s="8">
        <v>42507</v>
      </c>
      <c r="C13" s="9" t="s">
        <v>170</v>
      </c>
      <c r="D13" s="12">
        <v>2649</v>
      </c>
      <c r="E13" s="11"/>
      <c r="F13" s="11">
        <f t="shared" si="0"/>
        <v>2649</v>
      </c>
    </row>
    <row r="14" spans="2:6" x14ac:dyDescent="0.25">
      <c r="B14" s="14">
        <v>42527</v>
      </c>
      <c r="C14" s="15" t="s">
        <v>171</v>
      </c>
      <c r="D14" s="21"/>
      <c r="E14" s="16">
        <v>2649</v>
      </c>
      <c r="F14" s="16">
        <f t="shared" si="0"/>
        <v>0</v>
      </c>
    </row>
    <row r="15" spans="2:6" x14ac:dyDescent="0.25">
      <c r="B15" s="32"/>
      <c r="C15" s="32"/>
      <c r="D15" s="35"/>
      <c r="E15" s="36"/>
      <c r="F15" s="37">
        <f>F14+D15-E15</f>
        <v>0</v>
      </c>
    </row>
    <row r="16" spans="2:6" x14ac:dyDescent="0.25">
      <c r="D16"/>
      <c r="E16" s="33" t="s">
        <v>2</v>
      </c>
      <c r="F16" s="34">
        <f>F15</f>
        <v>0</v>
      </c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</sheetData>
  <sheetProtection algorithmName="SHA-512" hashValue="jQGVbXSd8fQuZmlqUlUdqLPRUhPKH+43Fc9/GJaKgHwRbJcr566W7gK4MTLg4BJrZqwxvG8RJcfR0GljUalLXQ==" saltValue="6yhR2WV+3r7u3ujXBE/zhA==" spinCount="100000" sheet="1" objects="1" scenarios="1"/>
  <hyperlinks>
    <hyperlink ref="B1" location="'INF. GENERAL'!A1" display="VOLVER" xr:uid="{00000000-0004-0000-3A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8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Hoja159"/>
  <dimension ref="B1:F29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61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</sheetData>
  <sheetProtection algorithmName="SHA-512" hashValue="G65Xm+LSev7z+72sEgy1nW5khKijKP68+fOpNJ/CDYrFLACQIYf52I4k+z7aom8y84AYAcMvfVLrAKQqB1shCw==" saltValue="6VFgPLuOHSfcI7RJJSVjfw==" spinCount="100000" sheet="1" objects="1" scenarios="1"/>
  <hyperlinks>
    <hyperlink ref="B1" location="'INF. GENERAL'!A1" display="VOLVER" xr:uid="{00000000-0004-0000-3B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Hoja160"/>
  <dimension ref="B1:F27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62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</sheetData>
  <sheetProtection algorithmName="SHA-512" hashValue="qB5E0v4AOs9VZ/kAZeeceJ2U9U8rtqBCg4il+ZTRN9ZSLRqMd37CDAM+1O5/Ft/gkw4D0mjjkgD7+NjxksGNIQ==" saltValue="q1MFx13tks5zLYMhCIQ44A==" spinCount="100000" sheet="1" objects="1" scenarios="1"/>
  <hyperlinks>
    <hyperlink ref="B1" location="'INF. GENERAL'!A1" display="VOLVER" xr:uid="{00000000-0004-0000-3C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Hoja161"/>
  <dimension ref="B1:F27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63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</sheetData>
  <sheetProtection algorithmName="SHA-512" hashValue="zHcUmUj83zsYOGqjZV8DFzevzCipMC+m05bTACSIaJlhcG3u5eWGTCe0cT5KAshg5ZuRWzJYm79MZCiZo0jiOA==" saltValue="u76t4T9G31aYU/tGNw4+qQ==" spinCount="100000" sheet="1" objects="1" scenarios="1"/>
  <hyperlinks>
    <hyperlink ref="B1" location="'INF. GENERAL'!A1" display="VOLVER" xr:uid="{00000000-0004-0000-3D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769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0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Hoja2"/>
  <dimension ref="B1:F19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172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</sheetData>
  <sheetProtection algorithmName="SHA-512" hashValue="z+5j6ViUhNTyQHhZdt2iuhbv0W8gzc7nq1FCtJLJnH+XoW3yBb0gknV+mBAfQFm/6/X7RyyS24N9rPvMhjGbkg==" saltValue="aLGbMdVrOGqjnMjtmsUB9A==" spinCount="100000" sheet="1" objects="1" scenarios="1"/>
  <hyperlinks>
    <hyperlink ref="B1" location="'INF. GENERAL'!A1" display="VOLVER" xr:uid="{00000000-0004-0000-3E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9681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2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Hoja162"/>
  <dimension ref="B1:F35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64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</sheetData>
  <sheetProtection algorithmName="SHA-512" hashValue="U2UzsEiNbwpWXsZN3UEdzRn2kJWyHmR/cM6C1oHKBNPBQfFbKcCV4mBFKUZqzepQLDCJBTkpgzk30KIszmtHpQ==" saltValue="y4IdZt3bXFM/DfxvO8fOVw==" spinCount="100000" sheet="1" objects="1" scenarios="1"/>
  <hyperlinks>
    <hyperlink ref="B1" location="'INF. GENERAL'!A1" display="VOLVER" xr:uid="{00000000-0004-0000-3F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Hoja163"/>
  <dimension ref="B1:F27"/>
  <sheetViews>
    <sheetView zoomScaleNormal="100" workbookViewId="0">
      <pane ySplit="2" topLeftCell="A3" activePane="bottomLeft" state="frozen"/>
      <selection pane="bottomLeft" activeCell="E31" sqref="E31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65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</sheetData>
  <sheetProtection algorithmName="SHA-512" hashValue="diURutBvURgmk1pUN88lYuhM57xI5nGzk1eIl4wv7HxGzIm7yyPTdQv5q0tnuQCqDNMpY1fogFvtjq/LQEaOqw==" saltValue="1h+Nm7TKR+HvzV+R2VhXMQ==" spinCount="100000" sheet="1" objects="1" scenarios="1"/>
  <hyperlinks>
    <hyperlink ref="B1" location="'INF. GENERAL'!A1" display="VOLVER" xr:uid="{00000000-0004-0000-40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Hoja164"/>
  <dimension ref="B1:F26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66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</sheetData>
  <sheetProtection algorithmName="SHA-512" hashValue="1Op2dcEtzuIhwFLJaGGUKMiwr/jX0XDhAHjlP3A2Azln6xXydBnqu7k8vNp72VD8DWH5lgdgTwdVSBc1tsTc1Q==" saltValue="7eXmD2aI1/YPSMP/yHr/Yw==" spinCount="100000" sheet="1" objects="1" scenarios="1"/>
  <hyperlinks>
    <hyperlink ref="B1" location="'INF. GENERAL'!A1" display="VOLVER" xr:uid="{00000000-0004-0000-41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2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Hoja165"/>
  <dimension ref="B1:F30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67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</sheetData>
  <sheetProtection algorithmName="SHA-512" hashValue="jVg5I2uZ6uZJVqVg7KhgjkRKNfuYkNZX5gBP0iDi0fSDa4Pbtz6NrZOOqr9z2O1tmOPw7jlrnFbgB7O8dGDbxQ==" saltValue="U4/yRmMZfvSIu0orM9CjHA==" spinCount="100000" sheet="1" objects="1" scenarios="1"/>
  <hyperlinks>
    <hyperlink ref="B1" location="'INF. GENERAL'!A1" display="VOLVER" xr:uid="{00000000-0004-0000-42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865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6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Hoja166"/>
  <dimension ref="B1:F15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68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</sheetData>
  <sheetProtection algorithmName="SHA-512" hashValue="LLohB8lDismIq3QbrvhuhhzMkjAUSl6rxdZG1hialPaPhtRmBpCRzidGGkyKuFV22Ptr5lqDH9qtICBWo2ubTg==" saltValue="0dJJAhWo4ovdUxOiReVlTQ==" spinCount="100000" sheet="1" objects="1" scenarios="1"/>
  <hyperlinks>
    <hyperlink ref="B1" location="'INF. GENERAL'!A1" display="VOLVER" xr:uid="{00000000-0004-0000-43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5889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90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Hoja167"/>
  <dimension ref="B1:F33"/>
  <sheetViews>
    <sheetView zoomScaleNormal="100" workbookViewId="0">
      <pane ySplit="2" topLeftCell="A18" activePane="bottomLeft" state="frozen"/>
      <selection pane="bottomLeft" activeCell="B18" sqref="B18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69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22">
        <v>42370</v>
      </c>
      <c r="C3" s="23" t="s">
        <v>132</v>
      </c>
      <c r="D3" s="10">
        <v>0</v>
      </c>
      <c r="E3" s="24"/>
      <c r="F3" s="11">
        <f>D3-E3</f>
        <v>0</v>
      </c>
    </row>
    <row r="4" spans="2:6" x14ac:dyDescent="0.25">
      <c r="B4" s="22">
        <v>42250</v>
      </c>
      <c r="C4" s="23" t="s">
        <v>173</v>
      </c>
      <c r="D4" s="10">
        <v>4550</v>
      </c>
      <c r="E4" s="24"/>
      <c r="F4" s="11">
        <f t="shared" ref="F4:F10" si="0">F3+D4-E4</f>
        <v>4550</v>
      </c>
    </row>
    <row r="5" spans="2:6" x14ac:dyDescent="0.25">
      <c r="B5" s="22">
        <v>42251</v>
      </c>
      <c r="C5" s="23" t="s">
        <v>174</v>
      </c>
      <c r="D5" s="10"/>
      <c r="E5" s="24">
        <v>2050</v>
      </c>
      <c r="F5" s="11">
        <f t="shared" si="0"/>
        <v>2500</v>
      </c>
    </row>
    <row r="6" spans="2:6" x14ac:dyDescent="0.25">
      <c r="B6" s="22">
        <v>42297</v>
      </c>
      <c r="C6" s="23" t="s">
        <v>175</v>
      </c>
      <c r="D6" s="10"/>
      <c r="E6" s="24">
        <v>2010</v>
      </c>
      <c r="F6" s="11">
        <f t="shared" si="0"/>
        <v>490</v>
      </c>
    </row>
    <row r="7" spans="2:6" x14ac:dyDescent="0.25">
      <c r="B7" s="8">
        <v>42404</v>
      </c>
      <c r="C7" s="9" t="s">
        <v>176</v>
      </c>
      <c r="D7" s="12"/>
      <c r="E7" s="11">
        <v>1750</v>
      </c>
      <c r="F7" s="11">
        <f t="shared" si="0"/>
        <v>-1260</v>
      </c>
    </row>
    <row r="8" spans="2:6" x14ac:dyDescent="0.25">
      <c r="B8" s="8">
        <v>42446</v>
      </c>
      <c r="C8" s="9" t="s">
        <v>177</v>
      </c>
      <c r="D8" s="20">
        <v>2008</v>
      </c>
      <c r="E8" s="11"/>
      <c r="F8" s="11">
        <f t="shared" si="0"/>
        <v>748</v>
      </c>
    </row>
    <row r="9" spans="2:6" x14ac:dyDescent="0.25">
      <c r="B9" s="8">
        <v>42466</v>
      </c>
      <c r="C9" s="9" t="s">
        <v>178</v>
      </c>
      <c r="D9" s="12"/>
      <c r="E9" s="11">
        <v>2008</v>
      </c>
      <c r="F9" s="11">
        <f t="shared" si="0"/>
        <v>-1260</v>
      </c>
    </row>
    <row r="10" spans="2:6" x14ac:dyDescent="0.25">
      <c r="B10" s="8">
        <v>42480</v>
      </c>
      <c r="C10" s="9" t="s">
        <v>179</v>
      </c>
      <c r="D10" s="12">
        <v>2008</v>
      </c>
      <c r="E10" s="11"/>
      <c r="F10" s="11">
        <f t="shared" si="0"/>
        <v>748</v>
      </c>
    </row>
    <row r="11" spans="2:6" x14ac:dyDescent="0.25">
      <c r="B11" s="8">
        <v>42496</v>
      </c>
      <c r="C11" s="9" t="s">
        <v>180</v>
      </c>
      <c r="D11" s="12"/>
      <c r="E11" s="11">
        <v>2008</v>
      </c>
      <c r="F11" s="11">
        <f>F10+D11-E11</f>
        <v>-1260</v>
      </c>
    </row>
    <row r="12" spans="2:6" x14ac:dyDescent="0.25">
      <c r="B12" s="8">
        <v>42496</v>
      </c>
      <c r="C12" s="9" t="s">
        <v>181</v>
      </c>
      <c r="D12" s="12"/>
      <c r="E12" s="11">
        <v>75</v>
      </c>
      <c r="F12" s="11">
        <f t="shared" ref="F12:F26" si="1">F11+D12-E12</f>
        <v>-1335</v>
      </c>
    </row>
    <row r="13" spans="2:6" x14ac:dyDescent="0.25">
      <c r="B13" s="8">
        <v>42506</v>
      </c>
      <c r="C13" s="9" t="s">
        <v>182</v>
      </c>
      <c r="D13" s="12">
        <v>2008</v>
      </c>
      <c r="E13" s="11"/>
      <c r="F13" s="11">
        <f t="shared" si="1"/>
        <v>673</v>
      </c>
    </row>
    <row r="14" spans="2:6" x14ac:dyDescent="0.25">
      <c r="B14" s="8">
        <v>42525</v>
      </c>
      <c r="C14" s="9" t="s">
        <v>183</v>
      </c>
      <c r="D14" s="12"/>
      <c r="E14" s="11">
        <v>2008</v>
      </c>
      <c r="F14" s="11">
        <f t="shared" si="1"/>
        <v>-1335</v>
      </c>
    </row>
    <row r="15" spans="2:6" x14ac:dyDescent="0.25">
      <c r="B15" s="8">
        <v>42537</v>
      </c>
      <c r="C15" s="9" t="s">
        <v>184</v>
      </c>
      <c r="D15" s="12">
        <v>2008</v>
      </c>
      <c r="E15" s="11"/>
      <c r="F15" s="11">
        <f t="shared" si="1"/>
        <v>673</v>
      </c>
    </row>
    <row r="16" spans="2:6" x14ac:dyDescent="0.25">
      <c r="B16" s="8">
        <v>42599</v>
      </c>
      <c r="C16" s="9" t="s">
        <v>185</v>
      </c>
      <c r="D16" s="12">
        <v>2008</v>
      </c>
      <c r="E16" s="13"/>
      <c r="F16" s="11">
        <f t="shared" si="1"/>
        <v>2681</v>
      </c>
    </row>
    <row r="17" spans="2:6" x14ac:dyDescent="0.25">
      <c r="B17" s="14">
        <v>42602</v>
      </c>
      <c r="C17" s="15" t="s">
        <v>186</v>
      </c>
      <c r="D17" s="21"/>
      <c r="E17" s="17">
        <v>2681</v>
      </c>
      <c r="F17" s="16">
        <f t="shared" si="1"/>
        <v>0</v>
      </c>
    </row>
    <row r="18" spans="2:6" x14ac:dyDescent="0.25">
      <c r="B18" s="32"/>
      <c r="C18" s="32"/>
      <c r="D18" s="35"/>
      <c r="E18" s="36"/>
      <c r="F18" s="37">
        <f>F17+D18-E18</f>
        <v>0</v>
      </c>
    </row>
    <row r="19" spans="2:6" x14ac:dyDescent="0.25">
      <c r="D19"/>
      <c r="E19" s="33" t="s">
        <v>2</v>
      </c>
      <c r="F19" s="34">
        <f>F18</f>
        <v>0</v>
      </c>
    </row>
    <row r="20" spans="2:6" x14ac:dyDescent="0.25">
      <c r="D20"/>
    </row>
    <row r="21" spans="2:6" x14ac:dyDescent="0.25">
      <c r="D21"/>
    </row>
    <row r="22" spans="2:6" x14ac:dyDescent="0.25">
      <c r="D22"/>
    </row>
    <row r="23" spans="2:6" x14ac:dyDescent="0.25">
      <c r="D23"/>
    </row>
    <row r="24" spans="2:6" x14ac:dyDescent="0.25">
      <c r="D24"/>
    </row>
    <row r="25" spans="2:6" x14ac:dyDescent="0.25">
      <c r="D25"/>
    </row>
    <row r="26" spans="2:6" x14ac:dyDescent="0.25">
      <c r="D26"/>
    </row>
    <row r="27" spans="2:6" x14ac:dyDescent="0.25">
      <c r="D27"/>
    </row>
    <row r="28" spans="2:6" x14ac:dyDescent="0.25">
      <c r="D28"/>
    </row>
    <row r="29" spans="2:6" x14ac:dyDescent="0.25">
      <c r="D29"/>
    </row>
    <row r="30" spans="2:6" x14ac:dyDescent="0.25">
      <c r="D30"/>
    </row>
    <row r="31" spans="2:6" x14ac:dyDescent="0.25">
      <c r="D31"/>
    </row>
    <row r="32" spans="2:6" x14ac:dyDescent="0.25">
      <c r="D32"/>
    </row>
    <row r="33" spans="4:4" x14ac:dyDescent="0.25">
      <c r="D33"/>
    </row>
  </sheetData>
  <sheetProtection algorithmName="SHA-512" hashValue="caoev+pOGaMusu/wLmf7QTHiuXhStgq0/+BiWNkpquBLwBSKczIlvJ40wkdUODerdFNFNcq1SJGn6GaHz8SNaw==" saltValue="FXk5UOcnxpiFWICEd0PpXw==" spinCount="100000" sheet="1" objects="1" scenarios="1"/>
  <hyperlinks>
    <hyperlink ref="B1" location="'INF. GENERAL'!A1" display="VOLVER" xr:uid="{00000000-0004-0000-44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3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4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Hoja168"/>
  <dimension ref="B1:F25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70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</sheetData>
  <sheetProtection algorithmName="SHA-512" hashValue="SsepH4SY0B0dqSP0n6QpKHgGXJLeM+BE6w2PCYgHo55g/2fyvGD35bSfqyPrZuObnZYqUf7CYzVoQiq6Iwdokg==" saltValue="0/6gCE4JjwmTsUPFsBt/dg==" spinCount="100000" sheet="1" objects="1" scenarios="1"/>
  <hyperlinks>
    <hyperlink ref="B1" location="'INF. GENERAL'!A1" display="VOLVER" xr:uid="{00000000-0004-0000-45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37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38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Hoja169"/>
  <dimension ref="B1:F28"/>
  <sheetViews>
    <sheetView zoomScaleNormal="100" workbookViewId="0">
      <pane ySplit="2" topLeftCell="A12" activePane="bottomLeft" state="frozen"/>
      <selection pane="bottomLeft" activeCell="B12" sqref="B12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71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8">
        <v>42370</v>
      </c>
      <c r="C3" s="9" t="s">
        <v>107</v>
      </c>
      <c r="D3" s="12">
        <v>0</v>
      </c>
      <c r="E3" s="11"/>
      <c r="F3" s="11">
        <f>D3-E3</f>
        <v>0</v>
      </c>
    </row>
    <row r="4" spans="2:6" x14ac:dyDescent="0.25">
      <c r="B4" s="18">
        <v>42444</v>
      </c>
      <c r="C4" s="19" t="s">
        <v>187</v>
      </c>
      <c r="D4" s="20">
        <v>600</v>
      </c>
      <c r="E4" s="11"/>
      <c r="F4" s="11">
        <f>F3+D4-E4</f>
        <v>600</v>
      </c>
    </row>
    <row r="5" spans="2:6" x14ac:dyDescent="0.25">
      <c r="B5" s="8">
        <v>42446</v>
      </c>
      <c r="C5" s="9" t="s">
        <v>188</v>
      </c>
      <c r="D5" s="12"/>
      <c r="E5" s="11">
        <v>600</v>
      </c>
      <c r="F5" s="11">
        <f t="shared" ref="F5:F21" si="0">F4+D5-E5</f>
        <v>0</v>
      </c>
    </row>
    <row r="6" spans="2:6" x14ac:dyDescent="0.25">
      <c r="B6" s="8">
        <v>42479</v>
      </c>
      <c r="C6" s="9" t="s">
        <v>189</v>
      </c>
      <c r="D6" s="12">
        <v>600</v>
      </c>
      <c r="E6" s="11"/>
      <c r="F6" s="11">
        <f t="shared" si="0"/>
        <v>600</v>
      </c>
    </row>
    <row r="7" spans="2:6" x14ac:dyDescent="0.25">
      <c r="B7" s="8">
        <v>42480</v>
      </c>
      <c r="C7" s="9" t="s">
        <v>190</v>
      </c>
      <c r="D7" s="12"/>
      <c r="E7" s="11">
        <v>600</v>
      </c>
      <c r="F7" s="11">
        <f t="shared" si="0"/>
        <v>0</v>
      </c>
    </row>
    <row r="8" spans="2:6" x14ac:dyDescent="0.25">
      <c r="B8" s="8">
        <v>42501</v>
      </c>
      <c r="C8" s="9" t="s">
        <v>191</v>
      </c>
      <c r="D8" s="12">
        <v>600</v>
      </c>
      <c r="E8" s="11"/>
      <c r="F8" s="11">
        <f t="shared" si="0"/>
        <v>600</v>
      </c>
    </row>
    <row r="9" spans="2:6" x14ac:dyDescent="0.25">
      <c r="B9" s="8">
        <v>42502</v>
      </c>
      <c r="C9" s="9" t="s">
        <v>192</v>
      </c>
      <c r="D9" s="12"/>
      <c r="E9" s="11">
        <v>600</v>
      </c>
      <c r="F9" s="11">
        <f t="shared" si="0"/>
        <v>0</v>
      </c>
    </row>
    <row r="10" spans="2:6" x14ac:dyDescent="0.25">
      <c r="B10" s="8">
        <v>42535</v>
      </c>
      <c r="C10" s="9" t="s">
        <v>193</v>
      </c>
      <c r="D10" s="12">
        <v>500</v>
      </c>
      <c r="E10" s="11"/>
      <c r="F10" s="11">
        <f t="shared" si="0"/>
        <v>500</v>
      </c>
    </row>
    <row r="11" spans="2:6" x14ac:dyDescent="0.25">
      <c r="B11" s="14">
        <v>42536</v>
      </c>
      <c r="C11" s="15" t="s">
        <v>194</v>
      </c>
      <c r="D11" s="21"/>
      <c r="E11" s="16">
        <v>500</v>
      </c>
      <c r="F11" s="16">
        <f t="shared" si="0"/>
        <v>0</v>
      </c>
    </row>
    <row r="12" spans="2:6" x14ac:dyDescent="0.25">
      <c r="B12" s="32"/>
      <c r="C12" s="32"/>
      <c r="D12" s="35"/>
      <c r="E12" s="36"/>
      <c r="F12" s="37">
        <f>F11+D12-E12</f>
        <v>0</v>
      </c>
    </row>
    <row r="13" spans="2:6" x14ac:dyDescent="0.25">
      <c r="D13"/>
      <c r="E13" s="33" t="s">
        <v>2</v>
      </c>
      <c r="F13" s="34">
        <f>F12</f>
        <v>0</v>
      </c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</sheetData>
  <sheetProtection algorithmName="SHA-512" hashValue="NAYPmNJ53JPHAMYlISL4kjAI0CUI+D8yi5vjy4O/E1gELXPiYksTXg6aEZmr918r2AMVkECve/nG3w+bFPIeQQ==" saltValue="qVi3J2fpTv0e0XZxL3mkIQ==" spinCount="100000" sheet="1" objects="1" scenarios="1"/>
  <hyperlinks>
    <hyperlink ref="B1" location="'INF. GENERAL'!A1" display="VOLVER" xr:uid="{00000000-0004-0000-46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961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62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Hoja170"/>
  <dimension ref="B1:F26"/>
  <sheetViews>
    <sheetView zoomScaleNormal="100" workbookViewId="0">
      <pane ySplit="2" topLeftCell="A10" activePane="bottomLeft" state="frozen"/>
      <selection pane="bottomLeft" activeCell="B10" sqref="B10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72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8">
        <v>42370</v>
      </c>
      <c r="C3" s="9" t="s">
        <v>107</v>
      </c>
      <c r="D3" s="12">
        <v>0</v>
      </c>
      <c r="E3" s="11"/>
      <c r="F3" s="11">
        <f>D3-E3</f>
        <v>0</v>
      </c>
    </row>
    <row r="4" spans="2:6" x14ac:dyDescent="0.25">
      <c r="B4" s="8">
        <v>42450</v>
      </c>
      <c r="C4" s="9" t="s">
        <v>195</v>
      </c>
      <c r="D4" s="12">
        <v>2339</v>
      </c>
      <c r="E4" s="11"/>
      <c r="F4" s="11">
        <f t="shared" ref="F4:F21" si="0">F3+D4-E4</f>
        <v>2339</v>
      </c>
    </row>
    <row r="5" spans="2:6" x14ac:dyDescent="0.25">
      <c r="B5" s="8">
        <v>42451</v>
      </c>
      <c r="C5" s="9" t="s">
        <v>196</v>
      </c>
      <c r="D5" s="12"/>
      <c r="E5" s="11">
        <v>2339</v>
      </c>
      <c r="F5" s="11">
        <f t="shared" si="0"/>
        <v>0</v>
      </c>
    </row>
    <row r="6" spans="2:6" x14ac:dyDescent="0.25">
      <c r="B6" s="8">
        <v>42480</v>
      </c>
      <c r="C6" s="9" t="s">
        <v>197</v>
      </c>
      <c r="D6" s="12">
        <v>2339</v>
      </c>
      <c r="E6" s="11"/>
      <c r="F6" s="11">
        <f t="shared" si="0"/>
        <v>2339</v>
      </c>
    </row>
    <row r="7" spans="2:6" x14ac:dyDescent="0.25">
      <c r="B7" s="8">
        <v>42482</v>
      </c>
      <c r="C7" s="9" t="s">
        <v>198</v>
      </c>
      <c r="D7" s="12"/>
      <c r="E7" s="11">
        <v>2339</v>
      </c>
      <c r="F7" s="11">
        <f t="shared" si="0"/>
        <v>0</v>
      </c>
    </row>
    <row r="8" spans="2:6" x14ac:dyDescent="0.25">
      <c r="B8" s="8">
        <v>42507</v>
      </c>
      <c r="C8" s="9" t="s">
        <v>199</v>
      </c>
      <c r="D8" s="12">
        <v>2339</v>
      </c>
      <c r="E8" s="11"/>
      <c r="F8" s="11">
        <f t="shared" si="0"/>
        <v>2339</v>
      </c>
    </row>
    <row r="9" spans="2:6" x14ac:dyDescent="0.25">
      <c r="B9" s="14">
        <v>42510</v>
      </c>
      <c r="C9" s="15" t="s">
        <v>200</v>
      </c>
      <c r="D9" s="21"/>
      <c r="E9" s="16">
        <v>2339</v>
      </c>
      <c r="F9" s="16">
        <f t="shared" si="0"/>
        <v>0</v>
      </c>
    </row>
    <row r="10" spans="2:6" x14ac:dyDescent="0.25">
      <c r="B10" s="32"/>
      <c r="C10" s="32"/>
      <c r="D10" s="35"/>
      <c r="E10" s="36"/>
      <c r="F10" s="37">
        <f>F9+D10-E10</f>
        <v>0</v>
      </c>
    </row>
    <row r="11" spans="2:6" x14ac:dyDescent="0.25">
      <c r="D11"/>
      <c r="E11" s="33" t="s">
        <v>2</v>
      </c>
      <c r="F11" s="34">
        <f>F10</f>
        <v>0</v>
      </c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</sheetData>
  <sheetProtection algorithmName="SHA-512" hashValue="g6Wufxzul54yB5rsddGaeAF69m7F8j220fLo+btHuc79Dbyj6agGORaknNr8Q99MJ1csBPfsbQCzWlSqSG8A2Q==" saltValue="3ov1w7v5e3mLl/KxFAeNBw==" spinCount="100000" sheet="1" objects="1" scenarios="1"/>
  <hyperlinks>
    <hyperlink ref="B1" location="'INF. GENERAL'!A1" display="VOLVER" xr:uid="{00000000-0004-0000-47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985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86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Hoja171"/>
  <dimension ref="B1:F30"/>
  <sheetViews>
    <sheetView zoomScaleNormal="100" workbookViewId="0">
      <pane ySplit="2" topLeftCell="A18" activePane="bottomLeft" state="frozen"/>
      <selection pane="bottomLeft" activeCell="B18" sqref="B18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73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8">
        <v>42370</v>
      </c>
      <c r="C3" s="9" t="s">
        <v>107</v>
      </c>
      <c r="D3" s="10">
        <v>0</v>
      </c>
      <c r="E3" s="11"/>
      <c r="F3" s="11">
        <f>D3-E3</f>
        <v>0</v>
      </c>
    </row>
    <row r="4" spans="2:6" x14ac:dyDescent="0.25">
      <c r="B4" s="8">
        <v>42446</v>
      </c>
      <c r="C4" s="9" t="s">
        <v>201</v>
      </c>
      <c r="D4" s="12">
        <v>700</v>
      </c>
      <c r="E4" s="11"/>
      <c r="F4" s="11">
        <f t="shared" ref="F4:F23" si="0">F3+D4-E4</f>
        <v>700</v>
      </c>
    </row>
    <row r="5" spans="2:6" x14ac:dyDescent="0.25">
      <c r="B5" s="8">
        <v>42446</v>
      </c>
      <c r="C5" s="9" t="s">
        <v>202</v>
      </c>
      <c r="D5" s="20">
        <v>3591</v>
      </c>
      <c r="E5" s="11"/>
      <c r="F5" s="11">
        <f t="shared" si="0"/>
        <v>4291</v>
      </c>
    </row>
    <row r="6" spans="2:6" x14ac:dyDescent="0.25">
      <c r="B6" s="8">
        <v>42476</v>
      </c>
      <c r="C6" s="9" t="s">
        <v>203</v>
      </c>
      <c r="D6" s="12"/>
      <c r="E6" s="11">
        <v>4291</v>
      </c>
      <c r="F6" s="11">
        <f t="shared" si="0"/>
        <v>0</v>
      </c>
    </row>
    <row r="7" spans="2:6" x14ac:dyDescent="0.25">
      <c r="B7" s="8">
        <v>42480</v>
      </c>
      <c r="C7" s="9" t="s">
        <v>204</v>
      </c>
      <c r="D7" s="12">
        <v>1591</v>
      </c>
      <c r="E7" s="11"/>
      <c r="F7" s="11">
        <f t="shared" si="0"/>
        <v>1591</v>
      </c>
    </row>
    <row r="8" spans="2:6" x14ac:dyDescent="0.25">
      <c r="B8" s="8">
        <v>42509</v>
      </c>
      <c r="C8" s="9" t="s">
        <v>131</v>
      </c>
      <c r="D8" s="12">
        <v>3591</v>
      </c>
      <c r="E8" s="11"/>
      <c r="F8" s="11">
        <f t="shared" si="0"/>
        <v>5182</v>
      </c>
    </row>
    <row r="9" spans="2:6" x14ac:dyDescent="0.25">
      <c r="B9" s="8">
        <v>42510</v>
      </c>
      <c r="C9" s="9" t="s">
        <v>205</v>
      </c>
      <c r="D9" s="12"/>
      <c r="E9" s="11">
        <v>1591</v>
      </c>
      <c r="F9" s="11">
        <f t="shared" si="0"/>
        <v>3591</v>
      </c>
    </row>
    <row r="10" spans="2:6" x14ac:dyDescent="0.25">
      <c r="B10" s="8">
        <v>42510</v>
      </c>
      <c r="C10" s="9" t="s">
        <v>206</v>
      </c>
      <c r="D10" s="12"/>
      <c r="E10" s="11">
        <v>2410</v>
      </c>
      <c r="F10" s="11">
        <f t="shared" si="0"/>
        <v>1181</v>
      </c>
    </row>
    <row r="11" spans="2:6" x14ac:dyDescent="0.25">
      <c r="B11" s="8">
        <v>42537</v>
      </c>
      <c r="C11" s="9" t="s">
        <v>207</v>
      </c>
      <c r="D11" s="12">
        <v>2000</v>
      </c>
      <c r="E11" s="11"/>
      <c r="F11" s="11">
        <f t="shared" si="0"/>
        <v>3181</v>
      </c>
    </row>
    <row r="12" spans="2:6" x14ac:dyDescent="0.25">
      <c r="B12" s="8">
        <v>42540</v>
      </c>
      <c r="C12" s="9" t="s">
        <v>208</v>
      </c>
      <c r="D12" s="12"/>
      <c r="E12" s="11">
        <v>1181</v>
      </c>
      <c r="F12" s="11">
        <f t="shared" si="0"/>
        <v>2000</v>
      </c>
    </row>
    <row r="13" spans="2:6" x14ac:dyDescent="0.25">
      <c r="B13" s="8">
        <v>42540</v>
      </c>
      <c r="C13" s="9" t="s">
        <v>209</v>
      </c>
      <c r="D13" s="12"/>
      <c r="E13" s="11">
        <v>2000</v>
      </c>
      <c r="F13" s="11">
        <f t="shared" si="0"/>
        <v>0</v>
      </c>
    </row>
    <row r="14" spans="2:6" x14ac:dyDescent="0.25">
      <c r="B14" s="8">
        <v>42593</v>
      </c>
      <c r="C14" s="9" t="s">
        <v>210</v>
      </c>
      <c r="D14" s="11">
        <v>3591</v>
      </c>
      <c r="E14" s="11"/>
      <c r="F14" s="11">
        <f t="shared" si="0"/>
        <v>3591</v>
      </c>
    </row>
    <row r="15" spans="2:6" x14ac:dyDescent="0.25">
      <c r="B15" s="8">
        <v>42593</v>
      </c>
      <c r="C15" s="9" t="s">
        <v>211</v>
      </c>
      <c r="D15" s="11"/>
      <c r="E15" s="11">
        <v>3591</v>
      </c>
      <c r="F15" s="11">
        <f t="shared" si="0"/>
        <v>0</v>
      </c>
    </row>
    <row r="16" spans="2:6" x14ac:dyDescent="0.25">
      <c r="B16" s="8">
        <v>42626</v>
      </c>
      <c r="C16" s="9" t="s">
        <v>212</v>
      </c>
      <c r="D16" s="11">
        <v>3591</v>
      </c>
      <c r="E16" s="11"/>
      <c r="F16" s="11">
        <f t="shared" si="0"/>
        <v>3591</v>
      </c>
    </row>
    <row r="17" spans="2:6" x14ac:dyDescent="0.25">
      <c r="B17" s="14">
        <v>42626</v>
      </c>
      <c r="C17" s="15" t="s">
        <v>213</v>
      </c>
      <c r="D17" s="16"/>
      <c r="E17" s="16">
        <v>3591</v>
      </c>
      <c r="F17" s="16">
        <f t="shared" si="0"/>
        <v>0</v>
      </c>
    </row>
    <row r="18" spans="2:6" x14ac:dyDescent="0.25">
      <c r="B18" s="32"/>
      <c r="C18" s="32"/>
      <c r="D18" s="35"/>
      <c r="E18" s="36"/>
      <c r="F18" s="37">
        <f>F17+D18-E18</f>
        <v>0</v>
      </c>
    </row>
    <row r="19" spans="2:6" x14ac:dyDescent="0.25">
      <c r="D19"/>
      <c r="E19" s="33" t="s">
        <v>2</v>
      </c>
      <c r="F19" s="34">
        <f>F18</f>
        <v>0</v>
      </c>
    </row>
    <row r="20" spans="2:6" x14ac:dyDescent="0.25">
      <c r="D20"/>
    </row>
    <row r="21" spans="2:6" x14ac:dyDescent="0.25">
      <c r="D21"/>
    </row>
    <row r="22" spans="2:6" x14ac:dyDescent="0.25">
      <c r="D22"/>
    </row>
    <row r="23" spans="2:6" x14ac:dyDescent="0.25">
      <c r="D23"/>
    </row>
    <row r="24" spans="2:6" x14ac:dyDescent="0.25">
      <c r="D24"/>
    </row>
    <row r="25" spans="2:6" x14ac:dyDescent="0.25">
      <c r="D25"/>
    </row>
    <row r="26" spans="2:6" x14ac:dyDescent="0.25">
      <c r="D26"/>
    </row>
    <row r="27" spans="2:6" x14ac:dyDescent="0.25">
      <c r="D27"/>
    </row>
    <row r="28" spans="2:6" x14ac:dyDescent="0.25">
      <c r="D28"/>
    </row>
    <row r="29" spans="2:6" x14ac:dyDescent="0.25">
      <c r="D29"/>
    </row>
    <row r="30" spans="2:6" x14ac:dyDescent="0.25">
      <c r="D30"/>
    </row>
  </sheetData>
  <sheetProtection algorithmName="SHA-512" hashValue="nurD8hqGc1Y9ctOMesEvM2xAdqY00vnq8PEuUfIxkAP1qQbIGgCtacNboZFPUj5vIkYFMvETW8q8M4Vfs5Mxrw==" saltValue="ddkgzahyxZAelWC4oG0ckA==" spinCount="100000" sheet="1" objects="1" scenarios="1"/>
  <hyperlinks>
    <hyperlink ref="B1" location="'INF. GENERAL'!A1" display="VOLVER" xr:uid="{00000000-0004-0000-48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10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Hoja172"/>
  <dimension ref="B1:F28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74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</sheetData>
  <sheetProtection algorithmName="SHA-512" hashValue="mwsa1sZZDGqdCsixmIcsh9EwAL1UElbn+MFHY+U9WnnhqoTVLrHt1RuglFYuaSxrsd3x7TNJWQqWRRgexACRTw==" saltValue="k5DbR78ciDHKSf82Z+gU6g==" spinCount="100000" sheet="1" objects="1" scenarios="1"/>
  <hyperlinks>
    <hyperlink ref="B1" location="'INF. GENERAL'!A1" display="VOLVER" xr:uid="{00000000-0004-0000-49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3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4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Hoja173"/>
  <dimension ref="B1:F28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75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</sheetData>
  <sheetProtection algorithmName="SHA-512" hashValue="2qX4VkHF3et/pEKOFegfUtegdVAXo58zlMaUvu6Oq05G0aBoWasULr+e6PoKK2f9u8ni0/he8Pz7fosqKm2pVg==" saltValue="+DswkI4iOaao+qFGIe0v9Q==" spinCount="100000" sheet="1" objects="1" scenarios="1"/>
  <hyperlinks>
    <hyperlink ref="B1" location="'INF. GENERAL'!A1" display="VOLVER" xr:uid="{00000000-0004-0000-4A00-000000000000}"/>
  </hyperlink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Hoja174"/>
  <dimension ref="B1:F24"/>
  <sheetViews>
    <sheetView zoomScaleNormal="100" workbookViewId="0">
      <pane ySplit="2" topLeftCell="A3" activePane="bottomLeft" state="frozen"/>
      <selection pane="bottomLeft" activeCell="F31" sqref="F31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76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</sheetData>
  <sheetProtection algorithmName="SHA-512" hashValue="bOyttTMJMyNFROJfO8GOTn8/bmA09gjS8KA4dpRZ4fOBYgIP2Tk/peH6adJKFLiphdxvxKn5M5txkZTHTU86hg==" saltValue="VvvBm9EYbGwDua4aN5CTPw==" spinCount="100000" sheet="1" objects="1" scenarios="1"/>
  <hyperlinks>
    <hyperlink ref="B1" location="'INF. GENERAL'!A1" display="VOLVER" xr:uid="{00000000-0004-0000-4B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81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82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Hoja175"/>
  <dimension ref="B1:F21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77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</sheetData>
  <sheetProtection algorithmName="SHA-512" hashValue="HWyamUZ0kiBoRvQdlzJ2uKoee3BvBJ0XR7Pm77isqrduhaWyWAOchFMGgE95gsLZFL6jTTYnjgoASI8+NoDA+Q==" saltValue="s4WUfflaWyUSBIW/0qygHw==" spinCount="100000" sheet="1" objects="1" scenarios="1"/>
  <hyperlinks>
    <hyperlink ref="B1" location="'INF. GENERAL'!A1" display="VOLVER" xr:uid="{00000000-0004-0000-4C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105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06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Hoja176"/>
  <dimension ref="B1:F87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78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</sheetData>
  <sheetProtection algorithmName="SHA-512" hashValue="0KqcRt16w7PZOiiR1O/vndeHIyG5Jjjy6x97vLWwzRErq9fcAj4ggLyotIu+kdQn5zjWJivOOrvODAUL3Tn8gA==" saltValue="wwocBNFyHmYUuz+DWU16RA==" spinCount="100000" sheet="1" objects="1" scenarios="1"/>
  <hyperlinks>
    <hyperlink ref="B1" location="'INF. GENERAL'!A1" display="VOLVER" xr:uid="{00000000-0004-0000-4D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29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0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Hoja177"/>
  <dimension ref="B1:F32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79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8"/>
      <c r="C3" s="39"/>
      <c r="D3" s="39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</sheetData>
  <sheetProtection algorithmName="SHA-512" hashValue="Zkq0xUHM+YURepW6vNXCfC97jTne0KFA6J1KTdfw52+IrgslLeiRYdJdg1IdJSndFarAI5ItDe6K1G/xW4hzxw==" saltValue="HZzxM7dmTFnrzLw6p1t3xg==" spinCount="100000" sheet="1" objects="1" scenarios="1"/>
  <hyperlinks>
    <hyperlink ref="B1" location="'INF. GENERAL'!A1" display="VOLVER" xr:uid="{00000000-0004-0000-4E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153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4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Hoja178"/>
  <dimension ref="B1:F28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80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</sheetData>
  <sheetProtection algorithmName="SHA-512" hashValue="4vUnF44FGrmO5QQ9Oaj4rVE65yIh3V16PPbGVCq28cVjjustj4bDMqYF349TNAN7tNxe/yQb624i8ytEblvTcg==" saltValue="nCtNdMMxTrsh0guLGHkxgA==" spinCount="100000" sheet="1" objects="1" scenarios="1"/>
  <hyperlinks>
    <hyperlink ref="B1" location="'INF. GENERAL'!A1" display="VOLVER" xr:uid="{00000000-0004-0000-4F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8177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78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Hoja179"/>
  <dimension ref="B1:F24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81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</sheetData>
  <sheetProtection algorithmName="SHA-512" hashValue="Ac+NmsWdl4eaFt+4vCIAos5ut8szMJ2BRvwhZ60nub06+j+JHWTVaWXKiIi3pRkXeIa/W8oVi3/bVm6nKhR6Jg==" saltValue="XY8DNmyI3yGLDY6y+a+odQ==" spinCount="100000" sheet="1" objects="1" scenarios="1"/>
  <hyperlinks>
    <hyperlink ref="B1" location="'INF. GENERAL'!A1" display="VOLVER" xr:uid="{00000000-0004-0000-50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9201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02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Hoja180"/>
  <dimension ref="B1:F22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82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</sheetData>
  <sheetProtection algorithmName="SHA-512" hashValue="CJQV8KHuumXDkxBr/E3ix6Fgma8Ry2C4IPFxJT4CwGUpzeJ5VzIDg73Sz8Vyy9S/+y3UceTqoWjfuVceRMsHHA==" saltValue="3OguszgEZAB7ffSgS2s+Aw==" spinCount="100000" sheet="1" objects="1" scenarios="1"/>
  <hyperlinks>
    <hyperlink ref="B1" location="'INF. GENERAL'!A1" display="VOLVER" xr:uid="{00000000-0004-0000-51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225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26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Hoja181"/>
  <dimension ref="B1:F26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83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</sheetData>
  <sheetProtection algorithmName="SHA-512" hashValue="rOSJTDK4jY8myfj+i9juQg25ZZS/+HZ3IRzBiyang1JZH3GfcOoPsZ4F871S5BdZOWcN6zFg3Sa8MzPo4CCFCw==" saltValue="moorT6MEV+NzpKIahtttZA==" spinCount="100000" sheet="1" objects="1" scenarios="1"/>
  <hyperlinks>
    <hyperlink ref="B1" location="'INF. GENERAL'!A1" display="VOLVER" xr:uid="{00000000-0004-0000-52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1249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50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Hoja182"/>
  <dimension ref="B1:F26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84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</sheetData>
  <sheetProtection algorithmName="SHA-512" hashValue="fGdedWzEdNW5nTGbhxaIo7StmV4oCtBJz+fTeqUWVtbpGZu8fl0ndi2COLhZ5nmSVsChSnXyDz0F7mWE4Wjc7g==" saltValue="EwxcGW9bQPZb+vPsy5fXNw==" spinCount="100000" sheet="1" objects="1" scenarios="1"/>
  <hyperlinks>
    <hyperlink ref="B1" location="'INF. GENERAL'!A1" display="VOLVER" xr:uid="{00000000-0004-0000-53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2273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74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Hoja183"/>
  <dimension ref="B1:F29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85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</sheetData>
  <sheetProtection algorithmName="SHA-512" hashValue="fLB4l8mpwHKKVXJqIIz812Mvoa8OXTWp4B3Uh4KvKLFirAw/ibpfYZAFLfl70FxS12B9Vkbg3x3Ed/IZUeK1dg==" saltValue="UKIFzIY8JYCsnPKyoHQV6w==" spinCount="100000" sheet="1" objects="1" scenarios="1"/>
  <hyperlinks>
    <hyperlink ref="B1" location="'INF. GENERAL'!A1" display="VOLVER" xr:uid="{00000000-0004-0000-54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3297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98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Hoja184"/>
  <dimension ref="B1:F26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86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</sheetData>
  <sheetProtection algorithmName="SHA-512" hashValue="INs4A7ujKhfvWf7MiB9x35F8qV+Xe8/3T6kFNbQTStxhZo+PQIe577RTDtqzajBMeAnQ4FpsBrPKUU6M+9vMiA==" saltValue="J9FUCEN2f5F/7tQyuoPU9w==" spinCount="100000" sheet="1" objects="1" scenarios="1"/>
  <hyperlinks>
    <hyperlink ref="B1" location="'INF. GENERAL'!A1" display="VOLVER" xr:uid="{00000000-0004-0000-55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21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2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Hoja185"/>
  <dimension ref="B1:F27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87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</sheetData>
  <sheetProtection algorithmName="SHA-512" hashValue="7K784Q+g+xXQGfOEK5i3z21J4yLAlWStGuNAHab7q3rhCwtCro10TT1q8ObHcZTcLYStOaT6LSSkt4A+Bk5Kvg==" saltValue="fmJB5D5s32cfrg+3I2ZuxA==" spinCount="100000" sheet="1" objects="1" scenarios="1"/>
  <hyperlinks>
    <hyperlink ref="B1" location="'INF. GENERAL'!A1" display="VOLVER" xr:uid="{00000000-0004-0000-56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345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46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Hoja186"/>
  <dimension ref="B1:F27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88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</sheetData>
  <sheetProtection algorithmName="SHA-512" hashValue="1Y5PwprvumdkJZSeMJmyQuplnzMwjyP895Jg8RpTcIoQPQEt0Yo5ZudMP9jHrdll6WjfdxIDNfTh1iY7LW+HXg==" saltValue="UZofs97htdUs/zB57XQNWw==" spinCount="100000" sheet="1" objects="1" scenarios="1"/>
  <hyperlinks>
    <hyperlink ref="B1" location="'INF. GENERAL'!A1" display="VOLVER" xr:uid="{00000000-0004-0000-57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6369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0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Hoja187"/>
  <dimension ref="B1:F28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89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</sheetData>
  <sheetProtection algorithmName="SHA-512" hashValue="RJNaraqmY+XXuvQtibIU3XE8akq/CWuUhpR2kKHcEotI64cJM5PTKb5MpsashiW12SuFeYmSix70FCtyBFk2Jw==" saltValue="aJqEIecsfLTM2imP2g+g6w==" spinCount="100000" sheet="1" objects="1" scenarios="1"/>
  <hyperlinks>
    <hyperlink ref="B1" location="'INF. GENERAL'!A1" display="VOLVER" xr:uid="{00000000-0004-0000-5800-000000000000}"/>
  </hyperlink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4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5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Hoja188"/>
  <dimension ref="B1:F11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90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</sheetData>
  <sheetProtection algorithmName="SHA-512" hashValue="vfrzvxDZxseM6HdsOhGQ+kX66EQPARjcBCbgS/GzlJgXXqjlUbYGebGgj2P6YB8vk43yjqNmlIFF9dNP7vJZtg==" saltValue="WpLwRese5Zf1SGDnQcA34A==" spinCount="100000" sheet="1" objects="1" scenarios="1"/>
  <hyperlinks>
    <hyperlink ref="B1" location="'INF. GENERAL'!A1" display="VOLVER" xr:uid="{00000000-0004-0000-59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8417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18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Hoja189"/>
  <dimension ref="B1:F28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91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</sheetData>
  <sheetProtection algorithmName="SHA-512" hashValue="C52Y/z0Hr4QGwkNzkqUfLx9xEpv8pK75NKLfrtoipxBkRWXZKTjH2aStbCMUwcqyXNE2tXiL2bsFKSdRGAP3hQ==" saltValue="4e4mj2PSz7oxaUXUhRxG7w==" spinCount="100000" sheet="1" objects="1" scenarios="1"/>
  <hyperlinks>
    <hyperlink ref="B1" location="'INF. GENERAL'!A1" display="VOLVER" xr:uid="{00000000-0004-0000-5A00-000000000000}"/>
  </hyperlink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9441" r:id="rId4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2" r:id="rId5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Hoja190"/>
  <dimension ref="B1:F10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92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</sheetData>
  <sheetProtection algorithmName="SHA-512" hashValue="O1+46v9uavPMPLbvOhvzJoXOXO2wxbQziITr1+w/24xr8jHSVJFAGhYF48AqhuszPcCuKo+yRjXZh0TrFzIV/Q==" saltValue="Ky1H29gcoD55l8tYDmoIfg==" spinCount="100000" sheet="1" objects="1" scenarios="1"/>
  <hyperlinks>
    <hyperlink ref="B1" location="'INF. GENERAL'!A1" display="VOLVER" xr:uid="{00000000-0004-0000-5B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0465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6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Hoja191"/>
  <dimension ref="B1:F12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93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</sheetData>
  <sheetProtection algorithmName="SHA-512" hashValue="J233Wd6LNcPgUMIWiIWH56BJcsvsm84ex/Ny03vuAHmdxa96cqHORqVnBo+8Ujl10UIO6qqhIdEkDeo+tVKrTw==" saltValue="0MbRdDZnibajeSdqB81lLg==" spinCount="100000" sheet="1" objects="1" scenarios="1"/>
  <hyperlinks>
    <hyperlink ref="B1" location="'INF. GENERAL'!A1" display="VOLVER" xr:uid="{00000000-0004-0000-5C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489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0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Hoja192"/>
  <dimension ref="B1:F33"/>
  <sheetViews>
    <sheetView zoomScaleNormal="100" workbookViewId="0">
      <pane ySplit="2" topLeftCell="A3" activePane="bottomLeft" state="frozen"/>
      <selection pane="bottomLeft" activeCell="E21" sqref="E21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94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</sheetData>
  <sheetProtection algorithmName="SHA-512" hashValue="/XU5DMs5kY+UBpO35Uf565wcquVGiN0BN23oVBPlOynOSDB9Jcye7VIqJYItZBfPFLqdJAmsKaEgQ803ZDKVnw==" saltValue="Ln5jIeV3TW9bdYSPACHqNA==" spinCount="100000" sheet="1" objects="1" scenarios="1"/>
  <hyperlinks>
    <hyperlink ref="B1" location="'INF. GENERAL'!A1" display="VOLVER" xr:uid="{00000000-0004-0000-5D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513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4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Hoja193"/>
  <dimension ref="B1:F33"/>
  <sheetViews>
    <sheetView zoomScaleNormal="100" workbookViewId="0">
      <pane ySplit="2" topLeftCell="A3" activePane="bottomLeft" state="frozen"/>
      <selection pane="bottomLeft" activeCell="F15" sqref="F15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95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</sheetData>
  <sheetProtection algorithmName="SHA-512" hashValue="QHbpUyrVAoHca0ueV8L/yFRl5T6bftBZwYHvusFpe+HASmziC7yZJeOZRTLcPlKQ/32MRdI9FZLBg7G7BmC/ug==" saltValue="g6RqCzOcgewdMEHAqg76dg==" spinCount="100000" sheet="1" objects="1" scenarios="1"/>
  <hyperlinks>
    <hyperlink ref="B1" location="'INF. GENERAL'!A1" display="VOLVER" xr:uid="{00000000-0004-0000-5E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3537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38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Hoja194"/>
  <dimension ref="B1:F13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105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</sheetData>
  <sheetProtection algorithmName="SHA-512" hashValue="B57iy7lk2OCflnMtk127pRRD28Qb5PRh9+b7qAXxmeNjRQfBIg7ZRxYlmws2F0Ax9QOWNJSShcltqGpPdd/+vQ==" saltValue="L6XrSfDe3Oy0jcu/AOrysQ==" spinCount="100000" sheet="1" objects="1" scenarios="1"/>
  <hyperlinks>
    <hyperlink ref="B1" location="'INF. GENERAL'!A1" display="VOLVER" xr:uid="{00000000-0004-0000-5F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61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2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Hoja195"/>
  <dimension ref="B1:F16"/>
  <sheetViews>
    <sheetView zoomScaleNormal="100" workbookViewId="0">
      <pane ySplit="2" topLeftCell="A3" activePane="bottomLeft" state="frozen"/>
      <selection pane="bottomLeft" activeCell="F31" sqref="F31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96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</sheetData>
  <sheetProtection algorithmName="SHA-512" hashValue="g4UTdYtMsX6hjDlYSD//PKigzu5+3/a4TRePD1twQJUOSFN8KQPrDlhO4wtpXVvZ4TLLEIW8s0qiS2ZJWXRH4w==" saltValue="h0ztJAucKj2efN4lfyJ8BA==" spinCount="100000" sheet="1" objects="1" scenarios="1"/>
  <hyperlinks>
    <hyperlink ref="B1" location="'INF. GENERAL'!A1" display="VOLVER" xr:uid="{00000000-0004-0000-60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5585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6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Hoja196"/>
  <dimension ref="B1:F24"/>
  <sheetViews>
    <sheetView zoomScaleNormal="100" workbookViewId="0">
      <pane ySplit="2" topLeftCell="A3" activePane="bottomLeft" state="frozen"/>
      <selection pane="bottomLeft" activeCell="F24" sqref="F24:F25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97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</sheetData>
  <sheetProtection algorithmName="SHA-512" hashValue="uF2uphSfL5uJCwMgQ4HA7FEstSyz742olsHz+FwCJwNXva4dFgHNOfRbqQ7SXKYEDEufpht4cKhoOPkAwQb1Fw==" saltValue="aTziUNYDTwdGzG7TrgDI6Q==" spinCount="100000" sheet="1" objects="1" scenarios="1"/>
  <hyperlinks>
    <hyperlink ref="B1" location="'INF. GENERAL'!A1" display="VOLVER" xr:uid="{00000000-0004-0000-61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Hoja197"/>
  <dimension ref="B1:F17"/>
  <sheetViews>
    <sheetView zoomScaleNormal="100" workbookViewId="0">
      <pane ySplit="2" topLeftCell="A3" activePane="bottomLeft" state="frozen"/>
      <selection pane="bottomLeft" activeCell="E12" sqref="E12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98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  <row r="10" spans="2:6" x14ac:dyDescent="0.25">
      <c r="D10"/>
    </row>
    <row r="11" spans="2:6" x14ac:dyDescent="0.25">
      <c r="D11"/>
    </row>
    <row r="12" spans="2:6" x14ac:dyDescent="0.25">
      <c r="D12"/>
    </row>
    <row r="13" spans="2:6" x14ac:dyDescent="0.25">
      <c r="D13"/>
    </row>
    <row r="14" spans="2:6" x14ac:dyDescent="0.25">
      <c r="D14"/>
    </row>
    <row r="15" spans="2:6" x14ac:dyDescent="0.25">
      <c r="D15"/>
    </row>
    <row r="16" spans="2:6" x14ac:dyDescent="0.25">
      <c r="D16"/>
    </row>
    <row r="17" spans="4:4" x14ac:dyDescent="0.25">
      <c r="D17"/>
    </row>
  </sheetData>
  <sheetProtection algorithmName="SHA-512" hashValue="v3LSc9kjPx1/xFf4Q7lk3KZirc4x5t2iKrl9QM6X7k865/46gwilKK648gJVp27k7CUKg/R2NgIFch2dKM/YNg==" saltValue="vIAD2mBsEUWpOwWmVb5EXQ==" spinCount="100000" sheet="1" objects="1" scenarios="1"/>
  <hyperlinks>
    <hyperlink ref="B1" location="'INF. GENERAL'!A1" display="VOLVER" xr:uid="{00000000-0004-0000-62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7633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4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Hoja3"/>
  <dimension ref="B1:F9"/>
  <sheetViews>
    <sheetView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214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  <row r="8" spans="2:6" x14ac:dyDescent="0.25">
      <c r="D8"/>
    </row>
    <row r="9" spans="2:6" x14ac:dyDescent="0.25">
      <c r="D9"/>
    </row>
  </sheetData>
  <sheetProtection algorithmName="SHA-512" hashValue="34SjpO2Izbkcg3985LWchKxAuqX3JilrDArWFJRkvTkkZdA+Hw+buOSwt7gfAT7EcTF8Z28OlR54kE8QHAuPBg==" saltValue="CtTtk7lsPGcgpcTTKQAbUg==" spinCount="100000" sheet="1" objects="1" scenarios="1"/>
  <hyperlinks>
    <hyperlink ref="B1" location="'INF. GENERAL'!A1" display="VOLVER" xr:uid="{00000000-0004-0000-63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69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0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Hoja4"/>
  <dimension ref="B1:F7"/>
  <sheetViews>
    <sheetView workbookViewId="0">
      <pane ySplit="2" topLeftCell="A3" activePane="bottomLeft" state="frozen"/>
      <selection pane="bottomLeft" activeCell="B1" sqref="B1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58.7109375" customWidth="1"/>
    <col min="4" max="4" width="15.7109375" style="4" customWidth="1"/>
    <col min="5" max="6" width="15.7109375" customWidth="1"/>
  </cols>
  <sheetData>
    <row r="1" spans="2:6" ht="30" customHeight="1" x14ac:dyDescent="0.25">
      <c r="B1" s="5" t="s">
        <v>104</v>
      </c>
      <c r="C1" s="27" t="s">
        <v>215</v>
      </c>
    </row>
    <row r="2" spans="2:6" x14ac:dyDescent="0.25">
      <c r="B2" s="6" t="s">
        <v>99</v>
      </c>
      <c r="C2" s="6" t="s">
        <v>100</v>
      </c>
      <c r="D2" s="6" t="s">
        <v>101</v>
      </c>
      <c r="E2" s="6" t="s">
        <v>102</v>
      </c>
      <c r="F2" s="6" t="s">
        <v>103</v>
      </c>
    </row>
    <row r="3" spans="2:6" x14ac:dyDescent="0.25">
      <c r="B3" s="32"/>
      <c r="C3" s="32"/>
      <c r="D3" s="35"/>
      <c r="E3" s="36"/>
      <c r="F3" s="36">
        <f>D3-E3</f>
        <v>0</v>
      </c>
    </row>
    <row r="4" spans="2:6" x14ac:dyDescent="0.25">
      <c r="D4"/>
      <c r="E4" s="33" t="s">
        <v>2</v>
      </c>
      <c r="F4" s="34">
        <f>F3</f>
        <v>0</v>
      </c>
    </row>
    <row r="5" spans="2:6" x14ac:dyDescent="0.25">
      <c r="D5"/>
    </row>
    <row r="6" spans="2:6" x14ac:dyDescent="0.25">
      <c r="D6"/>
    </row>
    <row r="7" spans="2:6" x14ac:dyDescent="0.25">
      <c r="D7"/>
    </row>
  </sheetData>
  <sheetProtection algorithmName="SHA-512" hashValue="1L2h3Bo5yDZidpcy4qgSXA94bPQUFEAfrOhkaqG1KyISrO49C4hVwXUVlpaj+sR/MTN2ruXqz0c1uAqla9bSVQ==" saltValue="GKRi5OOHt8K8k5arA1c6Pg==" spinCount="100000" sheet="1" objects="1" scenarios="1"/>
  <hyperlinks>
    <hyperlink ref="B1" location="'INF. GENERAL'!A1" display="VOLVER" xr:uid="{00000000-0004-0000-64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3" r:id="rId3" name="Button 1">
              <controlPr defaultSize="0" print="0" autoFill="0" autoPict="0" macro="[0]!nuevoRegistro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4</xdr:col>
                    <xdr:colOff>1038225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4" r:id="rId4" name="Button 2">
              <controlPr defaultSize="0" print="0" autoFill="0" autoPict="0" macro="[0]!desprotegerHoja">
                <anchor moveWithCells="1" sizeWithCells="1"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101</vt:i4>
      </vt:variant>
    </vt:vector>
  </HeadingPairs>
  <TitlesOfParts>
    <vt:vector size="101" baseType="lpstr">
      <vt:lpstr>INF. GENERAL</vt:lpstr>
      <vt:lpstr>9-012 IES S-N INFORMATICA</vt:lpstr>
      <vt:lpstr>4-239 S-N EL SOSNEADO</vt:lpstr>
      <vt:lpstr>6-042 S-N</vt:lpstr>
      <vt:lpstr>4-246 S- N </vt:lpstr>
      <vt:lpstr>4-230 S-N</vt:lpstr>
      <vt:lpstr>6-046 S-N</vt:lpstr>
      <vt:lpstr>3-076 CORA T. DE ACOSTA</vt:lpstr>
      <vt:lpstr>4-170 AGUAS DEL DIAMANTE</vt:lpstr>
      <vt:lpstr>4-221 VALENTIN BIANCHI</vt:lpstr>
      <vt:lpstr>1-447 PEDRO BOMBAL </vt:lpstr>
      <vt:lpstr>1-344 CARLOS BUNGE</vt:lpstr>
      <vt:lpstr>1-351 SAN JUAN BOSCO </vt:lpstr>
      <vt:lpstr>1-262 ALFREDO BUFANO</vt:lpstr>
      <vt:lpstr>1-297 DANIEL BUSTELO</vt:lpstr>
      <vt:lpstr>1-124 SANTOS BIRITOS </vt:lpstr>
      <vt:lpstr>1-094 JACINTO BOTANA</vt:lpstr>
      <vt:lpstr>4-070 ABELARDO A. BALLOFFET</vt:lpstr>
      <vt:lpstr>9-036 M.T.S.M. DE BALCARCE </vt:lpstr>
      <vt:lpstr>3-428 PROF. A. BLANCO </vt:lpstr>
      <vt:lpstr>7-002 CHIMENO CODÓ </vt:lpstr>
      <vt:lpstr>5-004 BLANCA NOTTI DE CUARTARA</vt:lpstr>
      <vt:lpstr>4-129 ANA G. DE CALZADA</vt:lpstr>
      <vt:lpstr>1-081 COMODORO LUIS PY </vt:lpstr>
      <vt:lpstr>3-468 DANIEL PRIETO CASTILLO </vt:lpstr>
      <vt:lpstr>1-302 RAFAEL M. CASTILLO </vt:lpstr>
      <vt:lpstr>6-039 GUILLERMO CATALAN</vt:lpstr>
      <vt:lpstr>3-066 PROF. NORMA DIAZ</vt:lpstr>
      <vt:lpstr>0-137 DIVINO NIÑO JESUS </vt:lpstr>
      <vt:lpstr>4-043 ANTONIO DI BENEDETTO</vt:lpstr>
      <vt:lpstr>4-117 EJERCITO DE LOS ANDES</vt:lpstr>
      <vt:lpstr>3-029  FERROVIARIOS ARGENTINOS</vt:lpstr>
      <vt:lpstr>6-024 ANGELINA OLAGUER DE FELIÚ</vt:lpstr>
      <vt:lpstr>4-057 MARGARITA C. DE GEARY</vt:lpstr>
      <vt:lpstr>1-271 PEDRO GOYENA</vt:lpstr>
      <vt:lpstr>4-021 MARTIN GUEMES</vt:lpstr>
      <vt:lpstr>4-198 FRANCISCO GARCIA</vt:lpstr>
      <vt:lpstr>4-014 MAYOR GARCIA</vt:lpstr>
      <vt:lpstr>1-285 JUAN DE GARAY</vt:lpstr>
      <vt:lpstr>1-084 DEOCLESIO GARCIA</vt:lpstr>
      <vt:lpstr>4-141 ANTONIO GARBIN</vt:lpstr>
      <vt:lpstr>1-091 DOMINGO HERMIDA</vt:lpstr>
      <vt:lpstr>9-011 IES DEL ATUEL</vt:lpstr>
      <vt:lpstr>3-015 TENIENTE IBAÑEZ</vt:lpstr>
      <vt:lpstr>4-006 PASCUAL IACCARINI</vt:lpstr>
      <vt:lpstr>64 P. ESPECIAL IRIS</vt:lpstr>
      <vt:lpstr>3-227 PROF. MARIA E. IZUEL</vt:lpstr>
      <vt:lpstr>4-017 BERNARDINO IZUEL</vt:lpstr>
      <vt:lpstr>4-095 ISLAS MALVINAS</vt:lpstr>
      <vt:lpstr>4-116 JUAN PABLO II</vt:lpstr>
      <vt:lpstr>4-169  DR. BERNARDINO LEIVA</vt:lpstr>
      <vt:lpstr>3-097 ARNALDO LINDAVER</vt:lpstr>
      <vt:lpstr>1-442 COLONIZADOR V. LOPEZ</vt:lpstr>
      <vt:lpstr>4-229 DR. HUMBERTO LAGIGLIA</vt:lpstr>
      <vt:lpstr>1-258 T. LUZURIAGA</vt:lpstr>
      <vt:lpstr>MUNICIPALIDAD DE SAN RAFAEL</vt:lpstr>
      <vt:lpstr>1-076 PEDRO MOLINA</vt:lpstr>
      <vt:lpstr>4-087 MANUEL I. MOLINA</vt:lpstr>
      <vt:lpstr>4-124 REYNALDO MERIN</vt:lpstr>
      <vt:lpstr>1-125 MERCEDES MAURE</vt:lpstr>
      <vt:lpstr>218. P.S. LA BUENA MADRE</vt:lpstr>
      <vt:lpstr>3-102 COMBATIENTES DE MALVINAS</vt:lpstr>
      <vt:lpstr>9-036 NORMAL PRIMARIO</vt:lpstr>
      <vt:lpstr>9-003 NORMAL SUPERIOR</vt:lpstr>
      <vt:lpstr>4-101 EL NEVADO - GOUDGE</vt:lpstr>
      <vt:lpstr>1-357 HORTENCIO OJEDA </vt:lpstr>
      <vt:lpstr>3-424 PAPA FRANCISCO </vt:lpstr>
      <vt:lpstr>4-235 EDUARDO PLATERO</vt:lpstr>
      <vt:lpstr>1-406 ELIDA DE PESSANO</vt:lpstr>
      <vt:lpstr>1-415 BARRANCAS DEL PARANA</vt:lpstr>
      <vt:lpstr>1-598 FEDERICO PALACIOS</vt:lpstr>
      <vt:lpstr>1-083 FAUSTINO PICALLO</vt:lpstr>
      <vt:lpstr>4-127 POLIVALENTE DE ARTE</vt:lpstr>
      <vt:lpstr>2-010 NICOLAS PAPERNO</vt:lpstr>
      <vt:lpstr>9-014 PROFESORADO DE ARTE</vt:lpstr>
      <vt:lpstr>3-502 PROF. ALICIA PETRINI</vt:lpstr>
      <vt:lpstr>3-444 JUANA ROBLEDO</vt:lpstr>
      <vt:lpstr>4-130 JORGE DE LA RETA</vt:lpstr>
      <vt:lpstr>1-138 SATURNINO DE LA RETA</vt:lpstr>
      <vt:lpstr>4-098 REPUBLICA DEL PERU</vt:lpstr>
      <vt:lpstr>3-436 CACICA MARIA J. ROCO</vt:lpstr>
      <vt:lpstr>5-011 SAN FRANCISCO SOLANO</vt:lpstr>
      <vt:lpstr>1-207 MANUEL A. SAEZ</vt:lpstr>
      <vt:lpstr>3-490 SANTA MARIA DEL SILENCIO</vt:lpstr>
      <vt:lpstr>4-004 MERCEDES A. DE SEGURA</vt:lpstr>
      <vt:lpstr>1-226 SANTA CRUZ</vt:lpstr>
      <vt:lpstr>1-444 TEODORO J. SCHESTAKOW</vt:lpstr>
      <vt:lpstr>1-186 JUAN B. TERAN</vt:lpstr>
      <vt:lpstr>1-187 EMILIO TURQUI</vt:lpstr>
      <vt:lpstr>1-291 JOSE VILLANUEVA</vt:lpstr>
      <vt:lpstr>1-092 JUAN ISIDRO ZAPATA</vt:lpstr>
      <vt:lpstr>2-039 CARRONE</vt:lpstr>
      <vt:lpstr>3-035 JOSE ALCORTA</vt:lpstr>
      <vt:lpstr>3-226 JUDITH DE SAMA</vt:lpstr>
      <vt:lpstr>3-030 7º CABALLERIA</vt:lpstr>
      <vt:lpstr>T-003 NORMAL SUPERIOR Terciario</vt:lpstr>
      <vt:lpstr>3-109 R. FERNANDEZ</vt:lpstr>
      <vt:lpstr>1-270 RODOLFO ISELIN</vt:lpstr>
      <vt:lpstr>0-195 EL MOLINO</vt:lpstr>
      <vt:lpstr>2-024 AMADEO NATALE</vt:lpstr>
      <vt:lpstr>7-007 RAUL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Matías Franck</dc:creator>
  <cp:lastModifiedBy>Matías Franck</cp:lastModifiedBy>
  <cp:lastPrinted>2017-04-10T23:45:54Z</cp:lastPrinted>
  <dcterms:created xsi:type="dcterms:W3CDTF">2017-03-30T19:46:44Z</dcterms:created>
  <dcterms:modified xsi:type="dcterms:W3CDTF">2018-02-16T14:24:20Z</dcterms:modified>
</cp:coreProperties>
</file>