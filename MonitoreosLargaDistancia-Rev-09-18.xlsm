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chartsheets/sheet1.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showInkAnnotation="0" codeName="ThisWorkbook"/>
  <mc:AlternateContent xmlns:mc="http://schemas.openxmlformats.org/markup-compatibility/2006">
    <mc:Choice Requires="x15">
      <x15ac:absPath xmlns:x15ac="http://schemas.microsoft.com/office/spreadsheetml/2010/11/ac" url="M:\Originales\Monitoreos\"/>
    </mc:Choice>
  </mc:AlternateContent>
  <xr:revisionPtr revIDLastSave="0" documentId="8_{5708143D-7AF9-4A31-A371-550F06B12341}" xr6:coauthVersionLast="34" xr6:coauthVersionMax="34" xr10:uidLastSave="{00000000-0000-0000-0000-000000000000}"/>
  <bookViews>
    <workbookView xWindow="0" yWindow="180" windowWidth="15600" windowHeight="9120" tabRatio="756" firstSheet="1" activeTab="1" xr2:uid="{00000000-000D-0000-FFFF-FFFF00000000}"/>
  </bookViews>
  <sheets>
    <sheet name="Gráfico1" sheetId="6" state="hidden" r:id="rId1"/>
    <sheet name="Conductor-Guarda-Azafata" sheetId="2" r:id="rId2"/>
    <sheet name="Unidad-Servicio" sheetId="5" r:id="rId3"/>
    <sheet name="Boletería-Vendedor" sheetId="4" r:id="rId4"/>
    <sheet name="Cant. de monitoreos" sheetId="7" r:id="rId5"/>
    <sheet name="Personal" sheetId="3" r:id="rId6"/>
  </sheets>
  <definedNames>
    <definedName name="_xlnm._FilterDatabase" localSheetId="3" hidden="1">'Boletería-Vendedor'!$B$8:$Q$276</definedName>
    <definedName name="_xlnm._FilterDatabase" localSheetId="1" hidden="1">'Conductor-Guarda-Azafata'!$B$8:$AN$1500</definedName>
    <definedName name="_xlnm._FilterDatabase" localSheetId="5" hidden="1">Personal!$A$1:$F$146</definedName>
    <definedName name="_xlnm._FilterDatabase" localSheetId="2" hidden="1">'Unidad-Servicio'!$B$8:$CA$107</definedName>
    <definedName name="_xlnm.Extract" localSheetId="3">'Boletería-Vendedor'!$AJ$8:$BE$8</definedName>
    <definedName name="_xlnm.Extract" localSheetId="1">'Conductor-Guarda-Azafata'!$BY$8:$CY$8</definedName>
    <definedName name="_xlnm.Extract" localSheetId="2">'Unidad-Servicio'!$AJ$8:$BE$8</definedName>
    <definedName name="_xlnm.Criteria" localSheetId="3">'Boletería-Vendedor'!$B$3:$F$4</definedName>
    <definedName name="_xlnm.Criteria" localSheetId="1">'Conductor-Guarda-Azafata'!$J$3:$O$4</definedName>
    <definedName name="_xlnm.Criteria" localSheetId="2">'Unidad-Servicio'!$B$3:$F$4</definedName>
  </definedNames>
  <calcPr calcId="179021"/>
  <pivotCaches>
    <pivotCache cacheId="0" r:id="rId7"/>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38" i="5" l="1"/>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B38" i="5"/>
  <c r="B39" i="5"/>
  <c r="B40" i="5"/>
  <c r="B41" i="5"/>
  <c r="B42" i="5"/>
  <c r="B43" i="5"/>
  <c r="B44" i="5"/>
  <c r="B45" i="5"/>
  <c r="B46" i="5"/>
  <c r="B47" i="5"/>
  <c r="B48" i="5"/>
  <c r="B49" i="5"/>
  <c r="B50" i="5"/>
  <c r="B51" i="5"/>
  <c r="B52" i="5"/>
  <c r="B53" i="5"/>
  <c r="B54" i="5"/>
  <c r="B55" i="5"/>
  <c r="B56" i="5"/>
  <c r="B57" i="5"/>
  <c r="B58" i="5"/>
  <c r="L58" i="5" s="1"/>
  <c r="B59" i="5"/>
  <c r="B60" i="5"/>
  <c r="L60" i="5" s="1"/>
  <c r="B61" i="5"/>
  <c r="B62" i="5"/>
  <c r="L62" i="5" s="1"/>
  <c r="B63" i="5"/>
  <c r="B64" i="5"/>
  <c r="L64" i="5" s="1"/>
  <c r="B65" i="5"/>
  <c r="B66" i="5"/>
  <c r="L66" i="5" s="1"/>
  <c r="B67" i="5"/>
  <c r="B68" i="5"/>
  <c r="L68" i="5" s="1"/>
  <c r="B69" i="5"/>
  <c r="B70" i="5"/>
  <c r="L70" i="5" s="1"/>
  <c r="B71" i="5"/>
  <c r="B72" i="5"/>
  <c r="L72" i="5" s="1"/>
  <c r="B73" i="5"/>
  <c r="B74" i="5"/>
  <c r="B75" i="5"/>
  <c r="B76" i="5"/>
  <c r="L76" i="5" s="1"/>
  <c r="B77" i="5"/>
  <c r="B78" i="5"/>
  <c r="L78" i="5" s="1"/>
  <c r="B79" i="5"/>
  <c r="B80" i="5"/>
  <c r="L80" i="5" s="1"/>
  <c r="B81" i="5"/>
  <c r="B82" i="5"/>
  <c r="L82" i="5" s="1"/>
  <c r="B83" i="5"/>
  <c r="B84" i="5"/>
  <c r="B85" i="5"/>
  <c r="B86" i="5"/>
  <c r="L86" i="5" s="1"/>
  <c r="B87" i="5"/>
  <c r="B88" i="5"/>
  <c r="L88" i="5" s="1"/>
  <c r="B89" i="5"/>
  <c r="B90" i="5"/>
  <c r="L90" i="5" s="1"/>
  <c r="B91" i="5"/>
  <c r="J34" i="5"/>
  <c r="J36" i="5"/>
  <c r="J37" i="5"/>
  <c r="J91" i="5" l="1"/>
  <c r="J89" i="5"/>
  <c r="J87" i="5"/>
  <c r="J85" i="5"/>
  <c r="J83" i="5"/>
  <c r="J81" i="5"/>
  <c r="J79" i="5"/>
  <c r="J77" i="5"/>
  <c r="J75" i="5"/>
  <c r="J73" i="5"/>
  <c r="J71" i="5"/>
  <c r="J67" i="5"/>
  <c r="J65" i="5"/>
  <c r="J63" i="5"/>
  <c r="J61" i="5"/>
  <c r="J57" i="5"/>
  <c r="J55" i="5"/>
  <c r="J53" i="5"/>
  <c r="J51" i="5"/>
  <c r="J49" i="5"/>
  <c r="J47" i="5"/>
  <c r="J45" i="5"/>
  <c r="J43" i="5"/>
  <c r="J41" i="5"/>
  <c r="J39" i="5"/>
  <c r="J76" i="5"/>
  <c r="J68" i="5"/>
  <c r="J66" i="5"/>
  <c r="J64" i="5"/>
  <c r="J60" i="5"/>
  <c r="J56" i="5"/>
  <c r="J54" i="5"/>
  <c r="J52" i="5"/>
  <c r="J50" i="5"/>
  <c r="J48" i="5"/>
  <c r="J46" i="5"/>
  <c r="J44" i="5"/>
  <c r="J40" i="5"/>
  <c r="J38" i="5"/>
  <c r="J88" i="5"/>
  <c r="J82" i="5"/>
  <c r="J80" i="5"/>
  <c r="J72" i="5"/>
  <c r="J70" i="5"/>
  <c r="J69" i="5"/>
  <c r="J90" i="5"/>
  <c r="J86" i="5"/>
  <c r="J84" i="5"/>
  <c r="J78" i="5"/>
  <c r="J74" i="5"/>
  <c r="J59" i="5"/>
  <c r="J62" i="5"/>
  <c r="J58" i="5"/>
  <c r="L91" i="5"/>
  <c r="L87" i="5"/>
  <c r="L85" i="5"/>
  <c r="L83" i="5"/>
  <c r="L81" i="5"/>
  <c r="L79" i="5"/>
  <c r="L77" i="5"/>
  <c r="L75" i="5"/>
  <c r="L73" i="5"/>
  <c r="L69" i="5"/>
  <c r="L67" i="5"/>
  <c r="L65" i="5"/>
  <c r="L59" i="5"/>
  <c r="L57" i="5"/>
  <c r="J42" i="5"/>
  <c r="I27" i="5"/>
  <c r="I28" i="5"/>
  <c r="I30" i="5"/>
  <c r="I31" i="5"/>
  <c r="I32" i="5"/>
  <c r="I33" i="5"/>
  <c r="I34" i="5"/>
  <c r="I35" i="5"/>
  <c r="J32" i="5" l="1"/>
  <c r="I25" i="5"/>
  <c r="I26" i="5"/>
  <c r="J31" i="5" l="1"/>
  <c r="G31" i="5"/>
  <c r="G32" i="5"/>
  <c r="H31" i="5"/>
  <c r="H32" i="5"/>
  <c r="L32" i="5" l="1"/>
  <c r="L34" i="5"/>
  <c r="L36" i="5"/>
  <c r="L38" i="5"/>
  <c r="L39" i="5"/>
  <c r="L40" i="5"/>
  <c r="L41" i="5"/>
  <c r="L42" i="5"/>
  <c r="L43" i="5"/>
  <c r="L44" i="5"/>
  <c r="L45" i="5"/>
  <c r="L46" i="5"/>
  <c r="L47" i="5"/>
  <c r="L48" i="5"/>
  <c r="L49" i="5"/>
  <c r="L50" i="5"/>
  <c r="L51" i="5"/>
  <c r="L52" i="5"/>
  <c r="L53" i="5"/>
  <c r="L54" i="5"/>
  <c r="L55" i="5"/>
  <c r="L31" i="5" l="1"/>
  <c r="E4" i="2" l="1"/>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M4" i="2"/>
  <c r="C4" i="2"/>
  <c r="C4" i="5"/>
  <c r="B4" i="5"/>
  <c r="B92" i="5"/>
  <c r="B93" i="5"/>
  <c r="B94" i="5"/>
  <c r="B95" i="5"/>
  <c r="B96" i="5"/>
  <c r="B97" i="5"/>
  <c r="B98" i="5"/>
  <c r="B99" i="5"/>
  <c r="B100" i="5"/>
  <c r="B101" i="5"/>
  <c r="B102" i="5"/>
  <c r="B103" i="5"/>
  <c r="B104" i="5"/>
  <c r="B105" i="5"/>
  <c r="B106" i="5"/>
  <c r="B107" i="5"/>
  <c r="B17" i="5"/>
  <c r="I17" i="5" s="1"/>
  <c r="B18" i="5"/>
  <c r="I18" i="5" s="1"/>
  <c r="B19" i="5"/>
  <c r="I19" i="5" s="1"/>
  <c r="B20" i="5"/>
  <c r="I20" i="5" s="1"/>
  <c r="B21" i="5"/>
  <c r="I21" i="5" s="1"/>
  <c r="B22" i="5"/>
  <c r="I22" i="5" s="1"/>
  <c r="B23" i="5"/>
  <c r="I23" i="5" s="1"/>
  <c r="B24" i="5"/>
  <c r="I24" i="5" s="1"/>
  <c r="B29" i="5"/>
  <c r="I29" i="5" s="1"/>
  <c r="B9" i="4"/>
  <c r="D9" i="4" s="1"/>
  <c r="B10" i="4"/>
  <c r="B11" i="4"/>
  <c r="D11" i="4" s="1"/>
  <c r="B12" i="4"/>
  <c r="B13" i="4"/>
  <c r="D13" i="4" s="1"/>
  <c r="B14" i="4"/>
  <c r="B15" i="4"/>
  <c r="D15" i="4" s="1"/>
  <c r="B16" i="4"/>
  <c r="B17" i="4"/>
  <c r="D17" i="4" s="1"/>
  <c r="B18" i="4"/>
  <c r="B19" i="4"/>
  <c r="D19" i="4" s="1"/>
  <c r="B20" i="4"/>
  <c r="B21" i="4"/>
  <c r="D21" i="4" s="1"/>
  <c r="B22" i="4"/>
  <c r="B23" i="4"/>
  <c r="D23" i="4" s="1"/>
  <c r="B24" i="4"/>
  <c r="B25" i="4"/>
  <c r="D25" i="4" s="1"/>
  <c r="B26" i="4"/>
  <c r="B27" i="4"/>
  <c r="D27" i="4" s="1"/>
  <c r="B28" i="4"/>
  <c r="B29" i="4"/>
  <c r="D29" i="4" s="1"/>
  <c r="B30" i="4"/>
  <c r="B31" i="4"/>
  <c r="D31" i="4" s="1"/>
  <c r="B32" i="4"/>
  <c r="B33" i="4"/>
  <c r="D33" i="4" s="1"/>
  <c r="B34" i="4"/>
  <c r="B35" i="4"/>
  <c r="D35" i="4" s="1"/>
  <c r="B36" i="4"/>
  <c r="B37" i="4"/>
  <c r="D37" i="4" s="1"/>
  <c r="B38" i="4"/>
  <c r="B39" i="4"/>
  <c r="D39" i="4" s="1"/>
  <c r="B40" i="4"/>
  <c r="B41" i="4"/>
  <c r="D41" i="4" s="1"/>
  <c r="B42" i="4"/>
  <c r="B43" i="4"/>
  <c r="D43" i="4" s="1"/>
  <c r="B44" i="4"/>
  <c r="B45" i="4"/>
  <c r="D45" i="4" s="1"/>
  <c r="B46" i="4"/>
  <c r="B47" i="4"/>
  <c r="D47" i="4" s="1"/>
  <c r="B48" i="4"/>
  <c r="B49" i="4"/>
  <c r="D49" i="4" s="1"/>
  <c r="B50" i="4"/>
  <c r="B51" i="4"/>
  <c r="D51" i="4" s="1"/>
  <c r="B52" i="4"/>
  <c r="B53" i="4"/>
  <c r="D53" i="4" s="1"/>
  <c r="B54" i="4"/>
  <c r="B55" i="4"/>
  <c r="D55" i="4" s="1"/>
  <c r="B56" i="4"/>
  <c r="B57" i="4"/>
  <c r="D57" i="4" s="1"/>
  <c r="B58" i="4"/>
  <c r="B59" i="4"/>
  <c r="D59" i="4" s="1"/>
  <c r="B60" i="4"/>
  <c r="B61" i="4"/>
  <c r="D61" i="4" s="1"/>
  <c r="B62" i="4"/>
  <c r="B63" i="4"/>
  <c r="D63" i="4" s="1"/>
  <c r="B64" i="4"/>
  <c r="B65" i="4"/>
  <c r="D65" i="4" s="1"/>
  <c r="B66" i="4"/>
  <c r="B67" i="4"/>
  <c r="D67" i="4" s="1"/>
  <c r="B68" i="4"/>
  <c r="B69" i="4"/>
  <c r="D69" i="4" s="1"/>
  <c r="B70" i="4"/>
  <c r="B71" i="4"/>
  <c r="D71" i="4" s="1"/>
  <c r="B72" i="4"/>
  <c r="B73" i="4"/>
  <c r="D73" i="4" s="1"/>
  <c r="B74" i="4"/>
  <c r="B75" i="4"/>
  <c r="D75" i="4" s="1"/>
  <c r="B76" i="4"/>
  <c r="B77" i="4"/>
  <c r="D77" i="4" s="1"/>
  <c r="B78" i="4"/>
  <c r="B79" i="4"/>
  <c r="D79" i="4" s="1"/>
  <c r="B80" i="4"/>
  <c r="B81" i="4"/>
  <c r="D81" i="4" s="1"/>
  <c r="B82" i="4"/>
  <c r="B83" i="4"/>
  <c r="D83" i="4" s="1"/>
  <c r="B84" i="4"/>
  <c r="B85" i="4"/>
  <c r="D85" i="4" s="1"/>
  <c r="B86" i="4"/>
  <c r="B87" i="4"/>
  <c r="D87" i="4" s="1"/>
  <c r="B88" i="4"/>
  <c r="B89" i="4"/>
  <c r="D89" i="4" s="1"/>
  <c r="B90" i="4"/>
  <c r="B91" i="4"/>
  <c r="D91" i="4" s="1"/>
  <c r="B92" i="4"/>
  <c r="B93" i="4"/>
  <c r="D93" i="4" s="1"/>
  <c r="B94" i="4"/>
  <c r="B95" i="4"/>
  <c r="D95" i="4" s="1"/>
  <c r="B96" i="4"/>
  <c r="B97" i="4"/>
  <c r="D97" i="4" s="1"/>
  <c r="B98" i="4"/>
  <c r="B99" i="4"/>
  <c r="D99" i="4" s="1"/>
  <c r="B100" i="4"/>
  <c r="B101" i="4"/>
  <c r="D101" i="4" s="1"/>
  <c r="B102" i="4"/>
  <c r="B103" i="4"/>
  <c r="D103" i="4" s="1"/>
  <c r="B104" i="4"/>
  <c r="B105" i="4"/>
  <c r="D105" i="4" s="1"/>
  <c r="B106" i="4"/>
  <c r="B107" i="4"/>
  <c r="D107" i="4" s="1"/>
  <c r="B108" i="4"/>
  <c r="B109" i="4"/>
  <c r="D109" i="4" s="1"/>
  <c r="B110" i="4"/>
  <c r="B111" i="4"/>
  <c r="D111" i="4" s="1"/>
  <c r="B112" i="4"/>
  <c r="B113" i="4"/>
  <c r="D113" i="4" s="1"/>
  <c r="B114" i="4"/>
  <c r="B115" i="4"/>
  <c r="D115" i="4" s="1"/>
  <c r="B116" i="4"/>
  <c r="B117" i="4"/>
  <c r="D117" i="4" s="1"/>
  <c r="B118" i="4"/>
  <c r="B119" i="4"/>
  <c r="D119" i="4" s="1"/>
  <c r="B120" i="4"/>
  <c r="B121" i="4"/>
  <c r="D121" i="4" s="1"/>
  <c r="B122" i="4"/>
  <c r="B123" i="4"/>
  <c r="D123" i="4" s="1"/>
  <c r="B124" i="4"/>
  <c r="B125" i="4"/>
  <c r="D125" i="4" s="1"/>
  <c r="B126" i="4"/>
  <c r="B127" i="4"/>
  <c r="D127" i="4" s="1"/>
  <c r="B128" i="4"/>
  <c r="B129" i="4"/>
  <c r="D129" i="4" s="1"/>
  <c r="B130" i="4"/>
  <c r="B131" i="4"/>
  <c r="D131" i="4" s="1"/>
  <c r="B132" i="4"/>
  <c r="B133" i="4"/>
  <c r="D133" i="4" s="1"/>
  <c r="B134" i="4"/>
  <c r="B135" i="4"/>
  <c r="D135" i="4" s="1"/>
  <c r="B136" i="4"/>
  <c r="B137" i="4"/>
  <c r="D137" i="4" s="1"/>
  <c r="B138" i="4"/>
  <c r="B139" i="4"/>
  <c r="D139" i="4" s="1"/>
  <c r="B140" i="4"/>
  <c r="B141" i="4"/>
  <c r="D141" i="4" s="1"/>
  <c r="B142" i="4"/>
  <c r="B143" i="4"/>
  <c r="D143" i="4" s="1"/>
  <c r="B144" i="4"/>
  <c r="B145" i="4"/>
  <c r="D145" i="4" s="1"/>
  <c r="B146" i="4"/>
  <c r="B147" i="4"/>
  <c r="D147" i="4" s="1"/>
  <c r="B148" i="4"/>
  <c r="B149" i="4"/>
  <c r="D149" i="4" s="1"/>
  <c r="B150" i="4"/>
  <c r="B151" i="4"/>
  <c r="D151" i="4" s="1"/>
  <c r="B152" i="4"/>
  <c r="B153" i="4"/>
  <c r="D153" i="4" s="1"/>
  <c r="B154" i="4"/>
  <c r="C154" i="4" s="1"/>
  <c r="B155" i="4"/>
  <c r="D155" i="4" s="1"/>
  <c r="B156" i="4"/>
  <c r="B157" i="4"/>
  <c r="D157" i="4" s="1"/>
  <c r="B158" i="4"/>
  <c r="C158" i="4" s="1"/>
  <c r="B159" i="4"/>
  <c r="D159" i="4" s="1"/>
  <c r="B160" i="4"/>
  <c r="B161" i="4"/>
  <c r="D161" i="4" s="1"/>
  <c r="B162" i="4"/>
  <c r="C162" i="4" s="1"/>
  <c r="B163" i="4"/>
  <c r="D163" i="4" s="1"/>
  <c r="B164" i="4"/>
  <c r="B165" i="4"/>
  <c r="D165" i="4" s="1"/>
  <c r="B166" i="4"/>
  <c r="C166" i="4" s="1"/>
  <c r="B167" i="4"/>
  <c r="D167" i="4" s="1"/>
  <c r="B168" i="4"/>
  <c r="B169" i="4"/>
  <c r="D169" i="4" s="1"/>
  <c r="B170" i="4"/>
  <c r="D170" i="4" s="1"/>
  <c r="B171" i="4"/>
  <c r="D171" i="4" s="1"/>
  <c r="B172" i="4"/>
  <c r="D172" i="4" s="1"/>
  <c r="B173" i="4"/>
  <c r="D173" i="4" s="1"/>
  <c r="B174" i="4"/>
  <c r="D174" i="4" s="1"/>
  <c r="B175" i="4"/>
  <c r="D175" i="4" s="1"/>
  <c r="B176" i="4"/>
  <c r="D176" i="4" s="1"/>
  <c r="B177" i="4"/>
  <c r="D177" i="4" s="1"/>
  <c r="B178" i="4"/>
  <c r="D178" i="4" s="1"/>
  <c r="B179" i="4"/>
  <c r="D179" i="4" s="1"/>
  <c r="B180" i="4"/>
  <c r="D180" i="4" s="1"/>
  <c r="B181" i="4"/>
  <c r="D181" i="4" s="1"/>
  <c r="B182" i="4"/>
  <c r="D182" i="4" s="1"/>
  <c r="B183" i="4"/>
  <c r="D183" i="4" s="1"/>
  <c r="B184" i="4"/>
  <c r="D184" i="4" s="1"/>
  <c r="B185" i="4"/>
  <c r="D185" i="4" s="1"/>
  <c r="B186" i="4"/>
  <c r="D186" i="4" s="1"/>
  <c r="B187" i="4"/>
  <c r="D187" i="4" s="1"/>
  <c r="B188" i="4"/>
  <c r="D188" i="4" s="1"/>
  <c r="B189" i="4"/>
  <c r="D189" i="4" s="1"/>
  <c r="B190" i="4"/>
  <c r="D190" i="4" s="1"/>
  <c r="B191" i="4"/>
  <c r="D191" i="4" s="1"/>
  <c r="B192" i="4"/>
  <c r="D192" i="4" s="1"/>
  <c r="B193" i="4"/>
  <c r="D193" i="4" s="1"/>
  <c r="B194" i="4"/>
  <c r="D194" i="4" s="1"/>
  <c r="B195" i="4"/>
  <c r="D195" i="4" s="1"/>
  <c r="B196" i="4"/>
  <c r="D196" i="4" s="1"/>
  <c r="B197" i="4"/>
  <c r="D197" i="4" s="1"/>
  <c r="B198" i="4"/>
  <c r="D198" i="4" s="1"/>
  <c r="B199" i="4"/>
  <c r="D199" i="4" s="1"/>
  <c r="B200" i="4"/>
  <c r="D200" i="4" s="1"/>
  <c r="B201" i="4"/>
  <c r="D201" i="4" s="1"/>
  <c r="B202" i="4"/>
  <c r="D202" i="4" s="1"/>
  <c r="B203" i="4"/>
  <c r="D203" i="4" s="1"/>
  <c r="B204" i="4"/>
  <c r="D204" i="4" s="1"/>
  <c r="B205" i="4"/>
  <c r="D205" i="4" s="1"/>
  <c r="B206" i="4"/>
  <c r="D206" i="4" s="1"/>
  <c r="B207" i="4"/>
  <c r="D207" i="4" s="1"/>
  <c r="B208" i="4"/>
  <c r="D208" i="4" s="1"/>
  <c r="B209" i="4"/>
  <c r="D209" i="4" s="1"/>
  <c r="B210" i="4"/>
  <c r="D210" i="4" s="1"/>
  <c r="B211" i="4"/>
  <c r="D211" i="4" s="1"/>
  <c r="B212" i="4"/>
  <c r="D212" i="4" s="1"/>
  <c r="B213" i="4"/>
  <c r="D213" i="4" s="1"/>
  <c r="B214" i="4"/>
  <c r="D214" i="4" s="1"/>
  <c r="B215" i="4"/>
  <c r="D215" i="4" s="1"/>
  <c r="B216" i="4"/>
  <c r="D216" i="4" s="1"/>
  <c r="B217" i="4"/>
  <c r="D217" i="4" s="1"/>
  <c r="B218" i="4"/>
  <c r="D218" i="4" s="1"/>
  <c r="B219" i="4"/>
  <c r="D219" i="4" s="1"/>
  <c r="B220" i="4"/>
  <c r="D220" i="4" s="1"/>
  <c r="B221" i="4"/>
  <c r="D221" i="4" s="1"/>
  <c r="B222" i="4"/>
  <c r="D222" i="4" s="1"/>
  <c r="B223" i="4"/>
  <c r="D223" i="4" s="1"/>
  <c r="B224" i="4"/>
  <c r="D224" i="4" s="1"/>
  <c r="B225" i="4"/>
  <c r="D225" i="4" s="1"/>
  <c r="B226" i="4"/>
  <c r="D226" i="4" s="1"/>
  <c r="B227" i="4"/>
  <c r="D227" i="4" s="1"/>
  <c r="B228" i="4"/>
  <c r="D228" i="4" s="1"/>
  <c r="B229" i="4"/>
  <c r="D229" i="4" s="1"/>
  <c r="B230" i="4"/>
  <c r="D230" i="4" s="1"/>
  <c r="B231" i="4"/>
  <c r="D231" i="4" s="1"/>
  <c r="B232" i="4"/>
  <c r="D232" i="4" s="1"/>
  <c r="B233" i="4"/>
  <c r="D233" i="4" s="1"/>
  <c r="B234" i="4"/>
  <c r="D234" i="4" s="1"/>
  <c r="B235" i="4"/>
  <c r="D235" i="4" s="1"/>
  <c r="B236" i="4"/>
  <c r="D236" i="4" s="1"/>
  <c r="B237" i="4"/>
  <c r="D237" i="4" s="1"/>
  <c r="B238" i="4"/>
  <c r="D238" i="4" s="1"/>
  <c r="B239" i="4"/>
  <c r="D239" i="4" s="1"/>
  <c r="B240" i="4"/>
  <c r="D240" i="4" s="1"/>
  <c r="B241" i="4"/>
  <c r="D241" i="4" s="1"/>
  <c r="B242" i="4"/>
  <c r="D242" i="4" s="1"/>
  <c r="B243" i="4"/>
  <c r="D243" i="4" s="1"/>
  <c r="B244" i="4"/>
  <c r="D244" i="4" s="1"/>
  <c r="B245" i="4"/>
  <c r="D245" i="4" s="1"/>
  <c r="B246" i="4"/>
  <c r="D246" i="4" s="1"/>
  <c r="B247" i="4"/>
  <c r="D247" i="4" s="1"/>
  <c r="B248" i="4"/>
  <c r="D248" i="4" s="1"/>
  <c r="B249" i="4"/>
  <c r="D249" i="4" s="1"/>
  <c r="B250" i="4"/>
  <c r="D250" i="4" s="1"/>
  <c r="B251" i="4"/>
  <c r="D251" i="4" s="1"/>
  <c r="B252" i="4"/>
  <c r="D252" i="4" s="1"/>
  <c r="B253" i="4"/>
  <c r="D253" i="4" s="1"/>
  <c r="B254" i="4"/>
  <c r="D254" i="4" s="1"/>
  <c r="B255" i="4"/>
  <c r="D255" i="4" s="1"/>
  <c r="B256" i="4"/>
  <c r="D256" i="4" s="1"/>
  <c r="B257" i="4"/>
  <c r="D257" i="4" s="1"/>
  <c r="B258" i="4"/>
  <c r="D258" i="4" s="1"/>
  <c r="B259" i="4"/>
  <c r="D259" i="4" s="1"/>
  <c r="B260" i="4"/>
  <c r="D260" i="4" s="1"/>
  <c r="B261" i="4"/>
  <c r="D261" i="4" s="1"/>
  <c r="B262" i="4"/>
  <c r="D262" i="4" s="1"/>
  <c r="B263" i="4"/>
  <c r="D263" i="4" s="1"/>
  <c r="B264" i="4"/>
  <c r="D264" i="4" s="1"/>
  <c r="B265" i="4"/>
  <c r="D265" i="4" s="1"/>
  <c r="B266" i="4"/>
  <c r="D266" i="4" s="1"/>
  <c r="B267" i="4"/>
  <c r="D267" i="4" s="1"/>
  <c r="B268" i="4"/>
  <c r="D268" i="4" s="1"/>
  <c r="B269" i="4"/>
  <c r="D269" i="4" s="1"/>
  <c r="B270" i="4"/>
  <c r="D270" i="4" s="1"/>
  <c r="B271" i="4"/>
  <c r="D271" i="4" s="1"/>
  <c r="B272" i="4"/>
  <c r="D272" i="4" s="1"/>
  <c r="B273" i="4"/>
  <c r="D273" i="4" s="1"/>
  <c r="B274" i="4"/>
  <c r="D274" i="4" s="1"/>
  <c r="B275" i="4"/>
  <c r="D275" i="4" s="1"/>
  <c r="B276" i="4"/>
  <c r="D276" i="4" s="1"/>
  <c r="B4" i="2"/>
  <c r="K4" i="2"/>
  <c r="J4" i="2"/>
  <c r="L106" i="5" l="1"/>
  <c r="I106" i="5"/>
  <c r="J106" i="5"/>
  <c r="L104" i="5"/>
  <c r="I104" i="5"/>
  <c r="J104" i="5"/>
  <c r="L102" i="5"/>
  <c r="I102" i="5"/>
  <c r="J102" i="5"/>
  <c r="L100" i="5"/>
  <c r="I100" i="5"/>
  <c r="J100" i="5"/>
  <c r="L98" i="5"/>
  <c r="I98" i="5"/>
  <c r="J98" i="5"/>
  <c r="L96" i="5"/>
  <c r="I96" i="5"/>
  <c r="J96" i="5"/>
  <c r="L94" i="5"/>
  <c r="I94" i="5"/>
  <c r="J94" i="5"/>
  <c r="L92" i="5"/>
  <c r="I92" i="5"/>
  <c r="J92" i="5"/>
  <c r="L107" i="5"/>
  <c r="I107" i="5"/>
  <c r="J107" i="5"/>
  <c r="L105" i="5"/>
  <c r="I105" i="5"/>
  <c r="J105" i="5"/>
  <c r="L103" i="5"/>
  <c r="I103" i="5"/>
  <c r="J103" i="5"/>
  <c r="L101" i="5"/>
  <c r="I101" i="5"/>
  <c r="J101" i="5"/>
  <c r="F99" i="5"/>
  <c r="L99" i="5"/>
  <c r="I99" i="5"/>
  <c r="J99" i="5"/>
  <c r="G97" i="5"/>
  <c r="L97" i="5"/>
  <c r="I97" i="5"/>
  <c r="J97" i="5"/>
  <c r="L95" i="5"/>
  <c r="I95" i="5"/>
  <c r="J95" i="5"/>
  <c r="F93" i="5"/>
  <c r="L93" i="5"/>
  <c r="I93" i="5"/>
  <c r="J93" i="5"/>
  <c r="H94" i="5"/>
  <c r="C29" i="5"/>
  <c r="H79" i="5"/>
  <c r="F71" i="5"/>
  <c r="H63" i="5"/>
  <c r="G57" i="5"/>
  <c r="H55" i="5"/>
  <c r="H51" i="5"/>
  <c r="F39" i="5"/>
  <c r="L35" i="5"/>
  <c r="J23" i="5"/>
  <c r="L23" i="5"/>
  <c r="J21" i="5"/>
  <c r="L21" i="5"/>
  <c r="J19" i="5"/>
  <c r="L19" i="5"/>
  <c r="J17" i="5"/>
  <c r="L17" i="5"/>
  <c r="L24" i="5"/>
  <c r="J24" i="5"/>
  <c r="L22" i="5"/>
  <c r="J22" i="5"/>
  <c r="L20" i="5"/>
  <c r="J20" i="5"/>
  <c r="L18" i="5"/>
  <c r="J18" i="5"/>
  <c r="H98" i="5"/>
  <c r="F100" i="5"/>
  <c r="G104" i="5"/>
  <c r="G94" i="5"/>
  <c r="G98" i="5"/>
  <c r="H102" i="5"/>
  <c r="F106" i="5"/>
  <c r="F94" i="5"/>
  <c r="F98" i="5"/>
  <c r="G102" i="5"/>
  <c r="H106" i="5"/>
  <c r="F102" i="5"/>
  <c r="G106" i="5"/>
  <c r="F92" i="5"/>
  <c r="F96" i="5"/>
  <c r="H100" i="5"/>
  <c r="H104" i="5"/>
  <c r="G92" i="5"/>
  <c r="H96" i="5"/>
  <c r="J28" i="5"/>
  <c r="G41" i="5"/>
  <c r="H92" i="5"/>
  <c r="G96" i="5"/>
  <c r="G100" i="5"/>
  <c r="F104" i="5"/>
  <c r="H89" i="5"/>
  <c r="F73" i="5"/>
  <c r="H69" i="5"/>
  <c r="H53" i="5"/>
  <c r="G49" i="5"/>
  <c r="H45" i="5"/>
  <c r="J35" i="5"/>
  <c r="H73" i="5"/>
  <c r="G85" i="5"/>
  <c r="H101" i="5"/>
  <c r="H41" i="5"/>
  <c r="G45" i="5"/>
  <c r="G53" i="5"/>
  <c r="F55" i="5"/>
  <c r="H57" i="5"/>
  <c r="G61" i="5"/>
  <c r="H65" i="5"/>
  <c r="H77" i="5"/>
  <c r="H81" i="5"/>
  <c r="H59" i="5"/>
  <c r="H97" i="5"/>
  <c r="F89" i="5"/>
  <c r="G89" i="5"/>
  <c r="H85" i="5"/>
  <c r="F85" i="5"/>
  <c r="G81" i="5"/>
  <c r="F81" i="5"/>
  <c r="F77" i="5"/>
  <c r="G77" i="5"/>
  <c r="G73" i="5"/>
  <c r="G69" i="5"/>
  <c r="F69" i="5"/>
  <c r="F65" i="5"/>
  <c r="G65" i="5"/>
  <c r="H61" i="5"/>
  <c r="F61" i="5"/>
  <c r="F57" i="5"/>
  <c r="F53" i="5"/>
  <c r="H49" i="5"/>
  <c r="F49" i="5"/>
  <c r="F45" i="5"/>
  <c r="F41" i="5"/>
  <c r="L28" i="5"/>
  <c r="H47" i="5"/>
  <c r="F97" i="5"/>
  <c r="G105" i="5"/>
  <c r="H105" i="5"/>
  <c r="G101" i="5"/>
  <c r="H93" i="5"/>
  <c r="H91" i="5"/>
  <c r="F87" i="5"/>
  <c r="H87" i="5"/>
  <c r="H83" i="5"/>
  <c r="H67" i="5"/>
  <c r="F63" i="5"/>
  <c r="G93" i="5"/>
  <c r="G107" i="5"/>
  <c r="H103" i="5"/>
  <c r="F103" i="5"/>
  <c r="H99" i="5"/>
  <c r="G99" i="5"/>
  <c r="G95" i="5"/>
  <c r="H95" i="5"/>
  <c r="G103" i="5"/>
  <c r="H107" i="5"/>
  <c r="F95" i="5"/>
  <c r="F107" i="5"/>
  <c r="F91" i="5"/>
  <c r="F83" i="5"/>
  <c r="F79" i="5"/>
  <c r="F75" i="5"/>
  <c r="H75" i="5"/>
  <c r="H71" i="5"/>
  <c r="F67" i="5"/>
  <c r="F59" i="5"/>
  <c r="F51" i="5"/>
  <c r="F47" i="5"/>
  <c r="F43" i="5"/>
  <c r="H43" i="5"/>
  <c r="H39" i="5"/>
  <c r="F105" i="5"/>
  <c r="F101" i="5"/>
  <c r="G91" i="5"/>
  <c r="G87" i="5"/>
  <c r="G83" i="5"/>
  <c r="G79" i="5"/>
  <c r="G75" i="5"/>
  <c r="G71" i="5"/>
  <c r="G67" i="5"/>
  <c r="G63" i="5"/>
  <c r="G59" i="5"/>
  <c r="G55" i="5"/>
  <c r="G51" i="5"/>
  <c r="G47" i="5"/>
  <c r="G43" i="5"/>
  <c r="G39" i="5"/>
  <c r="G90" i="5"/>
  <c r="F90" i="5"/>
  <c r="G88" i="5"/>
  <c r="F88" i="5"/>
  <c r="G86" i="5"/>
  <c r="F86" i="5"/>
  <c r="H86" i="5"/>
  <c r="H88" i="5"/>
  <c r="H90" i="5"/>
  <c r="G84" i="5"/>
  <c r="F84" i="5"/>
  <c r="H84" i="5"/>
  <c r="G82" i="5"/>
  <c r="F82" i="5"/>
  <c r="H82" i="5"/>
  <c r="G80" i="5"/>
  <c r="F80" i="5"/>
  <c r="H80" i="5"/>
  <c r="G78" i="5"/>
  <c r="F78" i="5"/>
  <c r="H78" i="5"/>
  <c r="G76" i="5"/>
  <c r="F76" i="5"/>
  <c r="H76" i="5"/>
  <c r="G74" i="5"/>
  <c r="F74" i="5"/>
  <c r="H74" i="5"/>
  <c r="G72" i="5"/>
  <c r="F72" i="5"/>
  <c r="H72" i="5"/>
  <c r="G70" i="5"/>
  <c r="F70" i="5"/>
  <c r="H70" i="5"/>
  <c r="G68" i="5"/>
  <c r="F68" i="5"/>
  <c r="H68" i="5"/>
  <c r="G66" i="5"/>
  <c r="F66" i="5"/>
  <c r="H66" i="5"/>
  <c r="G64" i="5"/>
  <c r="F64" i="5"/>
  <c r="H64" i="5"/>
  <c r="G62" i="5"/>
  <c r="F62" i="5"/>
  <c r="H62" i="5"/>
  <c r="G60" i="5"/>
  <c r="F60" i="5"/>
  <c r="H60" i="5"/>
  <c r="G58" i="5"/>
  <c r="F58" i="5"/>
  <c r="H58" i="5"/>
  <c r="G56" i="5"/>
  <c r="F56" i="5"/>
  <c r="H56" i="5"/>
  <c r="G54" i="5"/>
  <c r="F54" i="5"/>
  <c r="H54" i="5"/>
  <c r="G52" i="5"/>
  <c r="F52" i="5"/>
  <c r="H52" i="5"/>
  <c r="G50" i="5"/>
  <c r="F50" i="5"/>
  <c r="H50" i="5"/>
  <c r="G48" i="5"/>
  <c r="F48" i="5"/>
  <c r="H48" i="5"/>
  <c r="G46" i="5"/>
  <c r="F46" i="5"/>
  <c r="H46" i="5"/>
  <c r="G44" i="5"/>
  <c r="F44" i="5"/>
  <c r="H44" i="5"/>
  <c r="G42" i="5"/>
  <c r="F42" i="5"/>
  <c r="H42" i="5"/>
  <c r="G40" i="5"/>
  <c r="F40" i="5"/>
  <c r="H40" i="5"/>
  <c r="G38" i="5"/>
  <c r="F38" i="5"/>
  <c r="H38" i="5"/>
  <c r="G37" i="5"/>
  <c r="F37" i="5"/>
  <c r="H37" i="5"/>
  <c r="L33" i="5"/>
  <c r="J33" i="5"/>
  <c r="L30" i="5"/>
  <c r="J30" i="5"/>
  <c r="E29" i="5"/>
  <c r="L29" i="5"/>
  <c r="G29" i="5"/>
  <c r="F29" i="5"/>
  <c r="J29" i="5"/>
  <c r="H29" i="5"/>
  <c r="L27" i="5"/>
  <c r="J27" i="5"/>
  <c r="C276" i="4"/>
  <c r="C274" i="4"/>
  <c r="C272" i="4"/>
  <c r="C270" i="4"/>
  <c r="C268" i="4"/>
  <c r="C266" i="4"/>
  <c r="C264" i="4"/>
  <c r="C262" i="4"/>
  <c r="C260" i="4"/>
  <c r="C258" i="4"/>
  <c r="C256" i="4"/>
  <c r="C254" i="4"/>
  <c r="C252" i="4"/>
  <c r="C250" i="4"/>
  <c r="C248" i="4"/>
  <c r="C246" i="4"/>
  <c r="C244" i="4"/>
  <c r="C242" i="4"/>
  <c r="C240" i="4"/>
  <c r="C238" i="4"/>
  <c r="C236" i="4"/>
  <c r="C234" i="4"/>
  <c r="C232" i="4"/>
  <c r="C230" i="4"/>
  <c r="C228" i="4"/>
  <c r="C226" i="4"/>
  <c r="C224" i="4"/>
  <c r="C222" i="4"/>
  <c r="C220" i="4"/>
  <c r="C218" i="4"/>
  <c r="C216" i="4"/>
  <c r="C214" i="4"/>
  <c r="C212" i="4"/>
  <c r="C210" i="4"/>
  <c r="C208" i="4"/>
  <c r="C206" i="4"/>
  <c r="C204" i="4"/>
  <c r="C202" i="4"/>
  <c r="C200" i="4"/>
  <c r="C198" i="4"/>
  <c r="C196" i="4"/>
  <c r="C194" i="4"/>
  <c r="C192" i="4"/>
  <c r="C190" i="4"/>
  <c r="C188" i="4"/>
  <c r="C186" i="4"/>
  <c r="C184" i="4"/>
  <c r="C182" i="4"/>
  <c r="C180" i="4"/>
  <c r="C178" i="4"/>
  <c r="C176" i="4"/>
  <c r="C174" i="4"/>
  <c r="C172" i="4"/>
  <c r="C170" i="4"/>
  <c r="C167" i="4"/>
  <c r="C163" i="4"/>
  <c r="C159" i="4"/>
  <c r="C155" i="4"/>
  <c r="C151" i="4"/>
  <c r="C147" i="4"/>
  <c r="C143" i="4"/>
  <c r="C139" i="4"/>
  <c r="C135" i="4"/>
  <c r="C131" i="4"/>
  <c r="C127" i="4"/>
  <c r="C123" i="4"/>
  <c r="C119" i="4"/>
  <c r="C115" i="4"/>
  <c r="C111" i="4"/>
  <c r="C107" i="4"/>
  <c r="C103" i="4"/>
  <c r="C99" i="4"/>
  <c r="C95" i="4"/>
  <c r="C91" i="4"/>
  <c r="C87" i="4"/>
  <c r="C83" i="4"/>
  <c r="C79" i="4"/>
  <c r="C75" i="4"/>
  <c r="C71" i="4"/>
  <c r="C67" i="4"/>
  <c r="C63" i="4"/>
  <c r="C59" i="4"/>
  <c r="C55" i="4"/>
  <c r="C51" i="4"/>
  <c r="C47" i="4"/>
  <c r="C43" i="4"/>
  <c r="C39" i="4"/>
  <c r="C35" i="4"/>
  <c r="C31" i="4"/>
  <c r="C23" i="4"/>
  <c r="C19" i="4"/>
  <c r="C15" i="4"/>
  <c r="C11" i="4"/>
  <c r="D162" i="4"/>
  <c r="D154" i="4"/>
  <c r="D168" i="4"/>
  <c r="C168" i="4"/>
  <c r="D164" i="4"/>
  <c r="C164" i="4"/>
  <c r="D160" i="4"/>
  <c r="C160" i="4"/>
  <c r="D156" i="4"/>
  <c r="C156" i="4"/>
  <c r="D152" i="4"/>
  <c r="C152" i="4"/>
  <c r="D150" i="4"/>
  <c r="C150" i="4"/>
  <c r="D148" i="4"/>
  <c r="C148" i="4"/>
  <c r="D146" i="4"/>
  <c r="C146" i="4"/>
  <c r="D144" i="4"/>
  <c r="C144" i="4"/>
  <c r="D142" i="4"/>
  <c r="C142" i="4"/>
  <c r="D140" i="4"/>
  <c r="C140" i="4"/>
  <c r="D138" i="4"/>
  <c r="C138" i="4"/>
  <c r="D136" i="4"/>
  <c r="C136" i="4"/>
  <c r="D134" i="4"/>
  <c r="C134" i="4"/>
  <c r="D132" i="4"/>
  <c r="C132" i="4"/>
  <c r="D130" i="4"/>
  <c r="C130" i="4"/>
  <c r="D128" i="4"/>
  <c r="C128" i="4"/>
  <c r="D126" i="4"/>
  <c r="C126" i="4"/>
  <c r="D124" i="4"/>
  <c r="C124" i="4"/>
  <c r="D122" i="4"/>
  <c r="C122" i="4"/>
  <c r="D120" i="4"/>
  <c r="C120" i="4"/>
  <c r="D118" i="4"/>
  <c r="C118" i="4"/>
  <c r="D116" i="4"/>
  <c r="C116" i="4"/>
  <c r="D114" i="4"/>
  <c r="C114" i="4"/>
  <c r="D112" i="4"/>
  <c r="C112" i="4"/>
  <c r="D110" i="4"/>
  <c r="C110" i="4"/>
  <c r="D108" i="4"/>
  <c r="C108" i="4"/>
  <c r="D106" i="4"/>
  <c r="C106" i="4"/>
  <c r="D104" i="4"/>
  <c r="C104" i="4"/>
  <c r="D102" i="4"/>
  <c r="C102" i="4"/>
  <c r="D100" i="4"/>
  <c r="C100" i="4"/>
  <c r="D98" i="4"/>
  <c r="C98" i="4"/>
  <c r="D96" i="4"/>
  <c r="C96" i="4"/>
  <c r="D94" i="4"/>
  <c r="C94" i="4"/>
  <c r="D92" i="4"/>
  <c r="C92" i="4"/>
  <c r="D90" i="4"/>
  <c r="C90" i="4"/>
  <c r="D88" i="4"/>
  <c r="C88" i="4"/>
  <c r="D86" i="4"/>
  <c r="C86" i="4"/>
  <c r="D84" i="4"/>
  <c r="C84" i="4"/>
  <c r="D82" i="4"/>
  <c r="C82" i="4"/>
  <c r="D80" i="4"/>
  <c r="C80" i="4"/>
  <c r="D78" i="4"/>
  <c r="C78" i="4"/>
  <c r="D76" i="4"/>
  <c r="C76" i="4"/>
  <c r="D74" i="4"/>
  <c r="C74" i="4"/>
  <c r="D72" i="4"/>
  <c r="C72" i="4"/>
  <c r="D70" i="4"/>
  <c r="C70" i="4"/>
  <c r="D68" i="4"/>
  <c r="C68" i="4"/>
  <c r="D66" i="4"/>
  <c r="C66" i="4"/>
  <c r="D64" i="4"/>
  <c r="C64" i="4"/>
  <c r="D62" i="4"/>
  <c r="C62" i="4"/>
  <c r="D60" i="4"/>
  <c r="C60" i="4"/>
  <c r="D58" i="4"/>
  <c r="C58" i="4"/>
  <c r="D56" i="4"/>
  <c r="C56" i="4"/>
  <c r="D54" i="4"/>
  <c r="C54" i="4"/>
  <c r="D52" i="4"/>
  <c r="C52" i="4"/>
  <c r="D50" i="4"/>
  <c r="C50" i="4"/>
  <c r="D48" i="4"/>
  <c r="C48" i="4"/>
  <c r="D46" i="4"/>
  <c r="C46" i="4"/>
  <c r="D44" i="4"/>
  <c r="C44" i="4"/>
  <c r="D42" i="4"/>
  <c r="C42" i="4"/>
  <c r="D40" i="4"/>
  <c r="C40" i="4"/>
  <c r="D38" i="4"/>
  <c r="C38" i="4"/>
  <c r="D36" i="4"/>
  <c r="C36" i="4"/>
  <c r="D34" i="4"/>
  <c r="C34" i="4"/>
  <c r="D32" i="4"/>
  <c r="C32" i="4"/>
  <c r="D30" i="4"/>
  <c r="C30" i="4"/>
  <c r="D28" i="4"/>
  <c r="C28" i="4"/>
  <c r="D26" i="4"/>
  <c r="C26" i="4"/>
  <c r="D24" i="4"/>
  <c r="C24" i="4"/>
  <c r="D22" i="4"/>
  <c r="C22" i="4"/>
  <c r="D20" i="4"/>
  <c r="C20" i="4"/>
  <c r="D18" i="4"/>
  <c r="C18" i="4"/>
  <c r="D16" i="4"/>
  <c r="C16" i="4"/>
  <c r="D14" i="4"/>
  <c r="C14" i="4"/>
  <c r="D12" i="4"/>
  <c r="C12" i="4"/>
  <c r="D10" i="4"/>
  <c r="C10" i="4"/>
  <c r="C275" i="4"/>
  <c r="C273" i="4"/>
  <c r="C271" i="4"/>
  <c r="C269" i="4"/>
  <c r="C267" i="4"/>
  <c r="C265" i="4"/>
  <c r="C263" i="4"/>
  <c r="C261" i="4"/>
  <c r="C259" i="4"/>
  <c r="C257" i="4"/>
  <c r="C255" i="4"/>
  <c r="C253" i="4"/>
  <c r="C251" i="4"/>
  <c r="C249" i="4"/>
  <c r="C247" i="4"/>
  <c r="C245" i="4"/>
  <c r="C243" i="4"/>
  <c r="C241" i="4"/>
  <c r="C239" i="4"/>
  <c r="C237" i="4"/>
  <c r="C235" i="4"/>
  <c r="C233" i="4"/>
  <c r="C231" i="4"/>
  <c r="C229" i="4"/>
  <c r="C227" i="4"/>
  <c r="C225" i="4"/>
  <c r="C223" i="4"/>
  <c r="C221" i="4"/>
  <c r="C219" i="4"/>
  <c r="C217" i="4"/>
  <c r="C215" i="4"/>
  <c r="C213" i="4"/>
  <c r="C211" i="4"/>
  <c r="C209" i="4"/>
  <c r="C207" i="4"/>
  <c r="C205" i="4"/>
  <c r="C203" i="4"/>
  <c r="C201" i="4"/>
  <c r="C199" i="4"/>
  <c r="C197" i="4"/>
  <c r="C195" i="4"/>
  <c r="C193" i="4"/>
  <c r="C191" i="4"/>
  <c r="C189" i="4"/>
  <c r="C187" i="4"/>
  <c r="C185" i="4"/>
  <c r="C183" i="4"/>
  <c r="C181" i="4"/>
  <c r="C179" i="4"/>
  <c r="C177" i="4"/>
  <c r="C175" i="4"/>
  <c r="C173" i="4"/>
  <c r="C171" i="4"/>
  <c r="C169" i="4"/>
  <c r="C165" i="4"/>
  <c r="C161" i="4"/>
  <c r="C157" i="4"/>
  <c r="C153" i="4"/>
  <c r="C149" i="4"/>
  <c r="C145" i="4"/>
  <c r="C141" i="4"/>
  <c r="C137" i="4"/>
  <c r="C133" i="4"/>
  <c r="C129" i="4"/>
  <c r="C125" i="4"/>
  <c r="C121" i="4"/>
  <c r="C117" i="4"/>
  <c r="C113" i="4"/>
  <c r="C109" i="4"/>
  <c r="C105" i="4"/>
  <c r="C101" i="4"/>
  <c r="C97" i="4"/>
  <c r="C93" i="4"/>
  <c r="C89" i="4"/>
  <c r="C85" i="4"/>
  <c r="C81" i="4"/>
  <c r="C77" i="4"/>
  <c r="C73" i="4"/>
  <c r="C69" i="4"/>
  <c r="C65" i="4"/>
  <c r="C61" i="4"/>
  <c r="C57" i="4"/>
  <c r="C53" i="4"/>
  <c r="C49" i="4"/>
  <c r="C45" i="4"/>
  <c r="C41" i="4"/>
  <c r="C37" i="4"/>
  <c r="C33" i="4"/>
  <c r="C29" i="4"/>
  <c r="C25" i="4"/>
  <c r="C21" i="4"/>
  <c r="C17" i="4"/>
  <c r="C13" i="4"/>
  <c r="C9" i="4"/>
  <c r="D166" i="4"/>
  <c r="D158" i="4"/>
</calcChain>
</file>

<file path=xl/sharedStrings.xml><?xml version="1.0" encoding="utf-8"?>
<sst xmlns="http://schemas.openxmlformats.org/spreadsheetml/2006/main" count="2494" uniqueCount="289">
  <si>
    <t>Monit nº</t>
  </si>
  <si>
    <t>Nº 
Orden</t>
  </si>
  <si>
    <t>Fecha</t>
  </si>
  <si>
    <t>Unidad</t>
  </si>
  <si>
    <t>Servicio</t>
  </si>
  <si>
    <t>Hora 
Servicio</t>
  </si>
  <si>
    <t>Horario
Salida</t>
  </si>
  <si>
    <t>Utiliza
uniforme</t>
  </si>
  <si>
    <t>Pin</t>
  </si>
  <si>
    <t>Buena
Apariencia</t>
  </si>
  <si>
    <t>Vigila la 
bodega</t>
  </si>
  <si>
    <t>Respeta
velocidad</t>
  </si>
  <si>
    <t>En caso de "NO" ¿Donde?</t>
  </si>
  <si>
    <t>Utiliza el
celular</t>
  </si>
  <si>
    <t>SI</t>
  </si>
  <si>
    <t>Condiciones a filtrar</t>
  </si>
  <si>
    <t>Nº</t>
  </si>
  <si>
    <t>Leg</t>
  </si>
  <si>
    <t>Apellido y Nombre</t>
  </si>
  <si>
    <t>ESPASANDIN, ISAIAS PEDRO</t>
  </si>
  <si>
    <t>PEREZ, JULIO</t>
  </si>
  <si>
    <t>BOGADO, ABEL</t>
  </si>
  <si>
    <t>FUNCIA, ALBERTO RODOLFO</t>
  </si>
  <si>
    <t>SALVADOR, ANTONIO MIGUEL</t>
  </si>
  <si>
    <t>LARA, PEDRO HUMBERTO</t>
  </si>
  <si>
    <t>TAPIA, JUAN</t>
  </si>
  <si>
    <t>TORRES, FERNANDO OMAR</t>
  </si>
  <si>
    <t>BREGA, ALBERTO CESAR</t>
  </si>
  <si>
    <t>GIAROLI, RICARDO ADOLFO</t>
  </si>
  <si>
    <t>VARRETTI, JAVIER ORLANDO</t>
  </si>
  <si>
    <t>AVILA, JOSE</t>
  </si>
  <si>
    <t>MARIN, NESTOR</t>
  </si>
  <si>
    <t>BRAVO, MARCELO CONRADO</t>
  </si>
  <si>
    <t>QUIROGA, ANTONIO JAVIER</t>
  </si>
  <si>
    <t>MARTINEZ, GONZALO ALFREDO</t>
  </si>
  <si>
    <t>ORTEGA, PABLO ANDRES</t>
  </si>
  <si>
    <t>ESPASANDIN, DANIEL ANDRES</t>
  </si>
  <si>
    <t>BELIZON, MARIANO FABIAN</t>
  </si>
  <si>
    <t>FORTE, MARIO LUIS</t>
  </si>
  <si>
    <t>ESPOSITO, HUMBERTO RUBEN</t>
  </si>
  <si>
    <t>GALDEANO, CESAR EDGARDO</t>
  </si>
  <si>
    <t>VALENZUELA, MARIO ORLANDO</t>
  </si>
  <si>
    <t>AGON, BENITO OSVALDO</t>
  </si>
  <si>
    <t>ALDAVE, RAUL IGNACIO</t>
  </si>
  <si>
    <t>BRIZUELA, PEDRO OSVALDO</t>
  </si>
  <si>
    <t>CASTILLA, ANDRES ANGEL</t>
  </si>
  <si>
    <t>MARTINEZ, PABLO RODOLFO</t>
  </si>
  <si>
    <t>PALACIO, HECTOR ARIEL</t>
  </si>
  <si>
    <t>REY, RAUL DAVID</t>
  </si>
  <si>
    <t>REYES, ALEJANDRO</t>
  </si>
  <si>
    <t>SANCHEZ, JUAN CARLOS</t>
  </si>
  <si>
    <t>SAROME, OMAR ALBERTO</t>
  </si>
  <si>
    <t>STILO, CESAR ARIEL</t>
  </si>
  <si>
    <t>CID, MARISA NORA</t>
  </si>
  <si>
    <t>GARRIDO, JOSE ALBERTO</t>
  </si>
  <si>
    <t>MARTINEZ, PABLO DARIO</t>
  </si>
  <si>
    <t>MORENO, JORGE ANDRES</t>
  </si>
  <si>
    <t>VARGAS, FLAVIO FRANCISCO</t>
  </si>
  <si>
    <t>JOVIC, FERNANDO JAVIER</t>
  </si>
  <si>
    <t>GONZALEZ, ARIEL ALEJANDRO</t>
  </si>
  <si>
    <t>GONZALEZ, OSVALDO CEFERINO</t>
  </si>
  <si>
    <t>ZALLOCCO, FLAVIO</t>
  </si>
  <si>
    <t>RIVAS, CESAR ADRIAN</t>
  </si>
  <si>
    <t>NAVARRO, JORGE ANIBAL</t>
  </si>
  <si>
    <t>ROJO, JORGE LUIS</t>
  </si>
  <si>
    <t>MARTINEZ, HUGO</t>
  </si>
  <si>
    <t>TAPIA, CLAUDIO CESAR</t>
  </si>
  <si>
    <t>FREYRE, LUIS MARIA</t>
  </si>
  <si>
    <t>MONTERSINO, CRISTIAN ALEJANDRO</t>
  </si>
  <si>
    <t>MONTOYA, MARIANO JAVIER</t>
  </si>
  <si>
    <t>DIAZ, DANIEL OMAR</t>
  </si>
  <si>
    <t>GONZALEZ, JORGE DAVID</t>
  </si>
  <si>
    <t>NIEVAS, CRISTIAN ALEJANDRO</t>
  </si>
  <si>
    <t>URBANO, WALTER JAVIER</t>
  </si>
  <si>
    <t>BENSI, ENZO PEDRO</t>
  </si>
  <si>
    <t>ARRIAGADA, ALDO RAFAEL</t>
  </si>
  <si>
    <t>BARRERAS, DAVID ANIBAL</t>
  </si>
  <si>
    <t>COBOS, CARLOS EXEQUIEL</t>
  </si>
  <si>
    <t>CANOVAS, RAMON EDUARDO</t>
  </si>
  <si>
    <t>CAMPOS, GABRIEL MARCELO</t>
  </si>
  <si>
    <t>RIOS, JORGE OMAR</t>
  </si>
  <si>
    <t>MARTIN, ELADIO</t>
  </si>
  <si>
    <t>ROCO, JULIO</t>
  </si>
  <si>
    <t>QUISPE, CARLOS SEBASTIAN</t>
  </si>
  <si>
    <t>QUISPE, ROQUE ALEXANDER</t>
  </si>
  <si>
    <t>VERGARA, RICARDO JAVIER</t>
  </si>
  <si>
    <t>FIOCCHETTI, OSCAR IVAN</t>
  </si>
  <si>
    <t>ORTIZ, HECTOR HERNAN</t>
  </si>
  <si>
    <t>MORALES, WALTER JAVIER</t>
  </si>
  <si>
    <t>SUAREZ, CRISTIAN DARIO</t>
  </si>
  <si>
    <t>ALTAMIRANDA, MARIO RUBEN</t>
  </si>
  <si>
    <t>VALDIVIESO, JORGE ARIEL</t>
  </si>
  <si>
    <t>RODRIGUEZ, DERLY OMAR</t>
  </si>
  <si>
    <t>CAMPOS, NELSON JOSE</t>
  </si>
  <si>
    <t>BONATTI, CLAUDIO FABIAN</t>
  </si>
  <si>
    <t>OLMEDO, CARLOS CRISTIAN</t>
  </si>
  <si>
    <t>GARCIA, JUAN MANUEL</t>
  </si>
  <si>
    <t>PEREZ, OSCAR MANUEL</t>
  </si>
  <si>
    <t>CHAVAZCO, LUIS ALBERTO</t>
  </si>
  <si>
    <t>ABALLAY, SERGIO GUSTAVO JAVIER</t>
  </si>
  <si>
    <t>GONZALEZ, PABLO ALBERTO</t>
  </si>
  <si>
    <t>ARIAS, JORGE ARIEL</t>
  </si>
  <si>
    <t>ALBORNOZ, OSCAR PEDRO</t>
  </si>
  <si>
    <t>CRUZATE, SERGIO SEBASTIAN</t>
  </si>
  <si>
    <t>ALMONACI, LUCAS ALEJANDRO</t>
  </si>
  <si>
    <t>ARRAES, LEONARDO</t>
  </si>
  <si>
    <t>CORREA, SERGIO ANTONIO</t>
  </si>
  <si>
    <t>KASPIN, CLAUDIO ARIEL</t>
  </si>
  <si>
    <t>CORREA, MARIO ERNESTO</t>
  </si>
  <si>
    <t>NEGRI, MARIO JAVIER</t>
  </si>
  <si>
    <t>MORALES, VICTOR HUGO</t>
  </si>
  <si>
    <t>BERDUGO, HECTOR OMAR</t>
  </si>
  <si>
    <t>DIAZ, JOSE RAMON</t>
  </si>
  <si>
    <t>BUTTINI, JOSE LUIS</t>
  </si>
  <si>
    <t>MARIN, LUIS ALBERTO</t>
  </si>
  <si>
    <t>PEREZ, ARIEL ROBERTO</t>
  </si>
  <si>
    <t>ARRIOLA, DIEGO SEBASTIAN</t>
  </si>
  <si>
    <t>ARCE, VICENTE JESUS</t>
  </si>
  <si>
    <t>RINCKEISEN, OSCAR MARCOS</t>
  </si>
  <si>
    <t>MOYANO, JORGE DAMIAN</t>
  </si>
  <si>
    <t>GALDONA, MAURICIO ANDRES</t>
  </si>
  <si>
    <t>FERNANDEZ, FRANCO DERLY</t>
  </si>
  <si>
    <t>ARANCIBIA, GERARDO ARIEL</t>
  </si>
  <si>
    <t>FARIAS, EMANUEL RAMON</t>
  </si>
  <si>
    <t>PONCE, HECTOR EMILIO</t>
  </si>
  <si>
    <t>GONZALEZ, CLAUDIO CRISTIAN RODRIGO</t>
  </si>
  <si>
    <t>SANCHEZ, CARLOS MAURICIO</t>
  </si>
  <si>
    <t>MUÑOZ, CARLOS EMANUEL</t>
  </si>
  <si>
    <t>CRUZ, IVAN GUSTAVO</t>
  </si>
  <si>
    <t>CALDERON, NESTOR DARIO</t>
  </si>
  <si>
    <t>ALANIZ, FERNANDO PABLO</t>
  </si>
  <si>
    <t>ISERN, MARCELO ROBERTO</t>
  </si>
  <si>
    <t>Utiliza
tacos
(si es mujer)</t>
  </si>
  <si>
    <t>Indica
ubicación 
del asiento</t>
  </si>
  <si>
    <t>Sirve el catering correctamente</t>
  </si>
  <si>
    <t>Buena predisposición ante pedidos específicos</t>
  </si>
  <si>
    <t>Recorre la unidad y perfuma</t>
  </si>
  <si>
    <t>Speech y video tienen buen sonido e imagen</t>
  </si>
  <si>
    <t>Observación de Anomalías Específicas del Conductor</t>
  </si>
  <si>
    <t>Específicos de la azafata</t>
  </si>
  <si>
    <t>SECCION</t>
  </si>
  <si>
    <t>CENTRO COSTO</t>
  </si>
  <si>
    <t>CARGO</t>
  </si>
  <si>
    <t>SUPERVISOR</t>
  </si>
  <si>
    <t>BROCAL, MARIA ROSA</t>
  </si>
  <si>
    <t>BOLETERÍA</t>
  </si>
  <si>
    <t>ADMINISTRATIVO</t>
  </si>
  <si>
    <t>ADRIÁN BREGA</t>
  </si>
  <si>
    <t>GASET, MARIA EMILIA</t>
  </si>
  <si>
    <t>MANSILLA, GLADYS ROXANA</t>
  </si>
  <si>
    <t>BRICCO, NATALIA ANDREA</t>
  </si>
  <si>
    <t>ESQUIVEL, JUAN PABLO DANIEL</t>
  </si>
  <si>
    <t>MORENO, NESTOR DARIO</t>
  </si>
  <si>
    <t>RUIZ, CECILIA INES</t>
  </si>
  <si>
    <t>GIMENEZ, JONAS ARON</t>
  </si>
  <si>
    <t>MANIA, CRISTIAN FERNANDO</t>
  </si>
  <si>
    <t>BIANCO, SERGIO RODRIGO</t>
  </si>
  <si>
    <t>KLAINBARD, GUILLERMO MARTIN</t>
  </si>
  <si>
    <t>OYOLA, JORGE LUIS</t>
  </si>
  <si>
    <t>PANELO, ROLANDO FABRICIO</t>
  </si>
  <si>
    <t>YAÑEZ, ANDREA PATRICIA</t>
  </si>
  <si>
    <t>MANTENIMIENTO</t>
  </si>
  <si>
    <t>LAZARO, SANTIAGO JORGE</t>
  </si>
  <si>
    <t>ENCOMIENDAS</t>
  </si>
  <si>
    <t>SALINAS, ERNESTO WALTER</t>
  </si>
  <si>
    <t>MORALES, ALEJANDRO GABRIEL</t>
  </si>
  <si>
    <t>ANTOLIN, NICOLAS EMANUEL</t>
  </si>
  <si>
    <t>PEREZ, SERGIO DAVID</t>
  </si>
  <si>
    <t>ARAYA, MONICA BEATRIZ</t>
  </si>
  <si>
    <t>TRÁFICO</t>
  </si>
  <si>
    <t>AZAFATA</t>
  </si>
  <si>
    <t>OSCAR BREGA</t>
  </si>
  <si>
    <t>BIELLI, ELINA</t>
  </si>
  <si>
    <t>BIBANCO, CYNTHIA DANIELA</t>
  </si>
  <si>
    <t>JUAREZ, NANCY ELIZABETH</t>
  </si>
  <si>
    <t>CORNEJO, MARIA SOLEDAD</t>
  </si>
  <si>
    <t>UBILLOS, JOANA MIRTA SOLEDAD</t>
  </si>
  <si>
    <t>TORREZ, DANIEL OSCAR</t>
  </si>
  <si>
    <t>INSPECTOR</t>
  </si>
  <si>
    <t>NUÑEZ, RODRIGO NICOLAS</t>
  </si>
  <si>
    <t>CONDUCTOR</t>
  </si>
  <si>
    <t>SINI, RAUL DANIEL</t>
  </si>
  <si>
    <t>RODRIGUEZ, FRANCO ANDRES</t>
  </si>
  <si>
    <t>SANCHEZ, DIEGO SEBASTIAN</t>
  </si>
  <si>
    <t>MAGGIONI, PABLO ALFREDO</t>
  </si>
  <si>
    <t>Observación de Anomalías Específicas del Guarda o la Azafata</t>
  </si>
  <si>
    <t>Nº Legajo Guarda/ Azafata</t>
  </si>
  <si>
    <t>Nº Legajo Conductor</t>
  </si>
  <si>
    <t>Utiliza celular</t>
  </si>
  <si>
    <t>Apellido y Nombre Conductor</t>
  </si>
  <si>
    <t>Apellido y Nombre Azafata/ Guarda</t>
  </si>
  <si>
    <t>Boletería</t>
  </si>
  <si>
    <t>Imagen</t>
  </si>
  <si>
    <t>Limpieza</t>
  </si>
  <si>
    <t>Cartelería</t>
  </si>
  <si>
    <t>Vendedor</t>
  </si>
  <si>
    <t>Uniforme</t>
  </si>
  <si>
    <t>Apariencia</t>
  </si>
  <si>
    <t>Amabilidad en atención</t>
  </si>
  <si>
    <t>Corrobora datos del boleto</t>
  </si>
  <si>
    <t>Ofrece pasaje de vuelta</t>
  </si>
  <si>
    <t>Ofrece elección de butaca</t>
  </si>
  <si>
    <t>Específicos del vendedor</t>
  </si>
  <si>
    <t>Espefícicos de la boletería</t>
  </si>
  <si>
    <t>Estado</t>
  </si>
  <si>
    <t>Butacas</t>
  </si>
  <si>
    <t>Cortinas</t>
  </si>
  <si>
    <t>Baño Limpio</t>
  </si>
  <si>
    <t>Monit Nº</t>
  </si>
  <si>
    <t>Hora servicio</t>
  </si>
  <si>
    <t>Horario salida</t>
  </si>
  <si>
    <t>15 min antes en plataforma</t>
  </si>
  <si>
    <t>Posee cartel de destino</t>
  </si>
  <si>
    <t>Sale y llega en horario</t>
  </si>
  <si>
    <t>Viajan policías</t>
  </si>
  <si>
    <t>¿Cuántos?</t>
  </si>
  <si>
    <t>Específicos del servicio</t>
  </si>
  <si>
    <t>Específicos de la unidad</t>
  </si>
  <si>
    <t>Observación de Anomalías Específicas</t>
  </si>
  <si>
    <t>Nº Legajo Azafata/ Guarda</t>
  </si>
  <si>
    <t>Nº Legajo Vendedor</t>
  </si>
  <si>
    <t>Terminal SR</t>
  </si>
  <si>
    <t>Boleterías</t>
  </si>
  <si>
    <t>Terminal Mza</t>
  </si>
  <si>
    <t>SR MZA</t>
  </si>
  <si>
    <t>si</t>
  </si>
  <si>
    <t>no</t>
  </si>
  <si>
    <t>MZA SR</t>
  </si>
  <si>
    <t>s</t>
  </si>
  <si>
    <t>15/01/16 Cartel apagado</t>
  </si>
  <si>
    <t>18/01/16 Cartel no indicaba destino</t>
  </si>
  <si>
    <t>Inodoro sin guillotina, se observa materia fecal.</t>
  </si>
  <si>
    <t>Terminal GA</t>
  </si>
  <si>
    <t>La unidad llega 10 min antes.</t>
  </si>
  <si>
    <t>La unidad llega 7 min antes.</t>
  </si>
  <si>
    <t>Baño sin jabon</t>
  </si>
  <si>
    <t>Baño sin agua</t>
  </si>
  <si>
    <t>ORTEGA, CLAUDIO DAVID</t>
  </si>
  <si>
    <t>Etiquetas de fila</t>
  </si>
  <si>
    <t>Total general</t>
  </si>
  <si>
    <t>Cuenta de Nº Legajo Conductor</t>
  </si>
  <si>
    <t>Cuenta de Nº Legajo Guarda/ Azafata</t>
  </si>
  <si>
    <t>ACLARACIÓN: las personas que figuran con 1 sólo monitoreo es porque están en el listado para que figure el nombre.</t>
  </si>
  <si>
    <t>CANTIDAD DE MONITOREOS POR CONDUCTOR</t>
  </si>
  <si>
    <t>CANTIDAD DE MONITOREOS POR GUARDA/AZAFATA</t>
  </si>
  <si>
    <t>Blanco</t>
  </si>
  <si>
    <t>GM</t>
  </si>
  <si>
    <t>Malargue-SR</t>
  </si>
  <si>
    <t>FRANCO, HERNAN</t>
  </si>
  <si>
    <t>Mansilla</t>
  </si>
  <si>
    <t>BO</t>
  </si>
  <si>
    <t>ss</t>
  </si>
  <si>
    <t>CATA</t>
  </si>
  <si>
    <t>VEGA CLAUDIO</t>
  </si>
  <si>
    <t>Esquivel</t>
  </si>
  <si>
    <t>unishop</t>
  </si>
  <si>
    <t>Panello R.</t>
  </si>
  <si>
    <t>SR Malargue</t>
  </si>
  <si>
    <t>Pedro Vargas</t>
  </si>
  <si>
    <t>BR</t>
  </si>
  <si>
    <t>Vittorio</t>
  </si>
  <si>
    <t>Buttini</t>
  </si>
  <si>
    <t>Dimarco</t>
  </si>
  <si>
    <t>Kiosco</t>
  </si>
  <si>
    <t>LB</t>
  </si>
  <si>
    <t>AB</t>
  </si>
  <si>
    <t>TSR</t>
  </si>
  <si>
    <t/>
  </si>
  <si>
    <t>L.Perrone</t>
  </si>
  <si>
    <t>TGA</t>
  </si>
  <si>
    <t>F.Bocci</t>
  </si>
  <si>
    <t>TMZA</t>
  </si>
  <si>
    <t>Brincco Natalia</t>
  </si>
  <si>
    <t xml:space="preserve">Realiza Maniobra Brusca </t>
  </si>
  <si>
    <t>Recibe y 
Despide 
Pasajero</t>
  </si>
  <si>
    <t>Recibe y
despide 
pasajeros
al incio del 
Servicio</t>
  </si>
  <si>
    <t>Recibe y
despide 
pasajeros
en el 
recorrido</t>
  </si>
  <si>
    <t>Recibe y
despide 
pasajeros
al final del 
Servicio</t>
  </si>
  <si>
    <t>Escucha de Comentarios con vocabulario inadecuado y en alto volumen</t>
  </si>
  <si>
    <t>Reproduce Pelicula</t>
  </si>
  <si>
    <t>Reproduce el speech y video Institucional subido todos los pasajeros</t>
  </si>
  <si>
    <t>Especificos del Conductor</t>
  </si>
  <si>
    <t>Clausurado</t>
  </si>
  <si>
    <t>Portillo</t>
  </si>
  <si>
    <t>B.Irigoyen</t>
  </si>
  <si>
    <t>Daniela Vilchez</t>
  </si>
  <si>
    <t xml:space="preserve">En boleteria me cobra el pasaje y me sobra 20 pesos, y le doy 80 pesos mas para cargar la tarjeta, cuando me subo al  cole me sale de saldo 36,10 por lo que al parecer solo cargo 50pesos, no 100 pesos. </t>
  </si>
  <si>
    <t xml:space="preserve">Bianco </t>
  </si>
  <si>
    <t>Bocci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</si>
</sst>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h:mm:ss;@"/>
    <numFmt numFmtId="165" formatCode="dd/mm/yyyy;@"/>
  </numFmts>
  <fonts count="20" x14ac:knownFonts="1">
    <font>
      <sz val="11"/>
      <color theme="1"/>
      <name val="Calibri"/>
      <family val="2"/>
      <scheme val="minor"/>
    </font>
    <font>
      <sz val="10"/>
      <name val="Arial"/>
      <family val="2"/>
    </font>
    <font>
      <sz val="11"/>
      <color indexed="8"/>
      <name val="Calibri"/>
      <family val="2"/>
    </font>
    <font>
      <sz val="11"/>
      <color rgb="FF006100"/>
      <name val="Calibri"/>
      <family val="2"/>
      <scheme val="minor"/>
    </font>
    <font>
      <b/>
      <sz val="11"/>
      <color theme="0"/>
      <name val="Calibri"/>
      <family val="2"/>
      <scheme val="minor"/>
    </font>
    <font>
      <sz val="11"/>
      <color rgb="FF9C0006"/>
      <name val="Calibri"/>
      <family val="2"/>
      <scheme val="minor"/>
    </font>
    <font>
      <b/>
      <sz val="11"/>
      <color theme="1"/>
      <name val="Calibri"/>
      <family val="2"/>
      <scheme val="minor"/>
    </font>
    <font>
      <b/>
      <sz val="9"/>
      <color rgb="FF9C0006"/>
      <name val="Calibri"/>
      <family val="2"/>
      <scheme val="minor"/>
    </font>
    <font>
      <b/>
      <sz val="9"/>
      <color rgb="FF006100"/>
      <name val="Calibri"/>
      <family val="2"/>
      <scheme val="minor"/>
    </font>
    <font>
      <b/>
      <sz val="9"/>
      <color theme="1"/>
      <name val="Calibri"/>
      <family val="2"/>
      <scheme val="minor"/>
    </font>
    <font>
      <sz val="11"/>
      <color theme="9" tint="-0.249977111117893"/>
      <name val="Calibri"/>
      <family val="2"/>
      <scheme val="minor"/>
    </font>
    <font>
      <b/>
      <u/>
      <sz val="12"/>
      <color indexed="8"/>
      <name val="Calibri"/>
      <family val="2"/>
      <scheme val="minor"/>
    </font>
    <font>
      <sz val="8"/>
      <color indexed="8"/>
      <name val="Calibri"/>
      <family val="2"/>
      <scheme val="minor"/>
    </font>
    <font>
      <b/>
      <sz val="9"/>
      <name val="Calibri"/>
      <family val="2"/>
      <scheme val="minor"/>
    </font>
    <font>
      <sz val="10"/>
      <name val="Calibri"/>
      <family val="2"/>
      <scheme val="minor"/>
    </font>
    <font>
      <b/>
      <sz val="10"/>
      <color theme="1"/>
      <name val="Calibri"/>
      <family val="2"/>
      <scheme val="minor"/>
    </font>
    <font>
      <sz val="10"/>
      <color theme="1"/>
      <name val="Calibri"/>
      <family val="2"/>
      <scheme val="minor"/>
    </font>
    <font>
      <sz val="9"/>
      <color theme="1"/>
      <name val="Calibri"/>
      <family val="2"/>
      <scheme val="minor"/>
    </font>
    <font>
      <b/>
      <sz val="14"/>
      <color theme="0"/>
      <name val="Calibri"/>
      <family val="2"/>
      <scheme val="minor"/>
    </font>
    <font>
      <sz val="14"/>
      <color theme="1"/>
      <name val="Calibri"/>
      <family val="2"/>
      <scheme val="minor"/>
    </font>
  </fonts>
  <fills count="10">
    <fill>
      <patternFill patternType="none"/>
    </fill>
    <fill>
      <patternFill patternType="gray125"/>
    </fill>
    <fill>
      <patternFill patternType="solid">
        <fgColor rgb="FFC6EFCE"/>
      </patternFill>
    </fill>
    <fill>
      <patternFill patternType="solid">
        <fgColor rgb="FFFFC7CE"/>
      </patternFill>
    </fill>
    <fill>
      <patternFill patternType="solid">
        <fgColor theme="9" tint="-0.249977111117893"/>
        <bgColor indexed="64"/>
      </patternFill>
    </fill>
    <fill>
      <patternFill patternType="solid">
        <fgColor rgb="FFFFFF00"/>
        <bgColor indexed="64"/>
      </patternFill>
    </fill>
    <fill>
      <patternFill patternType="solid">
        <fgColor theme="0" tint="-0.14999847407452621"/>
        <bgColor theme="0" tint="-0.14999847407452621"/>
      </patternFill>
    </fill>
    <fill>
      <patternFill patternType="solid">
        <fgColor theme="0"/>
        <bgColor indexed="64"/>
      </patternFill>
    </fill>
    <fill>
      <patternFill patternType="solid">
        <fgColor theme="4"/>
        <bgColor indexed="64"/>
      </patternFill>
    </fill>
    <fill>
      <patternFill patternType="solid">
        <fgColor theme="9"/>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top/>
      <bottom/>
      <diagonal/>
    </border>
    <border>
      <left/>
      <right style="thin">
        <color indexed="64"/>
      </right>
      <top/>
      <bottom style="thin">
        <color theme="0"/>
      </bottom>
      <diagonal/>
    </border>
    <border>
      <left style="thin">
        <color indexed="64"/>
      </left>
      <right style="thin">
        <color indexed="64"/>
      </right>
      <top/>
      <bottom style="thin">
        <color theme="0"/>
      </bottom>
      <diagonal/>
    </border>
    <border>
      <left style="thin">
        <color indexed="64"/>
      </left>
      <right style="thin">
        <color indexed="64"/>
      </right>
      <top style="thin">
        <color theme="0"/>
      </top>
      <bottom style="thin">
        <color indexed="64"/>
      </bottom>
      <diagonal/>
    </border>
    <border>
      <left style="thin">
        <color indexed="64"/>
      </left>
      <right/>
      <top/>
      <bottom style="thin">
        <color theme="0"/>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top/>
      <bottom style="thin">
        <color theme="0"/>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6">
    <xf numFmtId="0" fontId="0" fillId="0" borderId="0"/>
    <xf numFmtId="0" fontId="3" fillId="2" borderId="0" applyNumberFormat="0" applyBorder="0" applyAlignment="0" applyProtection="0"/>
    <xf numFmtId="0" fontId="2" fillId="0" borderId="0"/>
    <xf numFmtId="0" fontId="5" fillId="3" borderId="0" applyNumberFormat="0" applyBorder="0" applyAlignment="0" applyProtection="0"/>
    <xf numFmtId="0" fontId="1" fillId="0" borderId="0"/>
    <xf numFmtId="0" fontId="1" fillId="0" borderId="0"/>
  </cellStyleXfs>
  <cellXfs count="163">
    <xf numFmtId="0" fontId="0" fillId="0" borderId="0" xfId="0"/>
    <xf numFmtId="0" fontId="7" fillId="0" borderId="1" xfId="3" applyFont="1" applyFill="1" applyBorder="1" applyAlignment="1">
      <alignment horizontal="center" vertical="center" wrapText="1"/>
    </xf>
    <xf numFmtId="0" fontId="8" fillId="0" borderId="1" xfId="1" applyFont="1" applyFill="1" applyBorder="1" applyAlignment="1">
      <alignment horizontal="center" vertical="center" wrapText="1"/>
    </xf>
    <xf numFmtId="0" fontId="9" fillId="0" borderId="0" xfId="0" applyFont="1" applyAlignment="1">
      <alignment horizontal="center"/>
    </xf>
    <xf numFmtId="0" fontId="6" fillId="0" borderId="1" xfId="0" applyFont="1" applyBorder="1" applyAlignment="1">
      <alignment horizontal="center"/>
    </xf>
    <xf numFmtId="0" fontId="6" fillId="0" borderId="0" xfId="0" applyFont="1" applyAlignment="1">
      <alignment horizontal="center"/>
    </xf>
    <xf numFmtId="0" fontId="9" fillId="0" borderId="0" xfId="0" applyFont="1" applyAlignment="1">
      <alignment horizontal="center" wrapText="1"/>
    </xf>
    <xf numFmtId="0" fontId="6" fillId="0" borderId="0" xfId="0" applyFont="1" applyAlignment="1">
      <alignment horizontal="center" wrapText="1"/>
    </xf>
    <xf numFmtId="0" fontId="6" fillId="0" borderId="1" xfId="0" applyFont="1" applyBorder="1" applyAlignment="1">
      <alignment horizontal="center" vertical="center"/>
    </xf>
    <xf numFmtId="0" fontId="6" fillId="0" borderId="0" xfId="0" applyFont="1" applyBorder="1" applyAlignment="1"/>
    <xf numFmtId="0" fontId="0" fillId="0" borderId="0" xfId="0" applyFont="1" applyAlignment="1">
      <alignment horizontal="center"/>
    </xf>
    <xf numFmtId="0" fontId="0" fillId="0" borderId="0" xfId="0" applyFont="1" applyAlignment="1">
      <alignment wrapText="1"/>
    </xf>
    <xf numFmtId="0" fontId="0" fillId="0" borderId="1" xfId="0" applyFont="1" applyBorder="1" applyAlignment="1">
      <alignment horizontal="center"/>
    </xf>
    <xf numFmtId="0" fontId="6" fillId="0" borderId="0" xfId="0" applyFont="1" applyAlignment="1">
      <alignment wrapText="1"/>
    </xf>
    <xf numFmtId="0" fontId="4" fillId="4" borderId="17" xfId="0" applyFont="1" applyFill="1" applyBorder="1" applyAlignment="1">
      <alignment horizontal="center" vertical="center"/>
    </xf>
    <xf numFmtId="0" fontId="4" fillId="4" borderId="18" xfId="0" applyFont="1" applyFill="1" applyBorder="1" applyAlignment="1">
      <alignment horizontal="center" vertical="center"/>
    </xf>
    <xf numFmtId="1" fontId="10" fillId="4" borderId="2" xfId="0" applyNumberFormat="1" applyFont="1" applyFill="1" applyBorder="1"/>
    <xf numFmtId="0" fontId="0" fillId="0" borderId="0" xfId="0" applyFont="1"/>
    <xf numFmtId="1" fontId="11" fillId="5" borderId="4" xfId="0" applyNumberFormat="1" applyFont="1" applyFill="1" applyBorder="1" applyAlignment="1">
      <alignment horizontal="center" vertical="center"/>
    </xf>
    <xf numFmtId="0" fontId="11" fillId="5" borderId="4" xfId="0" applyFont="1" applyFill="1" applyBorder="1" applyAlignment="1">
      <alignment horizontal="center" vertical="center"/>
    </xf>
    <xf numFmtId="0" fontId="11" fillId="5" borderId="5" xfId="0" applyFont="1" applyFill="1" applyBorder="1" applyAlignment="1">
      <alignment horizontal="center" vertical="center"/>
    </xf>
    <xf numFmtId="1" fontId="12" fillId="6" borderId="4" xfId="0" applyNumberFormat="1" applyFont="1" applyFill="1" applyBorder="1" applyAlignment="1">
      <alignment horizontal="center" vertical="center"/>
    </xf>
    <xf numFmtId="0" fontId="12" fillId="6" borderId="4" xfId="0" applyFont="1" applyFill="1" applyBorder="1" applyAlignment="1">
      <alignment horizontal="left" vertical="center"/>
    </xf>
    <xf numFmtId="0" fontId="12" fillId="6" borderId="5" xfId="0" applyFont="1" applyFill="1" applyBorder="1" applyAlignment="1">
      <alignment horizontal="left" vertical="center"/>
    </xf>
    <xf numFmtId="1" fontId="12" fillId="0" borderId="4" xfId="0" applyNumberFormat="1" applyFont="1" applyBorder="1" applyAlignment="1">
      <alignment horizontal="center" vertical="center"/>
    </xf>
    <xf numFmtId="0" fontId="12" fillId="0" borderId="4" xfId="0" applyFont="1" applyBorder="1" applyAlignment="1">
      <alignment horizontal="left" vertical="center"/>
    </xf>
    <xf numFmtId="0" fontId="12" fillId="0" borderId="5" xfId="0" applyFont="1" applyBorder="1" applyAlignment="1">
      <alignment horizontal="left" vertical="center"/>
    </xf>
    <xf numFmtId="0" fontId="0" fillId="0" borderId="3" xfId="0" applyFont="1" applyBorder="1" applyAlignment="1">
      <alignment horizontal="center"/>
    </xf>
    <xf numFmtId="0" fontId="13" fillId="0" borderId="1" xfId="5" applyFont="1" applyFill="1" applyBorder="1" applyAlignment="1">
      <alignment horizontal="center" vertical="center" wrapText="1"/>
    </xf>
    <xf numFmtId="0" fontId="13" fillId="0" borderId="1" xfId="5" applyFont="1" applyFill="1" applyBorder="1" applyAlignment="1">
      <alignment horizontal="center" vertical="center"/>
    </xf>
    <xf numFmtId="0" fontId="13" fillId="7" borderId="1" xfId="5" applyFont="1" applyFill="1" applyBorder="1" applyAlignment="1">
      <alignment horizontal="center" vertical="center"/>
    </xf>
    <xf numFmtId="0" fontId="13" fillId="7" borderId="1" xfId="5" applyFont="1" applyFill="1" applyBorder="1" applyAlignment="1">
      <alignment horizontal="center" vertical="center" wrapText="1"/>
    </xf>
    <xf numFmtId="0" fontId="13" fillId="0" borderId="7" xfId="5" applyFont="1" applyFill="1" applyBorder="1" applyAlignment="1">
      <alignment horizontal="center" vertical="center" wrapText="1"/>
    </xf>
    <xf numFmtId="0" fontId="0" fillId="0" borderId="7" xfId="0" applyFont="1" applyBorder="1" applyAlignment="1">
      <alignment horizontal="center"/>
    </xf>
    <xf numFmtId="0" fontId="13" fillId="7" borderId="6" xfId="5" applyFont="1" applyFill="1" applyBorder="1" applyAlignment="1">
      <alignment horizontal="center" vertical="center" wrapText="1"/>
    </xf>
    <xf numFmtId="0" fontId="9" fillId="0" borderId="7" xfId="0" applyFont="1" applyBorder="1" applyAlignment="1">
      <alignment horizontal="center" vertical="center" wrapText="1"/>
    </xf>
    <xf numFmtId="0" fontId="4" fillId="4" borderId="18" xfId="0" applyFont="1" applyFill="1" applyBorder="1" applyAlignment="1">
      <alignment horizontal="center" vertical="center" wrapText="1"/>
    </xf>
    <xf numFmtId="0" fontId="0" fillId="0" borderId="0" xfId="0" applyBorder="1"/>
    <xf numFmtId="1" fontId="10" fillId="4" borderId="0" xfId="0" applyNumberFormat="1" applyFont="1" applyFill="1" applyBorder="1"/>
    <xf numFmtId="1" fontId="10" fillId="4" borderId="9" xfId="0" applyNumberFormat="1" applyFont="1" applyFill="1" applyBorder="1"/>
    <xf numFmtId="14" fontId="0" fillId="0" borderId="6" xfId="0" applyNumberFormat="1" applyFont="1" applyBorder="1"/>
    <xf numFmtId="14" fontId="0" fillId="0" borderId="10" xfId="0" applyNumberFormat="1" applyFont="1" applyBorder="1"/>
    <xf numFmtId="0" fontId="9" fillId="0" borderId="0" xfId="0" applyFont="1" applyAlignment="1">
      <alignment horizontal="center" vertical="center" wrapText="1"/>
    </xf>
    <xf numFmtId="0" fontId="9" fillId="0" borderId="0" xfId="0" applyFont="1"/>
    <xf numFmtId="0" fontId="9" fillId="0" borderId="8" xfId="0" applyFont="1" applyBorder="1" applyAlignment="1">
      <alignment horizontal="center" vertical="center" wrapText="1"/>
    </xf>
    <xf numFmtId="0" fontId="0" fillId="0" borderId="1" xfId="0" applyBorder="1"/>
    <xf numFmtId="0" fontId="9" fillId="0" borderId="1" xfId="0" applyFont="1" applyBorder="1" applyAlignment="1">
      <alignment horizontal="center" vertical="center" wrapText="1"/>
    </xf>
    <xf numFmtId="0" fontId="9" fillId="0" borderId="7" xfId="0" applyFont="1" applyBorder="1" applyAlignment="1">
      <alignment horizontal="center" vertical="center" wrapText="1"/>
    </xf>
    <xf numFmtId="0" fontId="0" fillId="0" borderId="0" xfId="0" applyAlignment="1">
      <alignment horizontal="center" wrapText="1"/>
    </xf>
    <xf numFmtId="0" fontId="9" fillId="0" borderId="6" xfId="0" applyFont="1" applyBorder="1" applyAlignment="1">
      <alignment horizontal="center" vertical="center" wrapText="1"/>
    </xf>
    <xf numFmtId="0" fontId="0" fillId="0" borderId="19" xfId="0" applyFont="1" applyBorder="1" applyAlignment="1">
      <alignment horizontal="center"/>
    </xf>
    <xf numFmtId="0" fontId="0" fillId="0" borderId="7" xfId="0" applyBorder="1" applyAlignment="1">
      <alignment vertical="center" wrapText="1"/>
    </xf>
    <xf numFmtId="0" fontId="0" fillId="0" borderId="1" xfId="0" applyBorder="1" applyAlignment="1">
      <alignment horizontal="center"/>
    </xf>
    <xf numFmtId="0" fontId="0" fillId="0" borderId="7" xfId="0" applyBorder="1" applyAlignment="1">
      <alignment horizontal="center"/>
    </xf>
    <xf numFmtId="0" fontId="15" fillId="0" borderId="1" xfId="0" applyFont="1" applyBorder="1" applyAlignment="1">
      <alignment horizontal="center" vertical="center"/>
    </xf>
    <xf numFmtId="0" fontId="0" fillId="0" borderId="7" xfId="0" applyFont="1" applyBorder="1" applyAlignment="1">
      <alignment vertical="center"/>
    </xf>
    <xf numFmtId="0" fontId="0" fillId="0" borderId="1" xfId="0" applyFont="1" applyBorder="1" applyAlignment="1">
      <alignment vertical="center"/>
    </xf>
    <xf numFmtId="0" fontId="0" fillId="0" borderId="8" xfId="0" applyFont="1" applyBorder="1" applyAlignment="1">
      <alignment vertical="center"/>
    </xf>
    <xf numFmtId="0" fontId="0" fillId="0" borderId="6" xfId="0" applyFont="1" applyBorder="1" applyAlignment="1">
      <alignment vertical="center"/>
    </xf>
    <xf numFmtId="0" fontId="0" fillId="0" borderId="11" xfId="0" applyFont="1" applyBorder="1" applyAlignment="1">
      <alignment vertical="center"/>
    </xf>
    <xf numFmtId="0" fontId="0" fillId="0" borderId="12" xfId="0" applyFont="1" applyBorder="1" applyAlignment="1">
      <alignment vertical="center"/>
    </xf>
    <xf numFmtId="0" fontId="0" fillId="0" borderId="13" xfId="0" applyFont="1" applyBorder="1" applyAlignment="1">
      <alignment vertical="center"/>
    </xf>
    <xf numFmtId="0" fontId="0" fillId="0" borderId="14" xfId="0" applyFont="1" applyBorder="1" applyAlignment="1">
      <alignment vertical="center"/>
    </xf>
    <xf numFmtId="0" fontId="0" fillId="0" borderId="11" xfId="0" applyFont="1" applyBorder="1" applyAlignment="1">
      <alignment horizontal="center"/>
    </xf>
    <xf numFmtId="0" fontId="6" fillId="0" borderId="8" xfId="0" applyFont="1" applyBorder="1" applyAlignment="1">
      <alignment horizontal="center"/>
    </xf>
    <xf numFmtId="0" fontId="6" fillId="0" borderId="12" xfId="0" applyFont="1" applyBorder="1" applyAlignment="1">
      <alignment horizontal="center"/>
    </xf>
    <xf numFmtId="0" fontId="6" fillId="0" borderId="13" xfId="0" applyFont="1" applyBorder="1" applyAlignment="1">
      <alignment horizontal="center"/>
    </xf>
    <xf numFmtId="1" fontId="16" fillId="7" borderId="7" xfId="0" applyNumberFormat="1" applyFont="1" applyFill="1" applyBorder="1"/>
    <xf numFmtId="0" fontId="16" fillId="0" borderId="1" xfId="0" applyFont="1" applyBorder="1"/>
    <xf numFmtId="0" fontId="16" fillId="7" borderId="1" xfId="0" applyFont="1" applyFill="1" applyBorder="1"/>
    <xf numFmtId="0" fontId="16" fillId="7" borderId="6" xfId="0" applyFont="1" applyFill="1" applyBorder="1"/>
    <xf numFmtId="0" fontId="16" fillId="0" borderId="1" xfId="0" applyFont="1" applyBorder="1" applyAlignment="1">
      <alignment horizontal="center" vertical="center"/>
    </xf>
    <xf numFmtId="14" fontId="16" fillId="0" borderId="1" xfId="0" applyNumberFormat="1" applyFont="1" applyBorder="1" applyAlignment="1">
      <alignment horizontal="center" vertical="center"/>
    </xf>
    <xf numFmtId="1" fontId="16" fillId="0" borderId="1" xfId="0" applyNumberFormat="1" applyFont="1" applyBorder="1" applyAlignment="1">
      <alignment horizontal="center" vertical="center"/>
    </xf>
    <xf numFmtId="164" fontId="16" fillId="0" borderId="1" xfId="0" applyNumberFormat="1" applyFont="1" applyBorder="1" applyAlignment="1">
      <alignment horizontal="center" vertical="center"/>
    </xf>
    <xf numFmtId="0" fontId="15" fillId="0" borderId="1" xfId="0" applyFont="1" applyBorder="1" applyAlignment="1">
      <alignment horizontal="center"/>
    </xf>
    <xf numFmtId="165" fontId="16" fillId="0" borderId="1" xfId="0" applyNumberFormat="1" applyFont="1" applyBorder="1"/>
    <xf numFmtId="0" fontId="16" fillId="0" borderId="6" xfId="0" applyFont="1" applyBorder="1" applyAlignment="1">
      <alignment horizontal="center"/>
    </xf>
    <xf numFmtId="0" fontId="11" fillId="5" borderId="1" xfId="0" applyFont="1" applyFill="1" applyBorder="1" applyAlignment="1">
      <alignment horizontal="center" vertical="center"/>
    </xf>
    <xf numFmtId="0" fontId="12" fillId="6" borderId="1" xfId="0" applyFont="1" applyFill="1" applyBorder="1" applyAlignment="1">
      <alignment horizontal="left" vertical="center"/>
    </xf>
    <xf numFmtId="0" fontId="12" fillId="0" borderId="1" xfId="0" applyFont="1" applyFill="1" applyBorder="1" applyAlignment="1">
      <alignment horizontal="left" vertical="center"/>
    </xf>
    <xf numFmtId="0" fontId="0" fillId="0" borderId="0" xfId="0" applyFont="1" applyAlignment="1">
      <alignment horizontal="left"/>
    </xf>
    <xf numFmtId="0" fontId="0" fillId="0" borderId="0" xfId="0" applyFont="1" applyAlignment="1">
      <alignment horizontal="left" wrapText="1"/>
    </xf>
    <xf numFmtId="0" fontId="13" fillId="0" borderId="1" xfId="5" applyFont="1" applyFill="1" applyBorder="1" applyAlignment="1">
      <alignment horizontal="left" vertical="center" wrapText="1"/>
    </xf>
    <xf numFmtId="0" fontId="0" fillId="0" borderId="1" xfId="0" applyFont="1" applyBorder="1" applyAlignment="1">
      <alignment horizontal="left"/>
    </xf>
    <xf numFmtId="1" fontId="12" fillId="6" borderId="6" xfId="0" applyNumberFormat="1" applyFont="1" applyFill="1" applyBorder="1" applyAlignment="1">
      <alignment horizontal="center" vertical="center"/>
    </xf>
    <xf numFmtId="0" fontId="12" fillId="6" borderId="6" xfId="0" applyFont="1" applyFill="1" applyBorder="1" applyAlignment="1">
      <alignment horizontal="left" vertical="center"/>
    </xf>
    <xf numFmtId="0" fontId="6" fillId="0" borderId="0" xfId="0" applyFont="1" applyFill="1" applyBorder="1" applyAlignment="1">
      <alignment horizontal="center"/>
    </xf>
    <xf numFmtId="0" fontId="0" fillId="0" borderId="0" xfId="0" applyFont="1" applyAlignment="1">
      <alignment horizontal="left" vertical="center"/>
    </xf>
    <xf numFmtId="0" fontId="17" fillId="0" borderId="8" xfId="0" applyFont="1" applyBorder="1" applyAlignment="1">
      <alignment vertical="center" wrapText="1"/>
    </xf>
    <xf numFmtId="0" fontId="0" fillId="0" borderId="0" xfId="0" applyFont="1" applyAlignment="1">
      <alignment vertical="center" wrapText="1"/>
    </xf>
    <xf numFmtId="0" fontId="0" fillId="0" borderId="0" xfId="0"/>
    <xf numFmtId="0" fontId="6" fillId="0" borderId="1" xfId="0" applyFont="1" applyBorder="1" applyAlignment="1">
      <alignment horizontal="center"/>
    </xf>
    <xf numFmtId="0" fontId="6" fillId="0" borderId="1" xfId="0" applyFont="1" applyBorder="1" applyAlignment="1">
      <alignment horizontal="center" vertical="center"/>
    </xf>
    <xf numFmtId="0" fontId="0" fillId="0" borderId="1" xfId="0" applyFont="1" applyBorder="1"/>
    <xf numFmtId="0" fontId="0" fillId="0" borderId="7" xfId="0" applyFont="1" applyBorder="1" applyAlignment="1">
      <alignment horizontal="center"/>
    </xf>
    <xf numFmtId="0" fontId="13" fillId="0" borderId="8" xfId="5" applyFont="1" applyFill="1" applyBorder="1" applyAlignment="1">
      <alignment horizontal="center" vertical="center" wrapText="1"/>
    </xf>
    <xf numFmtId="0" fontId="16" fillId="0" borderId="1" xfId="0" applyFont="1" applyBorder="1"/>
    <xf numFmtId="0" fontId="16" fillId="7" borderId="1" xfId="0" applyFont="1" applyFill="1" applyBorder="1" applyAlignment="1">
      <alignment horizontal="center" vertical="center"/>
    </xf>
    <xf numFmtId="20" fontId="16" fillId="7" borderId="1" xfId="0" applyNumberFormat="1" applyFont="1" applyFill="1" applyBorder="1" applyAlignment="1">
      <alignment horizontal="center" vertical="center"/>
    </xf>
    <xf numFmtId="20" fontId="16" fillId="7" borderId="6" xfId="0" applyNumberFormat="1" applyFont="1" applyFill="1" applyBorder="1" applyAlignment="1">
      <alignment horizontal="center" vertical="center"/>
    </xf>
    <xf numFmtId="0" fontId="0" fillId="0" borderId="0" xfId="0" applyFont="1" applyAlignment="1">
      <alignment horizontal="left"/>
    </xf>
    <xf numFmtId="0" fontId="13" fillId="0" borderId="1" xfId="5" applyFont="1" applyFill="1" applyBorder="1" applyAlignment="1">
      <alignment horizontal="left" vertical="center" wrapText="1"/>
    </xf>
    <xf numFmtId="0" fontId="0" fillId="0" borderId="1" xfId="0" applyFont="1" applyBorder="1" applyAlignment="1">
      <alignment horizontal="left"/>
    </xf>
    <xf numFmtId="0" fontId="0" fillId="0" borderId="1" xfId="0" applyFont="1" applyBorder="1" applyAlignment="1">
      <alignment horizontal="left" vertical="center"/>
    </xf>
    <xf numFmtId="0" fontId="0" fillId="0" borderId="0" xfId="0" applyFont="1" applyAlignment="1">
      <alignment horizontal="left" vertical="center" wrapText="1"/>
    </xf>
    <xf numFmtId="0" fontId="13" fillId="0" borderId="6" xfId="5" applyFont="1" applyFill="1" applyBorder="1" applyAlignment="1">
      <alignment horizontal="left" vertical="center" wrapText="1"/>
    </xf>
    <xf numFmtId="0" fontId="17" fillId="0" borderId="6" xfId="0" applyFont="1" applyBorder="1" applyAlignment="1">
      <alignment horizontal="left" vertical="center"/>
    </xf>
    <xf numFmtId="0" fontId="6" fillId="0" borderId="0" xfId="0" applyFont="1" applyBorder="1" applyAlignment="1">
      <alignment horizontal="left"/>
    </xf>
    <xf numFmtId="0" fontId="4" fillId="4" borderId="18" xfId="0" applyFont="1" applyFill="1" applyBorder="1" applyAlignment="1">
      <alignment horizontal="left" vertical="center"/>
    </xf>
    <xf numFmtId="1" fontId="10" fillId="4" borderId="3" xfId="0" applyNumberFormat="1" applyFont="1" applyFill="1" applyBorder="1" applyAlignment="1">
      <alignment horizontal="left"/>
    </xf>
    <xf numFmtId="14" fontId="0" fillId="0" borderId="6" xfId="0" applyNumberFormat="1" applyFont="1" applyBorder="1" applyAlignment="1">
      <alignment horizontal="left"/>
    </xf>
    <xf numFmtId="0" fontId="14" fillId="0" borderId="3" xfId="0" applyFont="1" applyFill="1" applyBorder="1" applyAlignment="1">
      <alignment horizontal="left" vertical="center"/>
    </xf>
    <xf numFmtId="0" fontId="6" fillId="0" borderId="8" xfId="0" applyFont="1" applyBorder="1" applyAlignment="1">
      <alignment horizontal="center" vertical="center"/>
    </xf>
    <xf numFmtId="0" fontId="0" fillId="0" borderId="0" xfId="0" applyFill="1" applyAlignment="1">
      <alignment horizontal="center"/>
    </xf>
    <xf numFmtId="0" fontId="0" fillId="0" borderId="7" xfId="0" applyBorder="1" applyAlignment="1">
      <alignment vertical="center"/>
    </xf>
    <xf numFmtId="0" fontId="0" fillId="0" borderId="1" xfId="0" applyBorder="1" applyAlignment="1">
      <alignment vertical="center"/>
    </xf>
    <xf numFmtId="0" fontId="0" fillId="0" borderId="6" xfId="0" applyBorder="1" applyAlignment="1">
      <alignment vertical="center"/>
    </xf>
    <xf numFmtId="0" fontId="0" fillId="0" borderId="8" xfId="0" applyBorder="1" applyAlignment="1">
      <alignment vertical="center"/>
    </xf>
    <xf numFmtId="1" fontId="12" fillId="0" borderId="16" xfId="0" applyNumberFormat="1" applyFont="1" applyFill="1" applyBorder="1" applyAlignment="1">
      <alignment horizontal="center" vertical="center"/>
    </xf>
    <xf numFmtId="0" fontId="12" fillId="0" borderId="16" xfId="0" applyFont="1" applyFill="1" applyBorder="1" applyAlignment="1">
      <alignment horizontal="left" vertical="center"/>
    </xf>
    <xf numFmtId="0" fontId="12" fillId="0" borderId="9" xfId="0" applyFont="1" applyFill="1" applyBorder="1" applyAlignment="1">
      <alignment horizontal="left" vertical="center"/>
    </xf>
    <xf numFmtId="1" fontId="12" fillId="6" borderId="16" xfId="0" applyNumberFormat="1" applyFont="1" applyFill="1" applyBorder="1" applyAlignment="1">
      <alignment horizontal="center" vertical="center"/>
    </xf>
    <xf numFmtId="0" fontId="12" fillId="6" borderId="16" xfId="0" applyFont="1" applyFill="1" applyBorder="1" applyAlignment="1">
      <alignment horizontal="left" vertical="center"/>
    </xf>
    <xf numFmtId="0" fontId="12" fillId="6" borderId="9" xfId="0" applyFont="1" applyFill="1" applyBorder="1" applyAlignment="1">
      <alignment horizontal="left" vertical="center"/>
    </xf>
    <xf numFmtId="0" fontId="19" fillId="0" borderId="0" xfId="0" applyFont="1"/>
    <xf numFmtId="0" fontId="19" fillId="0" borderId="0" xfId="0" pivotButton="1" applyFont="1"/>
    <xf numFmtId="0" fontId="19" fillId="0" borderId="0" xfId="0" applyFont="1" applyAlignment="1">
      <alignment horizontal="left"/>
    </xf>
    <xf numFmtId="0" fontId="19" fillId="0" borderId="0" xfId="0" applyNumberFormat="1" applyFont="1"/>
    <xf numFmtId="0" fontId="17" fillId="0" borderId="8" xfId="0" applyNumberFormat="1" applyFont="1" applyBorder="1" applyAlignment="1">
      <alignment vertical="center" wrapText="1"/>
    </xf>
    <xf numFmtId="20" fontId="16" fillId="7" borderId="1" xfId="0" applyNumberFormat="1" applyFont="1" applyFill="1" applyBorder="1"/>
    <xf numFmtId="20" fontId="16" fillId="7" borderId="1" xfId="0" applyNumberFormat="1" applyFont="1" applyFill="1" applyBorder="1" applyAlignment="1"/>
    <xf numFmtId="14" fontId="16" fillId="0" borderId="1" xfId="0" applyNumberFormat="1" applyFont="1" applyBorder="1"/>
    <xf numFmtId="20" fontId="16" fillId="7" borderId="6" xfId="0" applyNumberFormat="1" applyFont="1" applyFill="1" applyBorder="1"/>
    <xf numFmtId="14" fontId="9" fillId="0" borderId="1" xfId="0" applyNumberFormat="1" applyFont="1" applyBorder="1" applyAlignment="1">
      <alignment horizontal="center" vertical="center" wrapText="1"/>
    </xf>
    <xf numFmtId="14" fontId="0" fillId="0" borderId="0" xfId="0" applyNumberFormat="1"/>
    <xf numFmtId="14" fontId="15" fillId="0" borderId="1" xfId="0" applyNumberFormat="1" applyFont="1" applyBorder="1" applyAlignment="1">
      <alignment horizontal="center" vertical="center"/>
    </xf>
    <xf numFmtId="49" fontId="16" fillId="7" borderId="1" xfId="0" applyNumberFormat="1" applyFont="1" applyFill="1" applyBorder="1"/>
    <xf numFmtId="0" fontId="13" fillId="0" borderId="5" xfId="3" applyFont="1" applyFill="1" applyBorder="1" applyAlignment="1">
      <alignment horizontal="center" vertical="center" wrapText="1"/>
    </xf>
    <xf numFmtId="0" fontId="16" fillId="0" borderId="1" xfId="0" applyFont="1" applyBorder="1" applyAlignment="1"/>
    <xf numFmtId="14" fontId="16" fillId="0" borderId="1" xfId="0" applyNumberFormat="1" applyFont="1" applyBorder="1" applyAlignment="1"/>
    <xf numFmtId="0" fontId="16" fillId="7" borderId="1" xfId="0" applyFont="1" applyFill="1" applyBorder="1" applyAlignment="1"/>
    <xf numFmtId="20" fontId="16" fillId="7" borderId="6" xfId="0" applyNumberFormat="1" applyFont="1" applyFill="1" applyBorder="1" applyAlignment="1"/>
    <xf numFmtId="1" fontId="16" fillId="7" borderId="7" xfId="0" applyNumberFormat="1" applyFont="1" applyFill="1" applyBorder="1" applyAlignment="1"/>
    <xf numFmtId="0" fontId="0" fillId="0" borderId="1" xfId="0" applyBorder="1" applyAlignment="1"/>
    <xf numFmtId="0" fontId="17" fillId="0" borderId="8" xfId="0" applyFont="1" applyBorder="1" applyAlignment="1">
      <alignment vertical="center"/>
    </xf>
    <xf numFmtId="0" fontId="0" fillId="0" borderId="0" xfId="0" applyFont="1" applyAlignment="1"/>
    <xf numFmtId="0" fontId="0" fillId="0" borderId="0" xfId="0" applyAlignment="1"/>
    <xf numFmtId="0" fontId="13" fillId="0" borderId="1" xfId="3" applyFont="1" applyFill="1" applyBorder="1" applyAlignment="1">
      <alignment horizontal="center" vertical="center" wrapText="1"/>
    </xf>
    <xf numFmtId="0" fontId="18" fillId="8" borderId="15" xfId="5" applyFont="1" applyFill="1" applyBorder="1" applyAlignment="1">
      <alignment horizontal="center" vertical="center"/>
    </xf>
    <xf numFmtId="0" fontId="4" fillId="4" borderId="18" xfId="5" applyFont="1" applyFill="1" applyBorder="1" applyAlignment="1">
      <alignment horizontal="center" vertical="center"/>
    </xf>
    <xf numFmtId="0" fontId="4" fillId="4" borderId="20" xfId="5" applyFont="1" applyFill="1" applyBorder="1" applyAlignment="1">
      <alignment horizontal="center" vertical="center"/>
    </xf>
    <xf numFmtId="0" fontId="0" fillId="0" borderId="21" xfId="0" applyFont="1" applyBorder="1" applyAlignment="1">
      <alignment horizontal="center"/>
    </xf>
    <xf numFmtId="0" fontId="0" fillId="0" borderId="22" xfId="0" applyFont="1" applyBorder="1" applyAlignment="1">
      <alignment horizontal="center"/>
    </xf>
    <xf numFmtId="0" fontId="4" fillId="4" borderId="20" xfId="5" applyFont="1" applyFill="1" applyBorder="1" applyAlignment="1">
      <alignment horizontal="center" vertical="center" wrapText="1"/>
    </xf>
    <xf numFmtId="0" fontId="4" fillId="4" borderId="23" xfId="5" applyFont="1" applyFill="1" applyBorder="1" applyAlignment="1">
      <alignment horizontal="center" vertical="center" wrapText="1"/>
    </xf>
    <xf numFmtId="0" fontId="4" fillId="4" borderId="16" xfId="0" applyFont="1" applyFill="1" applyBorder="1" applyAlignment="1">
      <alignment horizontal="center" vertical="center" wrapText="1"/>
    </xf>
    <xf numFmtId="0" fontId="4" fillId="4" borderId="0" xfId="0" applyFont="1" applyFill="1" applyBorder="1" applyAlignment="1">
      <alignment horizontal="center" vertical="center" wrapText="1"/>
    </xf>
    <xf numFmtId="0" fontId="0" fillId="0" borderId="21" xfId="0" applyBorder="1" applyAlignment="1">
      <alignment horizontal="center"/>
    </xf>
    <xf numFmtId="0" fontId="0" fillId="0" borderId="22" xfId="0" applyBorder="1" applyAlignment="1">
      <alignment horizontal="center"/>
    </xf>
    <xf numFmtId="0" fontId="0" fillId="5" borderId="0" xfId="0" applyFill="1" applyAlignment="1">
      <alignment horizontal="center"/>
    </xf>
    <xf numFmtId="0" fontId="18" fillId="9" borderId="24" xfId="0" applyFont="1" applyFill="1" applyBorder="1" applyAlignment="1">
      <alignment horizontal="center"/>
    </xf>
    <xf numFmtId="0" fontId="18" fillId="9" borderId="25" xfId="0" applyFont="1" applyFill="1" applyBorder="1" applyAlignment="1">
      <alignment horizontal="center"/>
    </xf>
  </cellXfs>
  <cellStyles count="6">
    <cellStyle name="Bueno" xfId="1" builtinId="26"/>
    <cellStyle name="Excel Built-in Normal" xfId="2" xr:uid="{00000000-0005-0000-0000-000001000000}"/>
    <cellStyle name="Incorrecto" xfId="3" builtinId="27"/>
    <cellStyle name="Normal" xfId="0" builtinId="0"/>
    <cellStyle name="Normal 2" xfId="4" xr:uid="{00000000-0005-0000-0000-000004000000}"/>
    <cellStyle name="Normal_Hoja1" xfId="5" xr:uid="{00000000-0005-0000-0000-000005000000}"/>
  </cellStyles>
  <dxfs count="26">
    <dxf>
      <font>
        <sz val="14"/>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2.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1.xml"/><Relationship Id="rId1" Type="http://schemas.openxmlformats.org/officeDocument/2006/relationships/chartsheet" Target="chartsheets/sheet1.xml"/><Relationship Id="rId6" Type="http://schemas.openxmlformats.org/officeDocument/2006/relationships/worksheet" Target="worksheets/sheet5.xml"/><Relationship Id="rId11" Type="http://schemas.openxmlformats.org/officeDocument/2006/relationships/calcChain" Target="calcChain.xml"/><Relationship Id="rId5" Type="http://schemas.openxmlformats.org/officeDocument/2006/relationships/worksheet" Target="worksheets/sheet4.xml"/><Relationship Id="rId10" Type="http://schemas.openxmlformats.org/officeDocument/2006/relationships/sharedStrings" Target="sharedStrings.xml"/><Relationship Id="rId4" Type="http://schemas.openxmlformats.org/officeDocument/2006/relationships/worksheet" Target="worksheets/sheet3.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92648960"/>
        <c:axId val="102941248"/>
      </c:barChart>
      <c:catAx>
        <c:axId val="92648960"/>
        <c:scaling>
          <c:orientation val="minMax"/>
        </c:scaling>
        <c:delete val="0"/>
        <c:axPos val="b"/>
        <c:majorTickMark val="out"/>
        <c:minorTickMark val="none"/>
        <c:tickLblPos val="nextTo"/>
        <c:txPr>
          <a:bodyPr/>
          <a:lstStyle/>
          <a:p>
            <a:pPr>
              <a:defRPr lang="es-AR"/>
            </a:pPr>
            <a:endParaRPr lang="es-AR"/>
          </a:p>
        </c:txPr>
        <c:crossAx val="102941248"/>
        <c:crosses val="autoZero"/>
        <c:auto val="1"/>
        <c:lblAlgn val="ctr"/>
        <c:lblOffset val="100"/>
        <c:noMultiLvlLbl val="0"/>
      </c:catAx>
      <c:valAx>
        <c:axId val="102941248"/>
        <c:scaling>
          <c:orientation val="minMax"/>
        </c:scaling>
        <c:delete val="0"/>
        <c:axPos val="l"/>
        <c:majorGridlines/>
        <c:majorTickMark val="out"/>
        <c:minorTickMark val="none"/>
        <c:tickLblPos val="nextTo"/>
        <c:txPr>
          <a:bodyPr/>
          <a:lstStyle/>
          <a:p>
            <a:pPr>
              <a:defRPr lang="es-AR"/>
            </a:pPr>
            <a:endParaRPr lang="es-AR"/>
          </a:p>
        </c:txPr>
        <c:crossAx val="92648960"/>
        <c:crosses val="autoZero"/>
        <c:crossBetween val="between"/>
      </c:valAx>
    </c:plotArea>
    <c:legend>
      <c:legendPos val="r"/>
      <c:overlay val="0"/>
      <c:txPr>
        <a:bodyPr/>
        <a:lstStyle/>
        <a:p>
          <a:pPr>
            <a:defRPr lang="es-AR"/>
          </a:pPr>
          <a:endParaRPr lang="es-AR"/>
        </a:p>
      </c:txPr>
    </c:legend>
    <c:plotVisOnly val="1"/>
    <c:dispBlanksAs val="gap"/>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000-000000000000}">
  <sheetPr codeName="Gráfico1"/>
  <sheetViews>
    <sheetView zoomScale="55"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absoluteAnchor>
    <xdr:pos x="0" y="0"/>
    <xdr:ext cx="9299864" cy="6061364"/>
    <xdr:graphicFrame macro="">
      <xdr:nvGraphicFramePr>
        <xdr:cNvPr id="2" name="1 Gráfico">
          <a:extLst>
            <a:ext uri="{FF2B5EF4-FFF2-40B4-BE49-F238E27FC236}">
              <a16:creationId xmlns:a16="http://schemas.microsoft.com/office/drawing/2014/main" id="{00000000-0008-0000-0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7</xdr:col>
      <xdr:colOff>66675</xdr:colOff>
      <xdr:row>2</xdr:row>
      <xdr:rowOff>858</xdr:rowOff>
    </xdr:from>
    <xdr:to>
      <xdr:col>8</xdr:col>
      <xdr:colOff>209550</xdr:colOff>
      <xdr:row>3</xdr:row>
      <xdr:rowOff>180975</xdr:rowOff>
    </xdr:to>
    <xdr:sp macro="[0]!AIO_Conductores" textlink="">
      <xdr:nvSpPr>
        <xdr:cNvPr id="4" name="3 Redondear rectángulo de esquina sencilla">
          <a:extLst>
            <a:ext uri="{FF2B5EF4-FFF2-40B4-BE49-F238E27FC236}">
              <a16:creationId xmlns:a16="http://schemas.microsoft.com/office/drawing/2014/main" id="{00000000-0008-0000-0100-000004000000}"/>
            </a:ext>
          </a:extLst>
        </xdr:cNvPr>
        <xdr:cNvSpPr/>
      </xdr:nvSpPr>
      <xdr:spPr>
        <a:xfrm>
          <a:off x="4772025" y="381858"/>
          <a:ext cx="1123950" cy="618267"/>
        </a:xfrm>
        <a:prstGeom prst="round1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AR" sz="1100" b="1"/>
            <a:t>Exportar Conductor</a:t>
          </a:r>
        </a:p>
      </xdr:txBody>
    </xdr:sp>
    <xdr:clientData/>
  </xdr:twoCellAnchor>
  <xdr:twoCellAnchor>
    <xdr:from>
      <xdr:col>15</xdr:col>
      <xdr:colOff>76200</xdr:colOff>
      <xdr:row>2</xdr:row>
      <xdr:rowOff>858</xdr:rowOff>
    </xdr:from>
    <xdr:to>
      <xdr:col>16</xdr:col>
      <xdr:colOff>0</xdr:colOff>
      <xdr:row>3</xdr:row>
      <xdr:rowOff>190499</xdr:rowOff>
    </xdr:to>
    <xdr:sp macro="[0]!AIO_Azafatas" textlink="">
      <xdr:nvSpPr>
        <xdr:cNvPr id="6" name="5 Redondear rectángulo de esquina sencilla">
          <a:extLst>
            <a:ext uri="{FF2B5EF4-FFF2-40B4-BE49-F238E27FC236}">
              <a16:creationId xmlns:a16="http://schemas.microsoft.com/office/drawing/2014/main" id="{00000000-0008-0000-0100-000006000000}"/>
            </a:ext>
          </a:extLst>
        </xdr:cNvPr>
        <xdr:cNvSpPr/>
      </xdr:nvSpPr>
      <xdr:spPr>
        <a:xfrm>
          <a:off x="11353800" y="381858"/>
          <a:ext cx="1123950" cy="627791"/>
        </a:xfrm>
        <a:prstGeom prst="round1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AR" sz="1100" b="1"/>
            <a:t>Exportar Azafata/</a:t>
          </a:r>
          <a:r>
            <a:rPr lang="es-AR" sz="1100" b="1" baseline="0"/>
            <a:t> Guarda</a:t>
          </a:r>
          <a:endParaRPr lang="es-AR" sz="1100" b="1"/>
        </a:p>
      </xdr:txBody>
    </xdr:sp>
    <xdr:clientData/>
  </xdr:twoCellAnchor>
  <xdr:twoCellAnchor editAs="oneCell">
    <xdr:from>
      <xdr:col>48</xdr:col>
      <xdr:colOff>9525</xdr:colOff>
      <xdr:row>3</xdr:row>
      <xdr:rowOff>47625</xdr:rowOff>
    </xdr:from>
    <xdr:to>
      <xdr:col>52</xdr:col>
      <xdr:colOff>571500</xdr:colOff>
      <xdr:row>6</xdr:row>
      <xdr:rowOff>292677</xdr:rowOff>
    </xdr:to>
    <xdr:pic>
      <xdr:nvPicPr>
        <xdr:cNvPr id="1364" name="4 Imagen">
          <a:extLst>
            <a:ext uri="{FF2B5EF4-FFF2-40B4-BE49-F238E27FC236}">
              <a16:creationId xmlns:a16="http://schemas.microsoft.com/office/drawing/2014/main" id="{00000000-0008-0000-0100-00005405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61075" y="866775"/>
          <a:ext cx="2305050"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76</xdr:col>
      <xdr:colOff>9525</xdr:colOff>
      <xdr:row>3</xdr:row>
      <xdr:rowOff>38100</xdr:rowOff>
    </xdr:from>
    <xdr:to>
      <xdr:col>80</xdr:col>
      <xdr:colOff>152400</xdr:colOff>
      <xdr:row>6</xdr:row>
      <xdr:rowOff>283152</xdr:rowOff>
    </xdr:to>
    <xdr:pic>
      <xdr:nvPicPr>
        <xdr:cNvPr id="1365" name="8 Imagen">
          <a:extLst>
            <a:ext uri="{FF2B5EF4-FFF2-40B4-BE49-F238E27FC236}">
              <a16:creationId xmlns:a16="http://schemas.microsoft.com/office/drawing/2014/main" id="{00000000-0008-0000-0100-00005505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6334600" y="857250"/>
          <a:ext cx="2305050"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5</xdr:row>
      <xdr:rowOff>190499</xdr:rowOff>
    </xdr:from>
    <xdr:to>
      <xdr:col>4</xdr:col>
      <xdr:colOff>828675</xdr:colOff>
      <xdr:row>6</xdr:row>
      <xdr:rowOff>295274</xdr:rowOff>
    </xdr:to>
    <xdr:sp macro="[0]!NuevoMonitoreo" textlink="">
      <xdr:nvSpPr>
        <xdr:cNvPr id="8" name="7 Redondear rectángulo de esquina sencilla">
          <a:extLst>
            <a:ext uri="{FF2B5EF4-FFF2-40B4-BE49-F238E27FC236}">
              <a16:creationId xmlns:a16="http://schemas.microsoft.com/office/drawing/2014/main" id="{00000000-0008-0000-0100-000008000000}"/>
            </a:ext>
          </a:extLst>
        </xdr:cNvPr>
        <xdr:cNvSpPr/>
      </xdr:nvSpPr>
      <xdr:spPr>
        <a:xfrm>
          <a:off x="266700" y="1390649"/>
          <a:ext cx="3200400" cy="295275"/>
        </a:xfrm>
        <a:prstGeom prst="round1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AR" sz="1100" b="1"/>
            <a:t>Nuevo Monitor</a:t>
          </a:r>
          <a:r>
            <a:rPr lang="es-AR" sz="1100" b="1" i="0"/>
            <a:t>e</a:t>
          </a:r>
          <a:r>
            <a:rPr lang="es-AR" sz="1100" b="1"/>
            <a:t>o</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35</xdr:col>
      <xdr:colOff>9525</xdr:colOff>
      <xdr:row>3</xdr:row>
      <xdr:rowOff>66675</xdr:rowOff>
    </xdr:from>
    <xdr:to>
      <xdr:col>39</xdr:col>
      <xdr:colOff>104775</xdr:colOff>
      <xdr:row>6</xdr:row>
      <xdr:rowOff>304800</xdr:rowOff>
    </xdr:to>
    <xdr:pic>
      <xdr:nvPicPr>
        <xdr:cNvPr id="2161" name="2 Imagen">
          <a:extLst>
            <a:ext uri="{FF2B5EF4-FFF2-40B4-BE49-F238E27FC236}">
              <a16:creationId xmlns:a16="http://schemas.microsoft.com/office/drawing/2014/main" id="{00000000-0008-0000-0200-00007108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5326975" y="885825"/>
          <a:ext cx="2305050"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66675</xdr:colOff>
      <xdr:row>2</xdr:row>
      <xdr:rowOff>0</xdr:rowOff>
    </xdr:from>
    <xdr:to>
      <xdr:col>8</xdr:col>
      <xdr:colOff>257175</xdr:colOff>
      <xdr:row>3</xdr:row>
      <xdr:rowOff>189641</xdr:rowOff>
    </xdr:to>
    <xdr:sp macro="[0]!AIO_Unidad_Servicio" textlink="">
      <xdr:nvSpPr>
        <xdr:cNvPr id="4" name="3 Redondear rectángulo de esquina sencilla">
          <a:extLst>
            <a:ext uri="{FF2B5EF4-FFF2-40B4-BE49-F238E27FC236}">
              <a16:creationId xmlns:a16="http://schemas.microsoft.com/office/drawing/2014/main" id="{00000000-0008-0000-0200-000004000000}"/>
            </a:ext>
          </a:extLst>
        </xdr:cNvPr>
        <xdr:cNvSpPr/>
      </xdr:nvSpPr>
      <xdr:spPr>
        <a:xfrm>
          <a:off x="3190875" y="381000"/>
          <a:ext cx="1123950" cy="627791"/>
        </a:xfrm>
        <a:prstGeom prst="round1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AR" sz="1100" b="1"/>
            <a:t>Exportar</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26</xdr:col>
      <xdr:colOff>9525</xdr:colOff>
      <xdr:row>2</xdr:row>
      <xdr:rowOff>371475</xdr:rowOff>
    </xdr:from>
    <xdr:to>
      <xdr:col>29</xdr:col>
      <xdr:colOff>371475</xdr:colOff>
      <xdr:row>6</xdr:row>
      <xdr:rowOff>171450</xdr:rowOff>
    </xdr:to>
    <xdr:pic>
      <xdr:nvPicPr>
        <xdr:cNvPr id="3201" name="2 Imagen">
          <a:extLst>
            <a:ext uri="{FF2B5EF4-FFF2-40B4-BE49-F238E27FC236}">
              <a16:creationId xmlns:a16="http://schemas.microsoft.com/office/drawing/2014/main" id="{00000000-0008-0000-0300-0000810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764125" y="752475"/>
          <a:ext cx="2305050"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19050</xdr:colOff>
      <xdr:row>1</xdr:row>
      <xdr:rowOff>76200</xdr:rowOff>
    </xdr:from>
    <xdr:to>
      <xdr:col>4</xdr:col>
      <xdr:colOff>542925</xdr:colOff>
      <xdr:row>4</xdr:row>
      <xdr:rowOff>180975</xdr:rowOff>
    </xdr:to>
    <xdr:pic>
      <xdr:nvPicPr>
        <xdr:cNvPr id="3202" name="3 Imagen">
          <a:extLst>
            <a:ext uri="{FF2B5EF4-FFF2-40B4-BE49-F238E27FC236}">
              <a16:creationId xmlns:a16="http://schemas.microsoft.com/office/drawing/2014/main" id="{00000000-0008-0000-0300-0000820C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66700" y="266700"/>
          <a:ext cx="2609850"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io Galdón" refreshedDate="43113.412893402776" createdVersion="4" refreshedVersion="4" minRefreshableVersion="3" recordCount="301" xr:uid="{00000000-000A-0000-FFFF-FFFF00000000}">
  <cacheSource type="worksheet">
    <worksheetSource ref="B8:AN8" sheet="Conductor-Guarda-Azafata"/>
  </cacheSource>
  <cacheFields count="40">
    <cacheField name="Nº" numFmtId="0">
      <sharedItems containsMixedTypes="1" containsNumber="1" containsInteger="1" minValue="1" maxValue="438"/>
    </cacheField>
    <cacheField name="Monit nº" numFmtId="0">
      <sharedItems/>
    </cacheField>
    <cacheField name="Nº _x000a_Orden" numFmtId="0">
      <sharedItems containsBlank="1"/>
    </cacheField>
    <cacheField name="Fecha" numFmtId="0">
      <sharedItems containsDate="1" containsMixedTypes="1" minDate="1899-12-30T00:00:00" maxDate="2016-06-28T00:00:00"/>
    </cacheField>
    <cacheField name="Unidad" numFmtId="0">
      <sharedItems containsBlank="1" containsMixedTypes="1" containsNumber="1" containsInteger="1" minValue="0" maxValue="116"/>
    </cacheField>
    <cacheField name="Servicio" numFmtId="0">
      <sharedItems containsMixedTypes="1" containsNumber="1" containsInteger="1" minValue="0" maxValue="0"/>
    </cacheField>
    <cacheField name="Hora _x000a_Servicio" numFmtId="0">
      <sharedItems containsDate="1" containsMixedTypes="1" minDate="1899-12-30T00:00:00" maxDate="1899-12-31T00:00:00"/>
    </cacheField>
    <cacheField name="Horario_x000a_Salida" numFmtId="0">
      <sharedItems containsDate="1" containsMixedTypes="1" minDate="1899-12-30T00:00:00" maxDate="1903-04-02T00:00:00"/>
    </cacheField>
    <cacheField name="Nº Legajo Conductor" numFmtId="0">
      <sharedItems containsSemiMixedTypes="0" containsString="0" containsNumber="1" containsInteger="1" minValue="36" maxValue="1314"/>
    </cacheField>
    <cacheField name="Apellido y Nombre Conductor" numFmtId="0">
      <sharedItems containsBlank="1" count="148">
        <s v="CASTILLA, ANDRES ANGEL"/>
        <s v="MARIN, NESTOR"/>
        <s v="ALBORNOZ, OSCAR PEDRO"/>
        <s v="GARRIDO, JOSE ALBERTO"/>
        <s v="JOVIC, FERNANDO JAVIER"/>
        <s v="BENSI, ENZO PEDRO"/>
        <s v="SANCHEZ, JUAN CARLOS"/>
        <s v="ZALLOCCO, FLAVIO"/>
        <s v="ESPASANDIN, ISAIAS PEDRO"/>
        <s v="RIVAS, CESAR ADRIAN"/>
        <s v="FUNCIA, ALBERTO RODOLFO"/>
        <s v="REYES, ALEJANDRO"/>
        <s v="BUTTINI, JOSE LUIS"/>
        <s v="MARTINEZ, GONZALO ALFREDO"/>
        <s v="GONZALEZ, JORGE DAVID"/>
        <s v="STILO, CESAR ARIEL"/>
        <s v="TAPIA, CLAUDIO CESAR"/>
        <s v="BRAVO, MARCELO CONRADO"/>
        <s v="CORREA, MARIO ERNESTO"/>
        <s v="CORREA, SERGIO ANTONIO"/>
        <s v="VALENZUELA, MARIO ORLANDO"/>
        <s v="FORTE, MARIO LUIS"/>
        <s v="MARIN, LUIS ALBERTO"/>
        <s v="VARGAS, FLAVIO FRANCISCO"/>
        <s v="MARTINEZ, PABLO RODOLFO"/>
        <s v="ABALLAY, SERGIO GUSTAVO JAVIER"/>
        <s v="ALANIZ, FERNANDO PABLO"/>
        <s v="ALDAVE, RAUL IGNACIO"/>
        <s v="ARAYA, MONICA BEATRIZ"/>
        <s v="BIBANCO, CYNTHIA DANIELA"/>
        <s v="BIELLI, ELINA"/>
        <s v="CAMPOS, GABRIEL MARCELO"/>
        <s v="CORNEJO, MARIA SOLEDAD"/>
        <s v="CRUZATE, SERGIO SEBASTIAN"/>
        <s v="GALDEANO, CESAR EDGARDO"/>
        <s v="JUAREZ, NANCY ELIZABETH"/>
        <s v="MORALES, VICTOR HUGO"/>
        <s v="ORTEGA, CLAUDIO"/>
        <s v="ORTIZ, HECTOR HERNAN"/>
        <s v="QUISPE, CARLOS SEBASTIAN"/>
        <s v="REY, RAUL DAVID"/>
        <s v="RODRIGUEZ, FRANCO ANDRES"/>
        <s v="SANCHEZ, CARLOS MAURICIO"/>
        <s v="TORRES, FERNANDO OMAR"/>
        <s v="UBILLOS, JOANA MIRTA SOLEDAD"/>
        <s v="ESPASANDIN, DANIEL ANDRES"/>
        <s v="" u="1"/>
        <m u="1"/>
        <s v="SALINAS, ERNESTO WALTER" u="1"/>
        <s v="SINI, RAUL DANIEL" u="1"/>
        <s v="ESPOSITO, HUMBERTO RUBEN" u="1"/>
        <s v="VARRETTI, JAVIER ORLANDO" u="1"/>
        <s v="KASPIN, CLAUDIO ARIEL" u="1"/>
        <s v="MANSILLA, GLADYS ROXANA" u="1"/>
        <s v="MONTERSINO, CRISTIAN ALEJANDRO" u="1"/>
        <s v="MUÑOZ, CARLOS EMANUEL" u="1"/>
        <s v="BRICCO, NATALIA ANDREA" u="1"/>
        <s v="RIOS, JORGE OMAR" u="1"/>
        <s v="SAROME, OMAR ALBERTO" u="1"/>
        <s v="NAVARRO, JORGE ANIBAL" u="1"/>
        <s v="CID, MARISA NORA" u="1"/>
        <s v="COBOS, CARLOS EXEQUIEL" u="1"/>
        <s v="MONTOYA, MARIANO JAVIER" u="1"/>
        <s v="GALDONA, MAURICIO ANDRES" u="1"/>
        <s v="DIAZ, JOSE RAMON" u="1"/>
        <s v="GASET, MARIA EMILIA" u="1"/>
        <s v="DIAZ, DANIEL OMAR" u="1"/>
        <s v="PEREZ, ARIEL ROBERTO" u="1"/>
        <s v="MOYANO, JORGE DAMIAN" u="1"/>
        <s v="URBANO, WALTER JAVIER" u="1"/>
        <s v="GONZALEZ, ARIEL ALEJANDRO" u="1"/>
        <s v="MORALES, WALTER JAVIER" u="1"/>
        <s v="KLAINBARD, GUILLERMO MARTIN" u="1"/>
        <s v="MORENO, NESTOR DARIO" u="1"/>
        <s v="TAPIA, JUAN" u="1"/>
        <s v="CALDERON, NESTOR DARIO" u="1"/>
        <s v="ALMONACI, LUCAS ALEJANDRO" u="1"/>
        <s v="YAÑEZ, ANDREA PATRICIA" u="1"/>
        <s v="OYOLA, JORGE LUIS" u="1"/>
        <s v="MORENO, JORGE ANDRES" u="1"/>
        <s v="ARRIAGADA, ALDO RAFAEL" u="1"/>
        <s v="ESQUIVEL, JUAN PABLO DANIEL" u="1"/>
        <s v="BERDUGO, HECTOR OMAR" u="1"/>
        <s v="FARIAS, EMANUEL RAMON" u="1"/>
        <s v="FREYRE, LUIS MARIA" u="1"/>
        <s v="LAZARO, SANTIAGO JORGE" u="1"/>
        <s v="GONZALEZ, PABLO ALBERTO" u="1"/>
        <s v="QUISPE, ROQUE ALEXANDER" u="1"/>
        <s v="GONZALEZ, OSVALDO CEFERINO" u="1"/>
        <s v="ORTEGA, PABLO ANDRES" u="1"/>
        <s v="AGON, BENITO OSVALDO" u="1"/>
        <s v="ANTOLIN, NICOLAS EMANUEL" u="1"/>
        <s v="CAMPOS, NELSON JOSE" u="1"/>
        <s v="PANELO, ROLANDO FABRICIO" u="1"/>
        <s v="RUIZ, CECILIA INES" u="1"/>
        <s v="VALDIVIESO, JORGE ARIEL" u="1"/>
        <s v="PALACIO, HECTOR ARIEL" u="1"/>
        <s v="CHAVAZCO, LUIS ALBERTO" u="1"/>
        <s v="BIANCO, SERGIO RODRIGO" u="1"/>
        <s v="PEREZ, SERGIO DAVID" u="1"/>
        <s v="ARRAES, LEONARDO" u="1"/>
        <s v="FIOCCHETTI, OSCAR IVAN" u="1"/>
        <s v="ALTAMIRANDA, MARIO RUBEN" u="1"/>
        <s v="NEGRI, MARIO JAVIER" u="1"/>
        <s v="AVILA, JOSE" u="1"/>
        <s v="ROCO, JULIO" u="1"/>
        <s v="GARCIA, JUAN MANUEL" u="1"/>
        <s v="MAGGIONI, PABLO ALFREDO" u="1"/>
        <s v="ISERN, MARCELO ROBERTO" u="1"/>
        <s v="BARRERAS, DAVID ANIBAL" u="1"/>
        <s v="SALVADOR, ANTONIO MIGUEL" u="1"/>
        <s v="CANOVAS, RAMON EDUARDO" u="1"/>
        <s v="MORALES, ALEJANDRO GABRIEL" u="1"/>
        <s v="ORTEGA, CLAUDIO DAVID" u="1"/>
        <s v="RODRIGUEZ, DERLY OMAR" u="1"/>
        <s v="SANCHEZ, DIEGO SEBASTIAN" u="1"/>
        <s v="QUIROGA, ANTONIO JAVIER" u="1"/>
        <s v="OLMEDO, CARLOS CRISTIAN" u="1"/>
        <s v="RINCKEISEN, OSCAR MARCOS" u="1"/>
        <s v="ARCE, VICENTE JESUS" u="1"/>
        <s v="SUAREZ, CRISTIAN DARIO" u="1"/>
        <s v="BROCAL, MARIA ROSA" u="1"/>
        <s v="NIEVAS, CRISTIAN ALEJANDRO" u="1"/>
        <s v="GIMENEZ, JONAS ARON" u="1"/>
        <s v="BRIZUELA, PEDRO OSVALDO" u="1"/>
        <s v="LARA, PEDRO HUMBERTO" u="1"/>
        <s v="VERGARA, RICARDO JAVIER" u="1"/>
        <s v="ARRIOLA, DIEGO SEBASTIAN" u="1"/>
        <s v="ROJO, JORGE LUIS" u="1"/>
        <s v="MARTINEZ, PABLO DARIO" u="1"/>
        <s v="MANIA, CRISTIAN FERNANDO" u="1"/>
        <s v="NUÑEZ, RODRIGO NICOLAS" u="1"/>
        <s v="PEREZ, OSCAR MANUEL" u="1"/>
        <s v="BOGADO, ABEL" u="1"/>
        <s v="FERNANDEZ, FRANCO DERLY" u="1"/>
        <s v="GIAROLI, RICARDO ADOLFO" u="1"/>
        <s v="BREGA, ALBERTO CESAR" u="1"/>
        <s v="PEREZ, JULIO" u="1"/>
        <s v="MARTINEZ, HUGO" u="1"/>
        <s v="ARIAS, JORGE ARIEL" u="1"/>
        <s v="CRUZ, IVAN GUSTAVO" u="1"/>
        <s v="BONATTI, CLAUDIO FABIAN" u="1"/>
        <s v="MARTIN, ELADIO" u="1"/>
        <s v="BELIZON, MARIANO FABIAN" u="1"/>
        <s v="GONZALEZ, CLAUDIO CRISTIAN RODRIGO" u="1"/>
        <s v="PONCE, HECTOR EMILIO" u="1"/>
        <s v="TORREZ, DANIEL OSCAR" u="1"/>
        <s v="ARANCIBIA, GERARDO ARIEL" u="1"/>
      </sharedItems>
    </cacheField>
    <cacheField name="Utiliza_x000a_uniforme" numFmtId="0">
      <sharedItems containsBlank="1"/>
    </cacheField>
    <cacheField name="Pin" numFmtId="0">
      <sharedItems containsBlank="1"/>
    </cacheField>
    <cacheField name="Buena_x000a_Apariencia" numFmtId="0">
      <sharedItems/>
    </cacheField>
    <cacheField name="Vigila la _x000a_bodega" numFmtId="0">
      <sharedItems containsBlank="1"/>
    </cacheField>
    <cacheField name="Respeta_x000a_semáforos" numFmtId="0">
      <sharedItems/>
    </cacheField>
    <cacheField name="En caso de &quot;NO&quot; ¿Cuál?" numFmtId="0">
      <sharedItems containsBlank="1"/>
    </cacheField>
    <cacheField name="Respeta_x000a_velocidad" numFmtId="0">
      <sharedItems/>
    </cacheField>
    <cacheField name="En caso de &quot;NO&quot; ¿Donde?" numFmtId="0">
      <sharedItems containsBlank="1"/>
    </cacheField>
    <cacheField name="Utiliza el_x000a_celular" numFmtId="0">
      <sharedItems/>
    </cacheField>
    <cacheField name="Consume_x000a_mate o_x000a_alimentos" numFmtId="0">
      <sharedItems containsBlank="1"/>
    </cacheField>
    <cacheField name="Respeta el_x000a_Instructivo" numFmtId="0">
      <sharedItems containsBlank="1"/>
    </cacheField>
    <cacheField name="Observación de Anomalías Específicas del Conductor" numFmtId="0">
      <sharedItems containsBlank="1" longText="1"/>
    </cacheField>
    <cacheField name="Nº Legajo Guarda/ Azafata" numFmtId="0">
      <sharedItems containsSemiMixedTypes="0" containsString="0" containsNumber="1" containsInteger="1" minValue="36" maxValue="1314"/>
    </cacheField>
    <cacheField name="Apellido y Nombre Azafata/ Guarda" numFmtId="0">
      <sharedItems/>
    </cacheField>
    <cacheField name="Utiliza_x000a_uniforme2" numFmtId="0">
      <sharedItems containsBlank="1"/>
    </cacheField>
    <cacheField name="Pin2" numFmtId="0">
      <sharedItems containsBlank="1"/>
    </cacheField>
    <cacheField name="Buena_x000a_Apariencia2" numFmtId="0">
      <sharedItems containsBlank="1"/>
    </cacheField>
    <cacheField name="Utiliza_x000a_tacos_x000a_(si es mujer)" numFmtId="0">
      <sharedItems containsBlank="1"/>
    </cacheField>
    <cacheField name="Recibe y_x000a_despide _x000a_pasajeros" numFmtId="0">
      <sharedItems containsBlank="1"/>
    </cacheField>
    <cacheField name="Indica_x000a_ubicación _x000a_del asiento" numFmtId="0">
      <sharedItems containsBlank="1"/>
    </cacheField>
    <cacheField name="Utiliza celular" numFmtId="0">
      <sharedItems containsBlank="1"/>
    </cacheField>
    <cacheField name="Consume_x000a_mate /_x000a_alimentos" numFmtId="0">
      <sharedItems containsBlank="1"/>
    </cacheField>
    <cacheField name="Sirve el catering correctamente" numFmtId="0">
      <sharedItems containsBlank="1"/>
    </cacheField>
    <cacheField name="Buena predisposición ante pedidos específicos" numFmtId="0">
      <sharedItems containsBlank="1"/>
    </cacheField>
    <cacheField name="Recorre la unidad y perfuma" numFmtId="0">
      <sharedItems containsBlank="1"/>
    </cacheField>
    <cacheField name="Reproduce el speech una vez subidos todos los pasajeros" numFmtId="0">
      <sharedItems containsBlank="1"/>
    </cacheField>
    <cacheField name="Reproduce video institucional y película" numFmtId="0">
      <sharedItems containsBlank="1"/>
    </cacheField>
    <cacheField name="Speech y video tienen buen sonido e imagen" numFmtId="0">
      <sharedItems containsBlank="1"/>
    </cacheField>
    <cacheField name="Respeta Instructivo" numFmtId="0">
      <sharedItems containsBlank="1"/>
    </cacheField>
    <cacheField name="Observación de Anomalías Específicas del Guarda o la Azafata" numFmtId="0">
      <sharedItems containsBlank="1"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01">
  <r>
    <n v="438"/>
    <s v="GD"/>
    <m/>
    <d v="1899-12-30T00:00:00"/>
    <n v="0"/>
    <n v="0"/>
    <d v="1899-12-30T00:00:00"/>
    <d v="1899-12-30T00:00:00"/>
    <n v="1155"/>
    <x v="0"/>
    <s v="si"/>
    <s v="si"/>
    <s v="si"/>
    <s v="si"/>
    <s v="si"/>
    <m/>
    <s v="si"/>
    <m/>
    <s v="no"/>
    <s v="si"/>
    <s v="si"/>
    <m/>
    <n v="1147"/>
    <s v="VALENZUELA, MARIO ORLANDO"/>
    <m/>
    <m/>
    <s v="si"/>
    <m/>
    <s v="si"/>
    <s v="si"/>
    <s v="no"/>
    <s v="si"/>
    <s v="si"/>
    <s v="si"/>
    <s v="no"/>
    <s v="si"/>
    <s v="no"/>
    <s v="no"/>
    <s v="si"/>
    <s v="27/01/2017 Unidad la limpieza del interior (vidrios, butacas, piso) excelente, la limpieza del exterior (vidrios, carrocería) aceptable. Apoyabrazos butacas y cinturones acomodados correctamente. Cortinas cerradas y cartel de destino correcto. Chofer utiliza uniforme correctamente, pin visible, buena apariencia. No vigila la bodega, ni en salida ni en llegada. Respeta velocidad y semáforos. En San Carlos guarda y chofer bajan de la unidad y vienen con una bolsa de papel de madera, como si fusen de facturas o tortitas. Guarda utiliza uniforme y pin, buena apariencia, recibe y despide a pasajeros, indica ubicación. Sirve el catering correctamente de ventana a pasillo. No perfuma la unidad. Pone speech luego que todos los pasajeros suban, luego el video institucional no tenía video, solo sonido. La película en la parte de abajo primer piso sin imagen y con sonido. "/>
  </r>
  <r>
    <n v="335"/>
    <s v="GM"/>
    <m/>
    <d v="2014-10-18T00:00:00"/>
    <n v="56"/>
    <s v="SR MZA"/>
    <d v="1899-12-30T16:30:00"/>
    <d v="1899-12-30T16:35:00"/>
    <n v="1120"/>
    <x v="1"/>
    <s v="si"/>
    <s v="si"/>
    <s v="si"/>
    <s v="no"/>
    <s v="si"/>
    <m/>
    <s v="si"/>
    <m/>
    <s v="no"/>
    <s v="si"/>
    <s v="si"/>
    <m/>
    <n v="1123"/>
    <s v="BRAVO, MARCELO CONRADO"/>
    <m/>
    <m/>
    <s v="si"/>
    <m/>
    <s v="si"/>
    <s v="si"/>
    <s v="no"/>
    <s v="si"/>
    <s v="si"/>
    <s v="si"/>
    <s v="si"/>
    <s v="si"/>
    <s v="si"/>
    <s v="no"/>
    <s v="si"/>
    <s v="18/10/2014 Coche:(56)  Con cartel indicador. En plataforma a horario. Sale 16:35 horas. Con cortinas cerradas. Buena temperatura. En buenas condiciones externas (carrocería, vidrios, espejos, plotter) e internas (asientos con apoyabrazos en posición con apoyabrazos y  porta vasos,  bolsas en compartimentos de basura, cortinas, piso) faltan algunos números de butacas, baño limpio con agua- jabón.  Choferes: reciben ambos con uniforme e identificación (uno peladito-estatura mediana, el otro Nestor-Marin). Indican el lugar de ubicación, cordiales en el trato. Marín: sirve bien (ventana-pasillo), atiende los requerimientos de los pasajeros. Rocía perfume solo una vez cunado retira los residuos. Rocía perfume solo una vez cuando retira residuos. Speech sonido: demasiado bajo no se escucha. Speech publicitario: un poco  bajo solo lado izquierdo. Película un poco rayada. Speech bienvenida: no se escucha nada. Van tomando mate los 2 toma Marín y le pasa al otro chofer con galletitas. Acompaña y despide a los pasajeros.  Buena velocidad de manejo. Respeta semáforos y paradas. Llegamos 19:45 hs."/>
  </r>
  <r>
    <n v="1"/>
    <s v="GN"/>
    <m/>
    <d v="2016-01-04T00:00:00"/>
    <n v="42"/>
    <s v="SR MZA"/>
    <d v="1899-12-30T13:00:00"/>
    <d v="1899-12-30T13:08:00"/>
    <n v="1281"/>
    <x v="2"/>
    <s v="si"/>
    <s v="si"/>
    <s v="si"/>
    <s v="si"/>
    <s v="si"/>
    <m/>
    <s v="si"/>
    <m/>
    <s v="no"/>
    <s v="no"/>
    <s v="si"/>
    <s v="04/01/16 No se controlo la bodega en San Rafael"/>
    <n v="1061"/>
    <s v="TORRES, FERNANDO OMAR"/>
    <s v="SI"/>
    <s v="SI"/>
    <s v="si"/>
    <s v="no"/>
    <s v="si"/>
    <s v="si"/>
    <s v="no"/>
    <s v="no"/>
    <s v="si "/>
    <s v="si"/>
    <s v="si"/>
    <s v="si"/>
    <s v="si"/>
    <m/>
    <s v="si"/>
    <s v="04/01/16 El Video de la empresa empezó sin sonido, pusieron el sonido demasiado fuerte hasta que se escucho bien, pero el video termino sin sonido. Falta portavasos de butaca 14. Los vasos no tenían logo de Iselin. Se perfumo una sola vez. Excelente atención."/>
  </r>
  <r>
    <n v="2"/>
    <s v="GN"/>
    <m/>
    <d v="2016-01-04T00:00:00"/>
    <n v="45"/>
    <s v="MZA SR"/>
    <d v="1899-12-30T20:15:00"/>
    <d v="1899-12-30T20:18:00"/>
    <n v="1175"/>
    <x v="3"/>
    <s v="si"/>
    <s v="si"/>
    <s v="si"/>
    <s v="si"/>
    <s v="si"/>
    <m/>
    <s v="si"/>
    <m/>
    <s v="no"/>
    <s v="no"/>
    <s v="si"/>
    <s v="04/01/16 No se controlo la bodega en Mendoza"/>
    <n v="1045"/>
    <s v="FUNCIA, ALBERTO RODOLFO"/>
    <s v="SI"/>
    <s v="SI"/>
    <s v="si"/>
    <m/>
    <s v="si"/>
    <s v="si"/>
    <s v="no"/>
    <s v="no"/>
    <s v="si"/>
    <s v="si"/>
    <s v="no"/>
    <s v="si"/>
    <s v="si"/>
    <s v="si"/>
    <s v="si"/>
    <s v="04/01/2016 Hay olor a Humedad dentro del coche. El minibar hace ruido. Los apoyapié de las butacas 7 y 8 están rotos. La canilla del baño gotea, el lavamanos devuelve el agua, la luz del baño es muy apagada. Se filtraba agua por la salida de arriba, goteaba sobre la butaca 8. SE perfumó una sola vez. Excelente atención. "/>
  </r>
  <r>
    <n v="3"/>
    <s v="MS"/>
    <m/>
    <d v="2016-01-05T00:00:00"/>
    <n v="47"/>
    <s v="SR MZA"/>
    <d v="1899-12-30T07:00:00"/>
    <d v="1899-12-30T07:02:00"/>
    <n v="1155"/>
    <x v="0"/>
    <s v="si"/>
    <s v="si"/>
    <s v="si"/>
    <s v="si"/>
    <s v="si"/>
    <m/>
    <s v="si"/>
    <m/>
    <s v="no"/>
    <s v="no"/>
    <s v="si"/>
    <m/>
    <n v="36"/>
    <s v="ARAYA, MONICA BEATRIZ"/>
    <s v="SI"/>
    <m/>
    <s v="si"/>
    <s v="si"/>
    <s v="si"/>
    <s v="si"/>
    <s v="no"/>
    <s v="si"/>
    <s v="no"/>
    <s v="si"/>
    <s v="si"/>
    <s v="si"/>
    <m/>
    <s v="si"/>
    <s v="si"/>
    <s v="05/01/15 La azafata recibe a los pasajeros e indica correctamente los lugares de ubicación. El catering se sirvió a las 8:00, algunas personas iban durmiendo. Se perfumo dos veces la unidad. La azafata llevo un vaso de agua a la cabina. Al llegar a terminal azafata despide a los pasajeros cordialmente. El chofer revisa la bodega. El speech se reprodujo correctamente luego que subieron todos los pasajeros. "/>
  </r>
  <r>
    <n v="4"/>
    <s v="JG"/>
    <m/>
    <d v="2016-01-05T00:00:00"/>
    <n v="43"/>
    <s v="SR MZA"/>
    <d v="1899-12-30T10:00:00"/>
    <d v="1899-12-30T10:02:00"/>
    <n v="1190"/>
    <x v="4"/>
    <s v="si"/>
    <s v="si"/>
    <s v="si"/>
    <s v="si"/>
    <s v="si"/>
    <m/>
    <s v="si"/>
    <m/>
    <s v="no"/>
    <s v="no"/>
    <s v="si"/>
    <s v="05/01/16 Chofer se pasea por la terminal hablando con distintas personas. Al llegar a TMZA chofer vigila la bodega. "/>
    <n v="54"/>
    <s v="BIBANCO, CYNTHIA DANIELA"/>
    <s v="SI"/>
    <s v="SI"/>
    <s v="si"/>
    <s v="si"/>
    <s v="si"/>
    <s v="si"/>
    <s v="no"/>
    <s v="no"/>
    <s v="si"/>
    <s v="si"/>
    <s v="si"/>
    <s v="si"/>
    <s v="si"/>
    <s v="no"/>
    <s v="si"/>
    <s v="05/01/16 comienzan a recibir a pasajeros a las 9:55hs. Entre la rotonda del mapa y el Toledano están podando una ramas por lo que desvían a los vehículos, la unidad llega hasta calle Sarmiento, luego por Toledano retoma a la ruta. Catering correctamente servido. El volumen de la película es prácticamente nulo. No se ofrece catering a personas que suben en Paso las Carretas y van a Mza. Escaleras con gran cantidad de baro que no son repasadas. Piso superior, zona panorámica con grandes charcos de agua sobre el piso. "/>
  </r>
  <r>
    <n v="5"/>
    <s v="MS"/>
    <m/>
    <d v="2016-01-05T00:00:00"/>
    <n v="43"/>
    <s v="MZA SR"/>
    <d v="1899-12-30T15:00:00"/>
    <d v="1899-12-30T15:05:00"/>
    <n v="1190"/>
    <x v="4"/>
    <s v="si"/>
    <s v="si"/>
    <s v="si"/>
    <s v="no"/>
    <s v="si"/>
    <m/>
    <s v="si"/>
    <m/>
    <s v="no"/>
    <s v="no"/>
    <s v="si"/>
    <m/>
    <n v="54"/>
    <s v="BIBANCO, CYNTHIA DANIELA"/>
    <s v="SI"/>
    <s v="SI"/>
    <s v="si"/>
    <s v="si"/>
    <s v="si"/>
    <s v="si"/>
    <s v="no"/>
    <s v="no"/>
    <s v="si"/>
    <s v="si"/>
    <s v="si"/>
    <s v="si"/>
    <s v="si"/>
    <s v="si"/>
    <s v="si"/>
    <s v="05/01/16 La azafata y el conductor reciben a los pasajeros, indica donde es la ubicación de los lugares. El catering se sirve correctamente. Aparta un  vaso y un paquete de galletas y lo deja donde se retira el agua. Conversa con una Sra. de los aromatizantes que se utilizan en la unidad. La pasajera le dice que es muy agradable el aroma. Luego sirgue sirviendo el catering. Perfuma 4 veces la unidad. El speech, el video y la película se reprodujeron correctamente. Al llegar a terminal despide a los pasajeros amablemente."/>
  </r>
  <r>
    <n v="6"/>
    <s v="JG"/>
    <m/>
    <d v="2016-01-05T00:00:00"/>
    <n v="46"/>
    <s v="MZA SR"/>
    <d v="1899-12-30T18:00:00"/>
    <d v="1899-12-30T18:02:00"/>
    <n v="1281"/>
    <x v="2"/>
    <s v="si"/>
    <s v="si"/>
    <s v="si"/>
    <s v="no"/>
    <s v="si"/>
    <m/>
    <s v="si"/>
    <m/>
    <s v="no"/>
    <s v="no"/>
    <s v="si"/>
    <s v="5/01/16 No se vigila la bodega n ninguna oportunidad"/>
    <n v="1175"/>
    <s v="GARRIDO, JOSE ALBERTO"/>
    <s v="SI"/>
    <s v="SI"/>
    <s v="si"/>
    <m/>
    <s v="si"/>
    <s v="si"/>
    <s v="no"/>
    <s v="no"/>
    <s v="si"/>
    <s v="si"/>
    <s v="si"/>
    <s v="si"/>
    <s v="si"/>
    <s v="si"/>
    <s v="si"/>
    <s v="05/01/16 Chofer y guarda reciben juntos a los pasajeros. Butacas con muchas migas. Guarda reparte y sirve el catering correctamente, perfuma una vez, luego en TSC cambian de lugar y el nuevo guarda perfuma dos veces mas. No hay speech de llegada. Video institucional se corta muchas veces. "/>
  </r>
  <r>
    <n v="7"/>
    <s v="JG"/>
    <m/>
    <d v="2016-01-06T00:00:00"/>
    <n v="46"/>
    <s v="SR MZA"/>
    <d v="1899-12-30T07:00:00"/>
    <d v="1899-12-30T07:02:00"/>
    <n v="1239"/>
    <x v="5"/>
    <s v="si"/>
    <s v="si"/>
    <s v="si"/>
    <s v="si"/>
    <s v="si"/>
    <m/>
    <s v="si"/>
    <m/>
    <s v="no"/>
    <s v="si"/>
    <s v="si"/>
    <s v="06/01/16 Solo se vigila la bodega al llegar a Tmza"/>
    <n v="1147"/>
    <s v="VALENZUELA, MARIO ORLANDO"/>
    <s v="SI"/>
    <s v="SI"/>
    <s v="si"/>
    <m/>
    <s v="si"/>
    <s v="si"/>
    <s v="no"/>
    <s v="si"/>
    <s v="no"/>
    <s v="si"/>
    <s v="no"/>
    <s v="si"/>
    <m/>
    <s v="si"/>
    <s v="si"/>
    <s v="06/01/16 Guarda acomoda elementos del catering, y el chofer recibe a pasajeros. A las 6:58hs se comienza a escuchar la radio por el piso superior con volumen extremadamente alto, lo que lo hace muy molesto. Luego de 4 minutos el guarda se da cuenta y lo desconecta. La a unidad sale por Ganaderos, luego se mete por Pueyrredón hasta Rivadavia donde retoma. Speech bien colocado. Guarda reparte y sirve el catering amablemente y sin seguir el orden establecido. No se perfuma la unidad. El speech de llegada solo se escucharon dos palabras. En cabina hay vasos y restos de haber consumido catering."/>
  </r>
  <r>
    <n v="8"/>
    <s v="GN"/>
    <m/>
    <d v="2016-01-06T00:00:00"/>
    <n v="47"/>
    <s v="SR MZA"/>
    <d v="1899-12-30T10:00:00"/>
    <d v="1899-12-30T10:03:00"/>
    <n v="1155"/>
    <x v="0"/>
    <s v="si"/>
    <s v="si"/>
    <s v="si"/>
    <s v="si"/>
    <s v="si"/>
    <m/>
    <s v="si"/>
    <m/>
    <s v="no"/>
    <s v="no"/>
    <s v="si"/>
    <s v="06/01/16 No se controlo la bodega en San Rafael, ya que el chofer fue a buscar los refrigerios."/>
    <n v="54"/>
    <s v="BIBANCO, CYNTHIA DANIELA"/>
    <s v="SI"/>
    <s v="SI"/>
    <s v="si"/>
    <s v="no"/>
    <s v="si"/>
    <s v="si"/>
    <s v="no"/>
    <s v="no"/>
    <s v="si"/>
    <s v="si"/>
    <s v="si"/>
    <s v="si"/>
    <s v="si"/>
    <s v="si"/>
    <s v="si"/>
    <s v="06/01/2016 Al subir a la unidad los televisores estaban prendidos. El speech apenas se escucho , después lo repitieron. Excelente atención. "/>
  </r>
  <r>
    <n v="9"/>
    <s v="JG"/>
    <m/>
    <d v="2016-01-06T00:00:00"/>
    <n v="47"/>
    <s v="MZA SR"/>
    <d v="1899-12-30T15:00:00"/>
    <d v="1899-12-30T15:02:00"/>
    <n v="1155"/>
    <x v="0"/>
    <s v="si"/>
    <s v="si"/>
    <s v="si"/>
    <s v="no"/>
    <s v="si"/>
    <m/>
    <s v="si"/>
    <m/>
    <s v="no"/>
    <s v="si"/>
    <s v="si"/>
    <s v="06701/16 La bodega nunca es vigilada."/>
    <n v="54"/>
    <s v="BIBANCO, CYNTHIA DANIELA"/>
    <s v="SI"/>
    <s v="SI"/>
    <s v="si"/>
    <s v="si"/>
    <s v="si"/>
    <s v="si"/>
    <s v="no"/>
    <s v="si"/>
    <s v="s"/>
    <s v="si"/>
    <s v="si"/>
    <s v="no"/>
    <s v="si"/>
    <s v="no"/>
    <s v="si"/>
    <s v="06/01/16 Chofer y azafata reciben a pasajeros. Cuando comienza azafata a recibir a pasajeros el chofer fue a boletería por la lista; ocurre un hecho algo confuso al inicio, luego  una monja le cuenta a la azafata que una mujer que estaba en la cola para subir le había metido la mano al bolsillo y luego se hizo la desentendida y se fue. Antes de salir chofer compra barrita de cereal. Speech saliendo de TMza, azafata sirve el catering luego en Azcuénaga sube pasajero, verifica sonidos. Baño sin agua para la descarga en el inodoro."/>
  </r>
  <r>
    <n v="10"/>
    <s v="GN"/>
    <m/>
    <d v="2016-01-06T00:00:00"/>
    <n v="43"/>
    <s v="MZA SR"/>
    <d v="1899-12-30T18:00:00"/>
    <d v="1899-12-30T18:00:00"/>
    <n v="1190"/>
    <x v="4"/>
    <s v="si"/>
    <s v="si"/>
    <s v="si"/>
    <s v="no"/>
    <s v="si"/>
    <m/>
    <s v="si"/>
    <m/>
    <s v="no"/>
    <s v="no"/>
    <s v="si"/>
    <s v="6/01/16 No se controla la bodega ni al salir no al llegar."/>
    <n v="36"/>
    <s v="ARAYA, MONICA BEATRIZ"/>
    <m/>
    <m/>
    <s v="si"/>
    <s v="no"/>
    <s v="si"/>
    <s v="si"/>
    <s v="no"/>
    <s v="no"/>
    <s v="si"/>
    <s v="si"/>
    <s v="si"/>
    <s v="si"/>
    <s v="si"/>
    <s v="si"/>
    <s v="si"/>
    <m/>
  </r>
  <r>
    <n v="11"/>
    <s v="JG"/>
    <m/>
    <d v="2016-01-08T00:00:00"/>
    <n v="45"/>
    <s v="SR MZA"/>
    <d v="1899-12-30T07:00:00"/>
    <d v="1899-12-30T07:03:00"/>
    <n v="1169"/>
    <x v="6"/>
    <s v="si"/>
    <s v="si"/>
    <s v="si"/>
    <s v="no"/>
    <s v="si"/>
    <m/>
    <s v="si"/>
    <m/>
    <s v="si"/>
    <s v="si"/>
    <s v="si"/>
    <s v="06/01/16 No se vigila la bodega en ningún momento."/>
    <n v="1061"/>
    <s v="TORRES, FERNANDO OMAR"/>
    <m/>
    <m/>
    <s v="si"/>
    <m/>
    <s v="si"/>
    <s v="si"/>
    <s v="si"/>
    <s v="si"/>
    <s v="si"/>
    <s v="si"/>
    <s v="no"/>
    <s v="si"/>
    <m/>
    <s v="si"/>
    <s v="si"/>
    <s v="08/01/16 Chofer y guarda reciben a pasajeros. Speech colocado correctamente, luego se comienza a escuchar la radio en el piso superior con volumen extremadamente elevado, cuando guarda sube para repartir catering le avisa al chofer que la apague. A las 18:18hs bajando del Divisadero la unidad se orilla, chofer apaga el motor y dice algo del alternador, luego el guarda sube y comunica en el piso inferior y en el superior en zona delantera y trasera que hay un inconveniente con las correas, que solo tardaran 15 minutos, a las 18;39hs se pone en marcha. En Paso las Carretas sube el tercer efectivo (no se cobra pasaje). Consumieron agua caliente. Nunca se perfumo la unidad. Al llegar a TMza guarda despide y el chofer se queda en cabina hablando por teléfono. "/>
  </r>
  <r>
    <n v="12"/>
    <s v="JG"/>
    <m/>
    <d v="2016-01-08T00:00:00"/>
    <n v="43"/>
    <s v="MZA SR"/>
    <d v="1899-12-30T15:00:00"/>
    <d v="1899-12-30T15:02:00"/>
    <n v="1190"/>
    <x v="4"/>
    <s v="si"/>
    <s v="si"/>
    <s v="si"/>
    <s v="no"/>
    <s v="si"/>
    <m/>
    <s v="si"/>
    <m/>
    <s v="no"/>
    <s v="no"/>
    <s v="si"/>
    <s v="06/01/16 Chofer no vigila la bodega en ninguna oportunidad."/>
    <n v="54"/>
    <s v="BIBANCO, CYNTHIA DANIELA"/>
    <m/>
    <m/>
    <s v="si"/>
    <s v="si"/>
    <s v="si"/>
    <s v="si"/>
    <s v="no"/>
    <s v="no"/>
    <s v="si"/>
    <s v="si"/>
    <s v="no"/>
    <s v="no"/>
    <s v="si"/>
    <s v="si"/>
    <s v="si"/>
    <s v="08/01/16 Chofer y azafata reciben a pasajeros. La unidad de refuerzo posee cartelería. speech colocado saliendo de terminal y luego saben pasajeros en Azcuénaga. Video institucional y película con buen sonido. Azafata sirve correctamente el catering. Perfuma solo una vez.  La unidad no ingresa a la terminal San Carlos. "/>
  </r>
  <r>
    <n v="13"/>
    <s v="JG"/>
    <m/>
    <d v="2016-01-09T00:00:00"/>
    <n v="44"/>
    <s v="SR MZA"/>
    <d v="1899-12-30T07:00:00"/>
    <d v="1899-12-30T07:07:00"/>
    <n v="1175"/>
    <x v="3"/>
    <s v="si"/>
    <s v="si"/>
    <s v="si"/>
    <s v="si"/>
    <s v="si"/>
    <m/>
    <s v="si"/>
    <m/>
    <s v="no"/>
    <s v="no"/>
    <s v="si"/>
    <m/>
    <n v="36"/>
    <s v="ARAYA, MONICA BEATRIZ"/>
    <m/>
    <m/>
    <s v="si"/>
    <s v="si"/>
    <s v="si"/>
    <s v="si"/>
    <s v="no"/>
    <s v="si"/>
    <s v="si"/>
    <s v="si"/>
    <s v="no"/>
    <s v="si"/>
    <m/>
    <s v="si"/>
    <s v="si"/>
    <s v="09/01/16 La unidad esta 15 min antes pero reciben 3 min ates del horario de salía. Azafata recibe , chofer sube los bolsos (maletero en otras unidades). Unidad con los pisos húmedos zonas con aguas. Baño con el piso inundado, mucha agua, azafata coloca diarios para que absorban el agua. Por Divisadero muy poca visibilidad, chofer disminuye la velocidad. "/>
  </r>
  <r>
    <n v="14"/>
    <s v="JG"/>
    <m/>
    <d v="2016-01-09T00:00:00"/>
    <n v="47"/>
    <s v="MZA SR"/>
    <d v="1899-12-30T20:15:00"/>
    <d v="1899-12-30T20:15:00"/>
    <n v="1155"/>
    <x v="0"/>
    <s v="si"/>
    <s v="si"/>
    <s v="si"/>
    <s v="no"/>
    <s v="si"/>
    <m/>
    <s v="si"/>
    <m/>
    <s v="no"/>
    <s v="si"/>
    <s v="si"/>
    <m/>
    <n v="1147"/>
    <s v="VALENZUELA, MARIO ORLANDO"/>
    <m/>
    <m/>
    <s v="si"/>
    <m/>
    <s v="si"/>
    <s v="si"/>
    <s v="no"/>
    <s v="si"/>
    <s v="si"/>
    <s v="si"/>
    <s v="no"/>
    <s v="si"/>
    <s v="no"/>
    <s v="si"/>
    <s v="si"/>
    <s v="09/01/16 La unidad esta 15 min antes, pero reciben 20:05hs. Chofer y guarda reciben a pasajeros. Al llegar a SR guarda despide. No se vigila la bodega en ninguna oportunidad. Speech y película con buen sonido, el que es verificado. No se reproduce V. Institucional. No se perfuma la unidad. consumen catering ya que llena el guarda, vasos con agua caliente y se la lleva a cabina. A las 22:30hs frena ya que había una unidad de Iselin a un costado de la ruta la cual circulaba hacia Mza, le preguntan si necesitan ayuda, y 5 min después arrancan. Como a las 22:50hs se comienza a escuchar un golpeteo muy fuerte proveniente como de abajo del baño a las 23:05 guarda le avisa  a pasajeros del piso inferior que disminuirán la velocidad para que el golpeteo dejara de sonar (no se la razón). "/>
  </r>
  <r>
    <n v="15"/>
    <s v="GN"/>
    <m/>
    <d v="2016-01-12T00:00:00"/>
    <n v="46"/>
    <s v="SR MZA"/>
    <d v="1899-12-30T07:00:00"/>
    <d v="1899-12-30T07:05:00"/>
    <n v="1206"/>
    <x v="7"/>
    <s v="si"/>
    <s v="no"/>
    <s v="si"/>
    <s v="si"/>
    <s v="si"/>
    <m/>
    <s v="si"/>
    <m/>
    <s v="no"/>
    <s v="no"/>
    <s v="si"/>
    <m/>
    <n v="36"/>
    <s v="ARAYA, MONICA BEATRIZ"/>
    <m/>
    <m/>
    <s v="si"/>
    <s v="no"/>
    <s v="si"/>
    <s v="si"/>
    <s v="no"/>
    <s v="no"/>
    <s v="si"/>
    <s v="si"/>
    <s v="no"/>
    <s v="si"/>
    <m/>
    <m/>
    <s v="si"/>
    <s v="12/01/16 Antes de llegar a la zona de Toledano la azafata preparo dos bebidas para ella y el chofer. Se perfumó una sola vez. No pusieron el speech llegando a Mendoza. Excelente atención de la azafata."/>
  </r>
  <r>
    <n v="16"/>
    <s v="MS"/>
    <m/>
    <d v="2016-01-12T00:00:00"/>
    <n v="42"/>
    <s v="SR MZA"/>
    <d v="1899-12-30T10:00:00"/>
    <d v="1899-12-30T10:00:00"/>
    <n v="1028"/>
    <x v="8"/>
    <s v="si"/>
    <s v="si"/>
    <s v="si"/>
    <s v="si"/>
    <s v="si"/>
    <m/>
    <s v="si"/>
    <m/>
    <s v="no"/>
    <s v="no"/>
    <s v="si"/>
    <m/>
    <n v="1232"/>
    <s v="GONZALEZ, JORGE DAVID"/>
    <m/>
    <m/>
    <s v="si"/>
    <m/>
    <s v="si"/>
    <s v="si"/>
    <s v="no"/>
    <s v="no"/>
    <s v="si"/>
    <s v="si"/>
    <s v="si"/>
    <s v="si"/>
    <s v="si"/>
    <s v="si"/>
    <s v="si"/>
    <s v="12/01/16 El guarda y el conductor reciben a los pasajeros. El speech y el video se escucharon correctamente. El audio de la película se escuchaba muy bajo y el guarda le dijo al conductor, pero se seguía escuchando bajo. El primer guarda sirvió el catering correctamente y luego no volvió a subir hasta llegar a San Carlos que cambiaron. El segundo guarda perfumo una vez. Un pasajero fue a la cabina antes de llegar a pedirles agua. Al llegar el guardia despidió a los pasajeros. Y el conductor reviso la bodega. Las cortinas de la cabina se encontraban abiertas. "/>
  </r>
  <r>
    <n v="17"/>
    <s v="GN"/>
    <m/>
    <d v="2016-01-12T00:00:00"/>
    <n v="42"/>
    <s v="MZA SR"/>
    <d v="1899-12-30T15:00:00"/>
    <d v="1899-12-30T15:02:00"/>
    <n v="1028"/>
    <x v="8"/>
    <s v="si"/>
    <s v="si"/>
    <s v="si"/>
    <s v="si"/>
    <s v="si"/>
    <m/>
    <s v="si"/>
    <m/>
    <s v="no"/>
    <s v="no"/>
    <s v="si"/>
    <s v="12/01/16 No se controlo la bodega en Mendoza"/>
    <n v="1232"/>
    <s v="GONZALEZ, JORGE DAVID"/>
    <m/>
    <m/>
    <s v="si"/>
    <m/>
    <s v="si"/>
    <s v="si"/>
    <s v="no"/>
    <s v="no"/>
    <s v="si"/>
    <s v="si"/>
    <s v="no"/>
    <s v="si"/>
    <s v="si"/>
    <s v="si"/>
    <s v="si"/>
    <s v="12/01/16 La parte del basurero del primer piso estaba sucio. Las cortinas del parabrisas superior estaban abiertas. El video no se escuchaba bien, empezó sin sonido. El apoyapié de la butaca se cae. La película no tiene sonido. Se perfumo solo una vez. Se demoro unos minutos la salir porque esperaban a un pasajero, a pedido de otro pasajero. Excelente atención. "/>
  </r>
  <r>
    <n v="18"/>
    <s v="MS"/>
    <m/>
    <d v="2016-01-12T00:00:00"/>
    <n v="56"/>
    <s v="MZA SR"/>
    <d v="1899-12-30T18:00:00"/>
    <d v="1899-12-30T18:05:00"/>
    <n v="1208"/>
    <x v="9"/>
    <s v="si"/>
    <s v="si"/>
    <s v="si"/>
    <s v="si"/>
    <s v="si"/>
    <m/>
    <s v="si"/>
    <m/>
    <s v="no"/>
    <s v="no"/>
    <s v="si"/>
    <m/>
    <n v="54"/>
    <s v="BIBANCO, CYNTHIA DANIELA"/>
    <m/>
    <m/>
    <s v="si"/>
    <s v="si"/>
    <s v="si"/>
    <s v="si"/>
    <s v="no"/>
    <s v="no"/>
    <s v="si"/>
    <s v="si"/>
    <s v="si"/>
    <s v="si"/>
    <s v="si"/>
    <s v="si"/>
    <s v="si"/>
    <s v="12/01/16 La azafata recibe a los pasajeros. Es amable, saluda e indica el lugar de butaca. El speech y el video se escucharon correctamente. El catering se sirvió con muy buena predisposición. Luego una Sra. pidió agua a la azafata, esta le sirvió y después al guardarla derramo en el piso de abajo. Bajo y lo limpio, pidió disculpas. Mi lugar de asiento era la butaca numero 8 y en la numero 7 se encontraba lleno de migas y en el respaldar de la butaca se encontraba un papel vacío de galletas que sirven en el catering. Al llegar la azafata despidió a los pasajeros.  Las cortinas de la cabina se encontraban durante el viaje abiertas. "/>
  </r>
  <r>
    <n v="19"/>
    <s v="JG"/>
    <m/>
    <d v="2016-01-13T00:00:00"/>
    <n v="56"/>
    <s v="SR MZA"/>
    <d v="1899-12-30T07:00:00"/>
    <d v="1899-12-30T07:03:00"/>
    <n v="1208"/>
    <x v="9"/>
    <s v="si"/>
    <s v="no"/>
    <s v="si"/>
    <s v="no"/>
    <s v="si"/>
    <m/>
    <s v="si"/>
    <m/>
    <s v="si"/>
    <s v="si"/>
    <s v="si"/>
    <s v="13/01/16 La bodega no es vigilada en ninguna oportunidad, al llegar a Mza el chofer se queda al lado de la puerta de cabina (del lado de la puerta del conductor, alejado de los pasajeros) fumando y mirando su teléfono celular. En TSC chofer compra algún alimento, que consumen luego."/>
    <n v="36"/>
    <s v="ARAYA, MONICA BEATRIZ"/>
    <m/>
    <m/>
    <s v="si"/>
    <s v="si"/>
    <s v="si"/>
    <s v="si"/>
    <s v="si"/>
    <s v="si"/>
    <s v="si"/>
    <s v="si"/>
    <s v="no"/>
    <s v="si"/>
    <m/>
    <s v="si"/>
    <s v="si"/>
    <s v="13/01/16 La unidad esta 15 minutos antes, pero reciben a las 6:50hs. Al inicio recibe azafata sola, luego la acompaña el chofer. Cartel de destino apagado. Speech con buen sonido, catering servido de manera amable. Y siguiendo el orden establecido; cuando va retirando el catering personas que dormían le piden café y te, ella se los sirve amable. "/>
  </r>
  <r>
    <n v="20"/>
    <s v="GN"/>
    <m/>
    <d v="2016-01-13T00:00:00"/>
    <n v="46"/>
    <s v="SR MZA"/>
    <d v="1899-12-30T13:00:00"/>
    <d v="1899-12-30T13:04:00"/>
    <n v="1206"/>
    <x v="7"/>
    <s v="si"/>
    <s v="si"/>
    <s v="si"/>
    <s v="si"/>
    <s v="si"/>
    <m/>
    <s v="si"/>
    <m/>
    <s v="no"/>
    <s v="no"/>
    <s v="si"/>
    <s v="13/01/16 No se controlo la bodega en San Rafael."/>
    <n v="54"/>
    <s v="BIBANCO, CYNTHIA DANIELA"/>
    <m/>
    <m/>
    <s v="si"/>
    <s v="no"/>
    <s v="si"/>
    <s v="si"/>
    <s v="no"/>
    <s v="no"/>
    <s v="si"/>
    <s v="si"/>
    <s v="si"/>
    <s v="si"/>
    <s v="si"/>
    <s v="si"/>
    <s v="si"/>
    <s v="13/01/16 La hija de un pasajero no se siente bien, por lo que le dio al padre servilletas y una bolsa para limpiar el lugar, al sr de la butaca del al lado le ofreció una butaca del primer piso. Cada vez que  el pavimento presentaba algún tipo de irregularidad sonaba la chicharra y se encendía el cartel de limite de velocidad. Una Sra. le dijo a la azafata en Eugenio Busto porque no manejaba mas despacio si la chicharra sonaba, la azafata le dijo que eran los sensores y si tenia algún problema llamara  ala empresa o presentara un reporte. En una parada antes de llegar a Mendoza el chofer abrió la puerta del baño, la chicharra sonó y les explico a los pasajeros que era el sensor del baño que fallaba. La película se corto llegando al final. No pusieron el speech llegando a Mendoza. Excelente atención."/>
  </r>
  <r>
    <n v="21"/>
    <s v="JG"/>
    <m/>
    <d v="2016-01-13T00:00:00"/>
    <n v="43"/>
    <s v="MZA SR"/>
    <d v="1899-12-30T15:00:00"/>
    <d v="1899-12-30T15:02:00"/>
    <n v="1190"/>
    <x v="4"/>
    <s v="si"/>
    <s v="si"/>
    <s v="si"/>
    <s v="si"/>
    <s v="si"/>
    <m/>
    <s v="no"/>
    <m/>
    <s v="no"/>
    <s v="no"/>
    <s v="si"/>
    <s v="13/01/16 Chofer vigila la bodega en Mza, al llegar a SR no es vigilada. La chicharra suena 4 veces, al minuto el chofer disminuye la velocidad."/>
    <n v="1143"/>
    <s v="FORTE, MARIO LUIS"/>
    <m/>
    <m/>
    <s v="si"/>
    <m/>
    <s v="si"/>
    <s v="si"/>
    <s v="no"/>
    <s v="no"/>
    <s v="si"/>
    <s v="si"/>
    <s v="no"/>
    <s v="no"/>
    <s v="si"/>
    <s v="si"/>
    <s v="si"/>
    <s v="13/01/16 Guarda recibe a pasajeros. Speech saliendo de terminal, guarda reparte y sirve catering en el piso superior, en Azcuénaga suben pasajeros y luego hacen el reparte en el piso inferior. Todo se reproduce con volumen correcto; la película se traba mucho, en una oportunidad, el guarda la vuelve a colocar pero como se sigue trabando decide apagara los TVs directamente. "/>
  </r>
  <r>
    <n v="22"/>
    <s v="GN"/>
    <m/>
    <d v="2016-01-13T00:00:00"/>
    <n v="44"/>
    <s v="MZA SR"/>
    <d v="1899-12-30T20:15:00"/>
    <d v="1899-12-30T20:15:00"/>
    <n v="1175"/>
    <x v="3"/>
    <s v="si"/>
    <s v="si"/>
    <s v="si"/>
    <s v="si"/>
    <s v="si"/>
    <m/>
    <s v="si"/>
    <m/>
    <s v="no"/>
    <s v="no"/>
    <s v="si"/>
    <m/>
    <n v="1281"/>
    <s v="ALBORNOZ, OSCAR PEDRO"/>
    <m/>
    <m/>
    <s v="si"/>
    <m/>
    <s v="si"/>
    <s v="si"/>
    <s v="no"/>
    <s v="no"/>
    <s v="si"/>
    <s v="si"/>
    <s v="si"/>
    <s v="si"/>
    <s v="si"/>
    <s v="si"/>
    <s v="si"/>
    <s v="13/01/16 El guarda no utilizo alcohol en gel. La película no tiene buen audio, la pantalla se divide a la mitad, el basurero del baño no esta en posición. A las 23:06hs se rompió una rueda, como a 15 minutos del arco, se orillaron para arreglarla. A las 23:48hs el colectivo se puso nuevamente en marcha. Excelente atención."/>
  </r>
  <r>
    <n v="23"/>
    <s v="GN"/>
    <m/>
    <d v="2016-01-15T00:00:00"/>
    <n v="56"/>
    <s v="SR MZA"/>
    <d v="1899-12-30T13:00:00"/>
    <d v="1899-12-30T13:00:00"/>
    <n v="1208"/>
    <x v="9"/>
    <s v="si"/>
    <s v="no"/>
    <s v="si"/>
    <s v="si"/>
    <s v="si"/>
    <m/>
    <s v="si"/>
    <m/>
    <s v="no"/>
    <s v="no"/>
    <s v="si"/>
    <s v="15/01/16 No se controlo la bodega en San Rafael."/>
    <n v="1143"/>
    <s v="FORTE, MARIO LUIS"/>
    <m/>
    <m/>
    <s v="si"/>
    <m/>
    <s v="si"/>
    <s v="si"/>
    <s v="no"/>
    <s v="no"/>
    <s v="si"/>
    <s v="si"/>
    <s v="si"/>
    <s v="si"/>
    <s v="si"/>
    <s v="si"/>
    <s v="si"/>
    <s v="15/01/16 No tenia cartel de destino.  El video tenia bajo volumen. El guardia no utilizo alcohol en gel. La película no tiene buen audio. No se escucho el principio del speech llegando a Mendoza, se escuchaba despacio. "/>
  </r>
  <r>
    <n v="24"/>
    <s v="GN"/>
    <m/>
    <d v="2016-01-15T00:00:00"/>
    <n v="47"/>
    <s v="MZA SR"/>
    <d v="1899-12-30T20:15:00"/>
    <d v="1899-12-30T20:20:00"/>
    <n v="1155"/>
    <x v="0"/>
    <s v="si"/>
    <s v="si"/>
    <s v="si"/>
    <s v="si"/>
    <s v="si"/>
    <m/>
    <s v="si"/>
    <m/>
    <s v="no"/>
    <s v="no"/>
    <s v="si"/>
    <s v="15/01/16 No se controlo bodega en Mendoza.  En la autopista, saliendo de Mendoza había mucha cola de autos por lo que se demoro como 10 min en salir. "/>
    <n v="1206"/>
    <s v="ZALLOCCO, FLAVIO"/>
    <m/>
    <m/>
    <s v="si"/>
    <s v="si"/>
    <s v="si"/>
    <s v="si"/>
    <s v="no"/>
    <s v="no"/>
    <s v="si"/>
    <s v="si"/>
    <s v="si"/>
    <s v="si"/>
    <s v="si"/>
    <s v="si"/>
    <s v="si"/>
    <s v="15/01/16 El coche llego a plataforma 20:14 ya que estas estaban ocupadas. El guardia no utilizo alcohol en gel. Excelente atención."/>
  </r>
  <r>
    <n v="25"/>
    <s v="MS"/>
    <m/>
    <d v="2016-01-16T00:00:00"/>
    <n v="45"/>
    <s v="SR MZA"/>
    <d v="1899-12-30T07:00:00"/>
    <d v="1899-12-30T07:02:00"/>
    <n v="1169"/>
    <x v="6"/>
    <s v="si"/>
    <s v="si"/>
    <s v="si"/>
    <s v="no"/>
    <s v="si"/>
    <m/>
    <s v="si"/>
    <m/>
    <s v="no"/>
    <s v="no"/>
    <s v="si"/>
    <m/>
    <n v="1163"/>
    <s v="MARTINEZ, PABLO RODOLFO"/>
    <m/>
    <m/>
    <s v="si"/>
    <m/>
    <s v="si"/>
    <s v="si"/>
    <s v="si"/>
    <s v="no"/>
    <s v="si"/>
    <s v="si"/>
    <s v="si"/>
    <s v="si"/>
    <s v="si"/>
    <s v="si"/>
    <s v="si"/>
    <s v="16/01/16 El conductor y guarda reciben a los pasajeros e indican los lugares de asientos. El guarda sirve el catering correctamente. Perfumo 2 veces. Era atento con las personas. El segundo guarda luego del cambio en San Carlos hablo por teléfono en Tunuyán unos 20.25 min. El audio del speech se escucho con mucha interferencia al salir y al llegar, Se superponía con la radio. Al llegar  despidieron a los pasajeros atentamente. "/>
  </r>
  <r>
    <n v="26"/>
    <s v="MS"/>
    <m/>
    <d v="2016-01-16T00:00:00"/>
    <n v="46"/>
    <s v="MZA SR"/>
    <d v="1899-12-30T15:00:00"/>
    <d v="1899-12-30T15:00:00"/>
    <n v="1045"/>
    <x v="10"/>
    <s v="si"/>
    <s v="si"/>
    <s v="si"/>
    <s v="si"/>
    <s v="si"/>
    <m/>
    <s v="si"/>
    <m/>
    <s v="no"/>
    <s v="no"/>
    <s v="si"/>
    <s v="16/01/15 Al llegar el conductor revisa la bodega. "/>
    <n v="1175"/>
    <s v="GARRIDO, JOSE ALBERTO"/>
    <m/>
    <m/>
    <s v="si"/>
    <m/>
    <s v="si"/>
    <s v="si"/>
    <s v="no"/>
    <s v="no"/>
    <s v="si"/>
    <s v="si"/>
    <s v="si"/>
    <s v="si"/>
    <s v="si"/>
    <s v="si"/>
    <s v="si"/>
    <s v="16/01/16 El guarda recibe a los pasajeros e indica los lugares. El catering se sirve correctamente. El guardia pregunta si se escucha bien el audio de la película, es amable y tiene buena predisposición con los pasajeros. Se perfumo dos veces. El speech y el video se reprodujo correctamente. Al llegar el guarda despide a los pasajeros. "/>
  </r>
  <r>
    <n v="27"/>
    <s v="JG"/>
    <m/>
    <d v="2016-01-18T00:00:00"/>
    <n v="49"/>
    <s v="SR MZA"/>
    <d v="1899-12-30T07:00:00"/>
    <d v="1899-12-30T07:04:00"/>
    <n v="1167"/>
    <x v="11"/>
    <s v="si"/>
    <s v="si"/>
    <s v="si"/>
    <s v="si"/>
    <s v="si"/>
    <m/>
    <s v="si"/>
    <m/>
    <s v="no"/>
    <s v="si"/>
    <s v="si"/>
    <s v="18/01/16  La bodega solo es vigilada al llegar a Tmza"/>
    <n v="1137"/>
    <s v="MARTINEZ, GONZALO ALFREDO"/>
    <m/>
    <m/>
    <s v="si"/>
    <m/>
    <s v="si"/>
    <s v="si"/>
    <s v="si"/>
    <s v="si"/>
    <s v="si"/>
    <s v="si"/>
    <s v="no"/>
    <s v="si"/>
    <m/>
    <s v="si"/>
    <s v="si"/>
    <s v="18/01/16 Chofer y guarda reciben a pasajeros; la unidad de refuerzo poseía el cartel correspondiente y llego 6:50hs a plataforma (46). Butaca 10 el cinturón de seguridad esta incompleto. Por Av. Rivadavia el guardia se comunica con Cesar, supuestamente debía abordar un pasajero en TSR que llegaba en una unidad a la terminal (6:40 hs por lo que dijo el guarda) y como venia atrasado, 6:50 llamo a la boletería que venia por Salto de las Rosas (pero no lo esperaron). Guarda no es muy comunicativo pero amable, sirve el catering, se le observa mucha transpiración en sus axilas, luego de buscar  guarda le pregunta al chofer que quiere que le prepare, consumen galletas. En TSC al llegar chofer y guarda bajan de la unidad, no escucharon al policía que pidió que le abrirán la puerta, y como al parecer no quisieron volver para abrírsela, le indicaron que bajara por la puerta de cabina, allí cambiaron de lugar. No se perfumo la unidad en ningún memento. "/>
  </r>
  <r>
    <n v="28"/>
    <s v="MS"/>
    <m/>
    <d v="2016-01-18T00:00:00"/>
    <n v="56"/>
    <s v="SR MZA"/>
    <d v="1899-12-30T10:00:00"/>
    <d v="1899-12-30T10:02:00"/>
    <n v="1293"/>
    <x v="12"/>
    <s v="si"/>
    <s v="si"/>
    <s v="si"/>
    <s v="si"/>
    <s v="si"/>
    <m/>
    <s v="si"/>
    <m/>
    <s v="no"/>
    <s v="no"/>
    <s v="si"/>
    <m/>
    <n v="1149"/>
    <s v="ALDAVE, RAUL IGNACIO"/>
    <m/>
    <m/>
    <s v="si"/>
    <m/>
    <s v="si"/>
    <s v="si"/>
    <s v="no"/>
    <s v="si"/>
    <s v="si"/>
    <s v="si"/>
    <s v="si"/>
    <s v="si"/>
    <s v="si"/>
    <s v="si"/>
    <s v="si"/>
    <s v="18/01/16 El conductor y el guarda reciben a los pasajeros. El colectivo no indicaba el cartel de destino. Se sirvió el catering correctamente. El guarda preparo el café con leche a unos pasajeros que eran de mayor edad y uno de ellos con discapacidad. El audio del speech, video y película se escucho correctamente. Se tuvo buena predisposición con los pasajeros. Al llegar se despidió a los pasajeros."/>
  </r>
  <r>
    <n v="29"/>
    <s v="JG"/>
    <m/>
    <d v="2016-01-18T00:00:00"/>
    <n v="56"/>
    <s v="MZA SR"/>
    <d v="1899-12-30T15:00:00"/>
    <d v="1899-12-30T15:01:00"/>
    <n v="1293"/>
    <x v="12"/>
    <s v="si"/>
    <s v="si"/>
    <s v="si"/>
    <s v="si"/>
    <s v="si"/>
    <m/>
    <s v="si"/>
    <m/>
    <s v="no"/>
    <s v="no"/>
    <s v="si"/>
    <m/>
    <n v="1149"/>
    <s v="ALDAVE, RAUL IGNACIO"/>
    <m/>
    <m/>
    <s v="si"/>
    <m/>
    <s v="si"/>
    <s v="si"/>
    <s v="no"/>
    <s v="no"/>
    <s v="si"/>
    <s v="no"/>
    <s v="si"/>
    <s v="si"/>
    <s v="si"/>
    <s v="si"/>
    <s v="si"/>
    <s v="18/01/16 Chofer y guarda reciben a pasajeros; solo se vigila la bodega al llegar a SR. Cartel de destino apagado. Guarda habla por teléfono mientras recibía  a los pasajeros (chofer se encarga de cortar pasajes) y luego unos 2 min mas cuando serbia catering. Sirve catering sin seguir el orden establecido, cuando va a retirar los restos una Sra. le pide si le vuelve a servir agua saborizada, guarda dice que no lo hacen, pero se lo vuelve a llenar solamente porque hay gente que no subió al coche. No se perfuma la unidad en ningún momento ( algo muy necesario en el piso inferior por el baño y mamas con niños con pañales) Baño pierde agua, se queda trabajo el botón de descarga. Se adjunta pequeño tronquito de madera encontrado en lateral."/>
  </r>
  <r>
    <n v="30"/>
    <s v="MS"/>
    <m/>
    <d v="2016-01-18T00:00:00"/>
    <n v="47"/>
    <s v="MZA SR"/>
    <d v="1899-12-30T18:00:00"/>
    <d v="1899-12-30T18:03:00"/>
    <n v="1239"/>
    <x v="5"/>
    <s v="si"/>
    <s v="si"/>
    <s v="si"/>
    <s v="si"/>
    <s v="si"/>
    <m/>
    <s v="si"/>
    <m/>
    <s v="no"/>
    <s v="no"/>
    <s v="si"/>
    <m/>
    <n v="1290"/>
    <s v="MORALES, VICTOR HUGO"/>
    <m/>
    <m/>
    <s v="si"/>
    <m/>
    <s v="si"/>
    <s v="si"/>
    <s v="no"/>
    <s v="no"/>
    <s v="si"/>
    <s v="si"/>
    <s v="si"/>
    <s v="si"/>
    <s v="si"/>
    <s v="si"/>
    <s v="si"/>
    <s v="18/01/16 El conductor recibe el boleto de los pasajeros e indica lugar de asiento. Se sirve el catering correctamente. Se perfumo tres veces. Un pasajero pidió que si podía subir el volumen de la película, y el guardia respondió que debía ser un problema de la película porque ya lo había subido. Llevaba las cortinas de la cabina abierta. Al llegar el guardia y conductor despidieron a los pasajeros. "/>
  </r>
  <r>
    <n v="31"/>
    <s v="GN"/>
    <m/>
    <d v="2016-01-19T00:00:00"/>
    <n v="46"/>
    <s v="SR MZA"/>
    <d v="1899-12-30T10:00:00"/>
    <d v="1899-12-30T10:04:00"/>
    <n v="1281"/>
    <x v="2"/>
    <s v="si"/>
    <s v="si"/>
    <s v="si"/>
    <s v="si"/>
    <s v="si"/>
    <m/>
    <s v="si"/>
    <m/>
    <s v="no"/>
    <s v="no"/>
    <s v="si"/>
    <m/>
    <n v="1061"/>
    <s v="TORRES, FERNANDO OMAR"/>
    <m/>
    <m/>
    <s v="si"/>
    <m/>
    <s v="si"/>
    <s v="si"/>
    <s v="no"/>
    <s v="no"/>
    <s v="si"/>
    <s v="si"/>
    <s v="si"/>
    <s v="si"/>
    <s v="si"/>
    <s v="si"/>
    <s v="si"/>
    <s v="19/01/16 No se controlo la bodega en San Rafael. Pusieron el video institucional pero no bajaron los TVs de atrás. Los televisores de atrás tienen mala calidad de imagen, el televisor del medio se balancea. La película no tiene buen audio, esta en ingles, no pusieron subtítulos. Cuando llevaba 5 minutos la retroceden para poner audio en español y los subtítulos. Excelente atención."/>
  </r>
  <r>
    <n v="32"/>
    <s v="GN"/>
    <m/>
    <d v="2016-01-19T00:00:00"/>
    <n v="49"/>
    <s v="MZA SR"/>
    <d v="1899-12-30T18:00:00"/>
    <d v="1899-12-30T18:00:00"/>
    <n v="1137"/>
    <x v="13"/>
    <s v="si"/>
    <s v="si"/>
    <s v="si"/>
    <s v="si"/>
    <s v="si"/>
    <m/>
    <s v="si"/>
    <m/>
    <s v="no"/>
    <s v="no"/>
    <s v="si"/>
    <m/>
    <n v="36"/>
    <s v="ARAYA, MONICA BEATRIZ"/>
    <m/>
    <m/>
    <s v="si"/>
    <m/>
    <s v="si"/>
    <s v="si"/>
    <s v="no"/>
    <s v="no"/>
    <s v="si"/>
    <s v="si"/>
    <s v="no"/>
    <s v="si"/>
    <s v="si"/>
    <s v="si"/>
    <s v="si"/>
    <s v="19/01/26 No se controla la bodega en Mendoza. La funda del televisor del medio del piso de arriba esta roto. El colectivo se detuvo como 10 min en un semáforo de Tunuyán. El  baño hay un aparato roto. Un hombre derramo liquido fue a buscar algo para limpiar pero fue el guarda quien limpio. Se perfumo una sola vez. No despidieron a los pasajeros ya que salía humo de la bodega. Excelente atención. Algunos pasajeros el guardia dio el refrigerio pasillo-ventana. "/>
  </r>
  <r>
    <n v="33"/>
    <s v="MS"/>
    <m/>
    <d v="2016-01-20T00:00:00"/>
    <n v="43"/>
    <s v="SR MZA"/>
    <d v="1899-12-30T10:00:00"/>
    <d v="1899-12-30T10:03:00"/>
    <n v="1190"/>
    <x v="4"/>
    <s v="si"/>
    <s v="si"/>
    <s v="si"/>
    <s v="si"/>
    <s v="si"/>
    <m/>
    <s v="si"/>
    <m/>
    <s v="no"/>
    <s v="no"/>
    <s v="si"/>
    <m/>
    <n v="1143"/>
    <s v="FORTE, MARIO LUIS"/>
    <m/>
    <m/>
    <s v="si"/>
    <m/>
    <s v="si"/>
    <s v="si"/>
    <s v="no"/>
    <s v="no"/>
    <s v="si"/>
    <s v="si"/>
    <s v="si"/>
    <s v="si"/>
    <s v="si"/>
    <s v="si"/>
    <s v="si"/>
    <s v="20/01/16 El conductor y el guarda reciben a los pasajeros. Indican la ubicación del asiento. Sirven el catering correctamente. Se perfumo una vez. El audio del speech y la película se escuchaban muy bajos. Al llegar despidieron a los pasajeros. Y se reviso la bodega. "/>
  </r>
  <r>
    <n v="34"/>
    <s v="MS"/>
    <m/>
    <d v="2016-01-20T00:00:00"/>
    <n v="47"/>
    <s v="MZA SR"/>
    <d v="1899-12-30T18:00:00"/>
    <d v="1899-12-30T18:02:00"/>
    <n v="1155"/>
    <x v="0"/>
    <s v="si"/>
    <s v="si"/>
    <s v="si"/>
    <s v="si"/>
    <s v="si"/>
    <m/>
    <s v="si"/>
    <m/>
    <s v="no"/>
    <s v="no"/>
    <s v="si"/>
    <m/>
    <n v="36"/>
    <s v="ARAYA, MONICA BEATRIZ"/>
    <m/>
    <m/>
    <s v="si"/>
    <m/>
    <s v="si"/>
    <s v="si"/>
    <s v="no"/>
    <s v="no"/>
    <s v="si"/>
    <s v="si"/>
    <s v="si"/>
    <s v="si"/>
    <s v="si"/>
    <s v="si"/>
    <s v="si"/>
    <s v="20/01/16 La azafata recibe a los pasajeros. Informa los lugares de ubicación. El catering se sirvió correctamente. Al subir pasajeros en San Carlos se les dio el catering correctamente. Se tiene buena predisposición con los pasajeros que piden agua. Se perfumo dos veces. La azafata llevo dos vasos de agua a la cabina. Al llegar se despidió a los pasajeros amablemente."/>
  </r>
  <r>
    <n v="35"/>
    <s v="JG"/>
    <m/>
    <d v="2016-01-21T00:00:00"/>
    <n v="43"/>
    <s v="SR MZA"/>
    <d v="1899-12-30T07:00:00"/>
    <d v="1899-12-30T07:01:00"/>
    <n v="1190"/>
    <x v="4"/>
    <s v="si"/>
    <s v="si"/>
    <s v="si"/>
    <s v="no"/>
    <s v="si"/>
    <m/>
    <s v="si"/>
    <m/>
    <s v="si"/>
    <s v="si"/>
    <s v="si"/>
    <s v="21/01/16  chofer compra galletas Terrabucci y las lleva a cabina, va y viene, al llegar a Mza ambos se quedan en la puerta despidiendo. No se vigila la bodega en ninguna oportunidad. Cuando es guarda habla por teléfono."/>
    <n v="1143"/>
    <s v="FORTE, MARIO LUIS"/>
    <m/>
    <m/>
    <s v="si"/>
    <m/>
    <s v="si"/>
    <s v="si"/>
    <s v="no"/>
    <s v="si"/>
    <s v="no"/>
    <s v="no"/>
    <s v="no"/>
    <s v="si"/>
    <m/>
    <s v="si"/>
    <s v="si"/>
    <s v="21/01/16 Guarda recibe a pasajeros; Guarda reparte y sirve el catering sin seguir el orden establecido, no sale mas de l a cabina. En TSC cambian de lugar y el nuevo guarda perfuma una vez en Ugarteche y se da cuenta que el aire eta muy fuerte. En Zapata la unidad se hace a un lado, esta parada unos 3/4 minutos, dos personas con camisas blancas miran unos papeles que el guarda le pasa; no identifico quienes son. Baño con agua y jabón, se divisa liquido de desecho color marrón y trozos de materia fecal flotando."/>
  </r>
  <r>
    <n v="36"/>
    <s v="GN"/>
    <m/>
    <d v="2016-01-21T00:00:00"/>
    <n v="47"/>
    <s v="SR MZA"/>
    <d v="1899-12-30T10:00:00"/>
    <d v="1899-12-30T10:09:00"/>
    <n v="1155"/>
    <x v="0"/>
    <s v="si"/>
    <s v="si"/>
    <s v="si"/>
    <s v="si"/>
    <s v="si"/>
    <m/>
    <s v="si"/>
    <m/>
    <s v="no"/>
    <s v="no"/>
    <s v="si"/>
    <s v="21/01/16 No se controlo la bodega en San Rafael."/>
    <n v="1290"/>
    <s v="MORALES, VICTOR HUGO"/>
    <m/>
    <m/>
    <s v="si"/>
    <m/>
    <s v="si"/>
    <s v="si"/>
    <s v="no"/>
    <s v="no"/>
    <s v="si"/>
    <s v="si"/>
    <s v="si"/>
    <s v="si"/>
    <s v="si"/>
    <s v="si"/>
    <s v="si"/>
    <s v="21/01/16  La película se escucho bien hasta E. Bustos luego bajaron el volumen, se lo subieron de nuevo a pedido de un pasajero. Excelente atención. "/>
  </r>
  <r>
    <n v="37"/>
    <s v="JG"/>
    <m/>
    <d v="2016-01-21T00:00:00"/>
    <n v="47"/>
    <s v="MZA SR"/>
    <d v="1899-12-30T15:00:00"/>
    <d v="1899-12-30T15:03:00"/>
    <n v="1155"/>
    <x v="0"/>
    <s v="si"/>
    <s v="si"/>
    <s v="si"/>
    <s v="no"/>
    <s v="si"/>
    <m/>
    <s v="si"/>
    <m/>
    <s v="no"/>
    <s v="si"/>
    <s v="si"/>
    <m/>
    <n v="1290"/>
    <s v="MORALES, VICTOR HUGO"/>
    <m/>
    <m/>
    <s v="si"/>
    <m/>
    <s v="si"/>
    <s v="si"/>
    <s v="no"/>
    <s v="si"/>
    <s v="si"/>
    <s v="si"/>
    <s v="si"/>
    <s v="si"/>
    <s v="si"/>
    <s v="si"/>
    <s v="si"/>
    <s v="21/06/16 La unidad llega a plataforma a las 14:50hs. Chofer y guarda reciben a pasajeros, al llegar guarda despide y chofer conversa con un familiar, la bodega no es vigilada. Vendedor de boletos, antes de salir  sube a la unidad y le dice a la pasajera de butaca 5 que le habían hecho mal los pasajes, que la fecha estaba mal y que ahí le llevaba el boleto que correspondía y que le diera el que ella tenia. Pasajero butaca 14 coloca sus pies con zapatillas arriba del bar, guarda no le llama la atención. cinturón butaca 6 incompleto. Guarda sirve correctamente el catering, luego le piden agua y el lo sirve sin problemas. Mucho calor en la unidad, varios pasajeros le piden que aumente el aire acondicionado. En TSC cambian de lugar, allí baja un policía y suben dos pasajeros, quienes lo hacen por la puerta de cabina. El nuevo guarda perfuma dos veces. Guarda se lleva agua saborizada a cabina, sirve agua a los pasajeros que le piden."/>
  </r>
  <r>
    <n v="38"/>
    <s v="GN"/>
    <m/>
    <d v="2016-01-21T00:00:00"/>
    <n v="49"/>
    <s v="MZA SR"/>
    <d v="1899-12-30T18:00:00"/>
    <d v="1899-12-30T18:00:00"/>
    <n v="1137"/>
    <x v="13"/>
    <s v="si"/>
    <s v="si"/>
    <s v="si"/>
    <s v="no"/>
    <s v="si"/>
    <m/>
    <s v="si"/>
    <m/>
    <s v="no"/>
    <s v="no"/>
    <s v="si"/>
    <s v="21/01/16 No se controlo la bodega ni en Mendoza ni en San Rafael."/>
    <n v="36"/>
    <s v="ARAYA, MONICA BEATRIZ"/>
    <m/>
    <m/>
    <s v="si"/>
    <s v="no"/>
    <s v="si"/>
    <s v="si"/>
    <s v="no"/>
    <s v="no"/>
    <s v="si"/>
    <s v="si"/>
    <s v="si"/>
    <s v="si"/>
    <s v="si"/>
    <s v="si"/>
    <s v="si"/>
    <s v="21/01/16  Habían diarios sobre el minibar. El aire no funcionaba, la azafata ofreció un poco mas de jugo a los pasajeros, nos informo que se iban a detener en la estación de servicio del Mercosur porque el chofer iba a tratar de arreglar el aire estuvo detenido como 5 minutos pero no lo soluciono, la azafata nuevamente ofreció jugo. Luego en la ruta se detuvo 2 veces mas por unos minutos. Nos hizo abrir las ventanitas por un rato, luego nos las hizo cerrar, porque empezó a andar el aire. No pusieron el video institucional, la película tenia sonido bajo. pusieron el speech sobre la calle Granaderos a una cuadra de la terminal. Excelente atención."/>
  </r>
  <r>
    <n v="39"/>
    <s v="JG"/>
    <m/>
    <d v="2016-01-25T00:00:00"/>
    <n v="46"/>
    <s v="SR MZA"/>
    <d v="1899-12-30T07:00:00"/>
    <d v="1899-12-30T07:03:00"/>
    <n v="1232"/>
    <x v="14"/>
    <s v="si"/>
    <s v="si"/>
    <s v="si"/>
    <s v="si"/>
    <s v="si"/>
    <m/>
    <s v="no"/>
    <m/>
    <s v="si"/>
    <s v="si"/>
    <s v="si"/>
    <s v="25/01/16 La bodega solo es vigilada al llegar a Tmza. Perfuma una vez la unidad. En TSC pasa a ser guarda y habla por teléfono (J. González)"/>
    <n v="1171"/>
    <s v="STILO, CESAR ARIEL"/>
    <m/>
    <m/>
    <s v="si"/>
    <m/>
    <s v="si"/>
    <s v="si"/>
    <s v="no"/>
    <s v="si"/>
    <s v="si"/>
    <s v="si"/>
    <s v="si"/>
    <s v="si"/>
    <m/>
    <s v="si"/>
    <s v="si"/>
    <s v="25/01/16 Chofer ( González) y guarda (Stilo) reciben a pasajeros. Laterales con muchas migas. Guarda ofrece catering con pocas palabras, lo sirve el orden que corresponde, luego se lleva agua caliente a cabina y saliendo de TSC se siente como abren un paquete de galletas. Perfuma la unidad una vez cada uno. Un niño en el piso inferior grita mas de la mitad del viaje, lo que lo hace muy incomodo. "/>
  </r>
  <r>
    <n v="40"/>
    <s v="MS"/>
    <m/>
    <d v="2016-01-25T00:00:00"/>
    <n v="42"/>
    <s v="SR MZA"/>
    <d v="1899-12-30T10:00:00"/>
    <d v="1899-12-30T10:02:00"/>
    <n v="1028"/>
    <x v="8"/>
    <s v="si"/>
    <s v="si"/>
    <s v="si"/>
    <s v="si"/>
    <s v="si"/>
    <m/>
    <s v="si"/>
    <m/>
    <s v="no"/>
    <s v="no"/>
    <s v="si"/>
    <s v="25/01/16 Al llegar se reviso la bodega."/>
    <n v="1061"/>
    <s v="TORRES, FERNANDO OMAR"/>
    <m/>
    <m/>
    <s v="si"/>
    <m/>
    <s v="si"/>
    <s v="si"/>
    <s v="no"/>
    <s v="no"/>
    <s v="si"/>
    <s v="si"/>
    <s v="si"/>
    <s v="si"/>
    <s v="si"/>
    <s v="si"/>
    <s v="si"/>
    <s v="25/01/16 El guarda y el conductor reciben a los pasajeros y dan la ubicación de los lugares. El catering se sirve correctamente y el guarda tiene muy buena predisposición ante los pedidos. Pregunta a la hora de servir que lo que quieren consumir. Luego le sirve agua a un pasajero. Circulan y perfuman dos veces por la unidad. El speech se reprodujo correctamente al salir de Toledano. El video y la película se vio en todos los televisores excepto de uno que estaba roto y que daba en dirección de las butacas 7,8,9,10,11,12,13 y 14.  Y se despidió de los pasajeros atentamente."/>
  </r>
  <r>
    <n v="41"/>
    <s v="JG"/>
    <m/>
    <d v="2016-01-25T00:00:00"/>
    <n v="42"/>
    <s v="MZA SR"/>
    <d v="1899-12-30T15:00:00"/>
    <d v="1899-12-30T15:01:00"/>
    <n v="1028"/>
    <x v="8"/>
    <s v="si"/>
    <s v="si"/>
    <s v="si"/>
    <s v="no"/>
    <s v="si"/>
    <m/>
    <s v="si"/>
    <m/>
    <s v="no"/>
    <s v="no"/>
    <s v="si"/>
    <m/>
    <n v="1061"/>
    <s v="TORRES, FERNANDO OMAR"/>
    <m/>
    <m/>
    <s v="si"/>
    <m/>
    <s v="si"/>
    <s v="si"/>
    <s v="no"/>
    <s v="no"/>
    <s v="no"/>
    <s v="si"/>
    <s v="si"/>
    <s v="si"/>
    <s v="si"/>
    <s v="no"/>
    <s v="si"/>
    <s v="25/01/16 Chofer (Torres) y Guarda reciben a pasajeros, no se vigila la bodega en ningún momento. Catering ofreció sin emitir palabra, servido sin seguir el orden establecido. El Tv ubicado entre butacas 1-2 y 5-6 esta en negro, no emite imagen por lo que no se puede observar ni V. Institucional ni la película que es emitida sin volumen. Guarda perfuma dos veces, luego en TSC cambian de lugar y el nuevo guarda solo sube al piso superior a verificar si alguien baja en Aeropuerto o Toledano. Cortina entre cabina y escaleras corridas hacia la mitad de la pasada. "/>
  </r>
  <r>
    <n v="42"/>
    <s v="MS"/>
    <m/>
    <d v="2016-01-25T00:00:00"/>
    <n v="56"/>
    <s v="MZA SR"/>
    <d v="1899-12-30T18:00:00"/>
    <d v="1899-12-30T18:01:00"/>
    <n v="1208"/>
    <x v="9"/>
    <s v="si"/>
    <s v="si"/>
    <s v="si"/>
    <s v="si"/>
    <s v="si"/>
    <m/>
    <s v="si"/>
    <m/>
    <s v="no"/>
    <s v="no"/>
    <s v="si"/>
    <m/>
    <n v="1258"/>
    <s v="ORTIZ, HECTOR HERNAN"/>
    <m/>
    <m/>
    <s v="si"/>
    <m/>
    <s v="si"/>
    <s v="si"/>
    <s v="no"/>
    <s v="no"/>
    <s v="si"/>
    <s v="si"/>
    <s v="si"/>
    <s v="si"/>
    <s v="si"/>
    <s v="si"/>
    <s v="si"/>
    <s v="25/01/16 El guarda recibe a los pasajeros, indica el lugar de ubicación. Sirve correctamente el catering. El audio y el speech se escuchaban correctamente. Una monja fue a la cabina a decirle a los choferes que si podían poner la película que tenían ellas de la guerra civil. El guarda respetuosamente le respondió que debían poner las películas que la empresa proveía. Luego paso 40 minutos y no habían puesto ninguna película. y el guarda respondió que si, solo que tenían un problema con el reproductor. A los 5 min comenzó a reproducir el DVD. Se perfumo 2 veces y al llegar se despidió a los pasajeros. "/>
  </r>
  <r>
    <n v="43"/>
    <s v="GN"/>
    <m/>
    <d v="2016-01-29T00:00:00"/>
    <n v="46"/>
    <s v="SR MZA"/>
    <d v="1899-12-30T10:00:00"/>
    <d v="1899-12-30T10:00:00"/>
    <n v="1171"/>
    <x v="15"/>
    <s v="si"/>
    <s v="si"/>
    <s v="si"/>
    <s v="si"/>
    <s v="si"/>
    <m/>
    <s v="si"/>
    <m/>
    <s v="no"/>
    <s v="no"/>
    <s v="si"/>
    <s v="29/01/16 No se controlo la bodega en San Rafael, chofer fue a buscar los refrigerios."/>
    <n v="1276"/>
    <s v="ABALLAY, SERGIO GUSTAVO JAVIER"/>
    <m/>
    <m/>
    <s v="si"/>
    <m/>
    <s v="si"/>
    <s v="si"/>
    <s v="no"/>
    <s v="no"/>
    <s v="si"/>
    <s v="si"/>
    <s v="no"/>
    <s v="si"/>
    <s v="si"/>
    <s v="no"/>
    <s v="si"/>
    <s v="29/01/16 Pusieron el speech en la terminal después subieron pasajeros en Toledano. No utilizo alcohol en gel el guarda (alto, mancha en cuello Albornoz). En zona de las paredes sirvió el refrigerio en la planta baja como a los 10 minutos lo sirvió en el primer piso. El video no comenzó con buen audio, la imagen es muy oscura. Pusieron un documental de 40 minutos con mal audio y mala imagen, termino antes de legar a San Carlos, los televisores permanecieron encendidos hasta Tunuyán. Se perfumo solo una vez."/>
  </r>
  <r>
    <n v="44"/>
    <s v="MS"/>
    <m/>
    <d v="2016-01-29T00:00:00"/>
    <n v="44"/>
    <s v="SR MGUE"/>
    <d v="1899-12-30T14:00:00"/>
    <d v="1899-12-30T14:05:00"/>
    <n v="1232"/>
    <x v="14"/>
    <s v="si"/>
    <s v="si"/>
    <s v="si"/>
    <s v="si"/>
    <s v="si"/>
    <m/>
    <s v="si"/>
    <m/>
    <s v="no"/>
    <s v="no"/>
    <s v="si"/>
    <m/>
    <n v="1282"/>
    <s v="CRUZATE, SERGIO SEBASTIAN"/>
    <m/>
    <m/>
    <s v="si"/>
    <m/>
    <s v="si"/>
    <s v="si"/>
    <s v="no"/>
    <s v="no"/>
    <s v="si"/>
    <s v="si"/>
    <s v="si"/>
    <s v="si"/>
    <s v="si"/>
    <s v="si"/>
    <s v="si"/>
    <s v="29/01/16 El guarda (González Jorge) recibe a los pasajeros. Indica lugar de asiento. Sirve correctamente el catering. Perfumo dos veces. La película, el video y speech se reprodujeron correctamente. El guarda llamo la atención a un niño de 3-4 años que se encontraba en la escalera. Al llegar reviso la bodega. Saludo a los pasajeros al costado de la puerta de accesos. "/>
  </r>
  <r>
    <n v="45"/>
    <s v="GN"/>
    <m/>
    <d v="2016-01-29T00:00:00"/>
    <n v="42"/>
    <s v="MZA SR"/>
    <d v="1899-12-30T18:00:00"/>
    <d v="1899-12-30T18:00:00"/>
    <n v="1222"/>
    <x v="16"/>
    <s v="si"/>
    <s v="si"/>
    <s v="si"/>
    <s v="si"/>
    <s v="si"/>
    <m/>
    <s v="si"/>
    <m/>
    <s v="no"/>
    <s v="no"/>
    <s v="si"/>
    <s v="29/01/16 No se controlo la bodega en Mendoza, el chofer fue a buscar la lista de pasajeros."/>
    <n v="36"/>
    <s v="ARAYA, MONICA BEATRIZ"/>
    <m/>
    <m/>
    <s v="si"/>
    <s v="no"/>
    <s v="si"/>
    <s v="si"/>
    <s v="no"/>
    <s v="no"/>
    <s v="si"/>
    <s v="si"/>
    <s v="si"/>
    <s v="si"/>
    <s v="si"/>
    <s v="si"/>
    <s v="si"/>
    <s v="29/01/2016 La azafata le dijo a un pasajero que no podía entrar al baño hasta que la unidad este en movimiento, que fuera al baño de la terminal que aun tenia tiempo. Sobre la butaca 1 falta la tapa con la que el pasajero puede regular el aire acondicionado. El video institucional no se escucha bien, l película tampoco. Excelente atención. "/>
  </r>
  <r>
    <n v="46"/>
    <s v="MS"/>
    <m/>
    <d v="2016-01-29T00:00:00"/>
    <n v="44"/>
    <s v="MGUE SR"/>
    <d v="1899-12-30T18:00:00"/>
    <d v="1899-12-30T18:02:00"/>
    <n v="1232"/>
    <x v="14"/>
    <s v="si"/>
    <s v="si"/>
    <s v="si"/>
    <m/>
    <s v="si"/>
    <m/>
    <s v="si"/>
    <m/>
    <s v="no"/>
    <s v="no"/>
    <s v="si"/>
    <m/>
    <n v="1282"/>
    <s v="CRUZATE, SERGIO SEBASTIAN"/>
    <m/>
    <m/>
    <s v="si"/>
    <m/>
    <s v="si"/>
    <s v="si"/>
    <s v="no"/>
    <s v="no"/>
    <s v="si"/>
    <s v="si"/>
    <s v="si"/>
    <s v="si"/>
    <s v="si"/>
    <s v="si"/>
    <s v="si"/>
    <s v="29/01/2016 El conductor (González Jorge) y el guarda (morocho, alto, medianamente joven) reciben a los pasajeros. El guarda sirve el catering un poco serio y retira los residuos rápidamente, algunos pasajeros aun consumían. Luego coloca desodorante en el baño y perfuma una vez. El audio, película y speech se reproducen correctamente. "/>
  </r>
  <r>
    <n v="47"/>
    <s v="JG"/>
    <m/>
    <d v="2016-01-30T00:00:00"/>
    <n v="46"/>
    <s v="SR MZA"/>
    <d v="1899-12-30T07:00:00"/>
    <d v="1899-12-30T07:03:00"/>
    <n v="1045"/>
    <x v="10"/>
    <s v="si"/>
    <s v="si"/>
    <s v="si"/>
    <s v="no"/>
    <s v="si"/>
    <m/>
    <s v="si"/>
    <m/>
    <s v="no"/>
    <s v="si"/>
    <s v="si"/>
    <m/>
    <n v="1281"/>
    <s v="ALBORNOZ, OSCAR PEDRO"/>
    <m/>
    <m/>
    <s v="si"/>
    <m/>
    <s v="si"/>
    <s v="si"/>
    <s v="no"/>
    <s v="si"/>
    <s v="si"/>
    <s v="si"/>
    <s v="no"/>
    <s v="si"/>
    <m/>
    <s v="si"/>
    <s v="si"/>
    <s v="30/01/16 La unidad esta 15 min antes. Recibe el guarda solo (Funcia), el chofer (Albornoz) va y viene no se vigila nunca la bodega. Antes de salir la policía sube a la unidad y hace bajar a dos pasajeros, la unidad sale de plataforma sin ellos. Guarda (Funcia) tarda mucho en servir el catering en el piso inferior (7:52 lo reparte); un pasajero del piso de abajo fue a la cabina se quejaba d ella luz prendida, el chofer apago la mitad. En paso las Carretas suben 4 pasajeros, que se quedan en las escaleras, dos iban a Mendoza, guarda las dice que cuando se desocupe una butaca el los ubica, en TSC bajaron unos pasajeros y como el guarda no les decía nada ellos mismos fueron a buscar butaca, no les  dieron catering. En TSC cambian de lugar, el nuevo guarda (Albornoz Pedro) perfuma una vez y coloca en un termo agua caliente de la cafetera del piso inferior. luego entra al baño y lo limpia. "/>
  </r>
  <r>
    <n v="48"/>
    <s v="JG"/>
    <m/>
    <d v="2016-01-30T00:00:00"/>
    <n v="42"/>
    <s v="MZA SR"/>
    <d v="1899-12-30T15:00:00"/>
    <d v="1899-12-30T15:02:00"/>
    <n v="1222"/>
    <x v="16"/>
    <s v="si"/>
    <s v="si"/>
    <s v="si"/>
    <s v="no"/>
    <s v="si"/>
    <m/>
    <s v="si"/>
    <m/>
    <s v="si"/>
    <s v="no"/>
    <s v="no"/>
    <m/>
    <n v="1028"/>
    <s v="ESPASANDIN, ISAIAS PEDRO"/>
    <m/>
    <m/>
    <s v="si"/>
    <m/>
    <s v="si"/>
    <s v="si"/>
    <s v="no"/>
    <s v="no"/>
    <s v="si"/>
    <s v="si"/>
    <s v="no"/>
    <s v="si"/>
    <s v="si"/>
    <s v="si"/>
    <s v="si"/>
    <s v="30/01/2016 El guarda (Tapia), recibe solo a los pasajeros, el chofer lega luego con la lista de pasajeros. No se vigilo la bodega en ninguna oportunidad. Catering ofrecido y servido correctamente. Speech y película con audio correcto. En TSC cambian de lugar la unidad estuvo parada unos 15 minutos, no subió ningún pasajero. A las 17:15 hs a un costado de la ruta hay un Buttini roto, la unidad se para y esta otros 15 minutos allí, hacen subir a tres pasajeros con bolsos, obstruyendo completamente la escalera, lo que dificulta a pasajeros bajar al baño. No se perfuma la unidad."/>
  </r>
  <r>
    <n v="49"/>
    <s v="GN"/>
    <m/>
    <d v="2016-02-01T00:00:00"/>
    <n v="49"/>
    <s v="SR MZA"/>
    <d v="1899-12-30T07:00:00"/>
    <d v="1899-12-30T07:08:00"/>
    <n v="1167"/>
    <x v="11"/>
    <s v="si"/>
    <s v="si"/>
    <s v="si"/>
    <s v="si"/>
    <s v="si"/>
    <m/>
    <s v="si"/>
    <m/>
    <s v="no"/>
    <s v="no"/>
    <s v="si"/>
    <s v="01/02/16 No se controlo la bodega en San Rafael"/>
    <n v="1281"/>
    <s v="ALBORNOZ, OSCAR PEDRO"/>
    <m/>
    <m/>
    <s v="si"/>
    <m/>
    <s v="si"/>
    <s v="si"/>
    <s v="no"/>
    <s v="no"/>
    <s v="si"/>
    <s v="si"/>
    <s v="no"/>
    <s v="si"/>
    <m/>
    <s v="si"/>
    <s v="si"/>
    <s v="01/02/16 . La funda del televisor del medio, primer piso esta rota. La cámara de seguridad que esta en el parabrisas de arriba esta apuntando hacia el televisor, el piso del baño esta mojado. En Eugenio Bustos el guarda y el chofer cambiaron de lugar. se perfuma una sola vez. el cartel indica baño ocupado  todo el tiempo. "/>
  </r>
  <r>
    <n v="50"/>
    <s v="MS"/>
    <m/>
    <d v="2016-02-01T00:00:00"/>
    <n v="56"/>
    <s v="SR MZA"/>
    <d v="1899-12-30T10:00:00"/>
    <d v="1899-12-30T10:03:00"/>
    <n v="1208"/>
    <x v="9"/>
    <s v="si"/>
    <s v="si"/>
    <s v="si"/>
    <s v="si"/>
    <s v="si"/>
    <m/>
    <s v="si"/>
    <m/>
    <s v="no"/>
    <s v="no"/>
    <s v="si"/>
    <s v="01/02/16  se reviso la bodega."/>
    <n v="1232"/>
    <s v="GONZALEZ, JORGE DAVID"/>
    <m/>
    <m/>
    <s v="si"/>
    <m/>
    <s v="si"/>
    <s v="si"/>
    <s v="no"/>
    <s v="no"/>
    <s v="si"/>
    <s v="si"/>
    <s v="si"/>
    <s v="si"/>
    <s v="si"/>
    <s v="si"/>
    <s v="si"/>
    <s v="01/02/16 El conductor y guarda (González Jorge) recibe  a los pasajeros. Sirve correctamente a el catering y tiene buena predisposición con los pasajeros. Perfumo dos veces la unidad. Luego subió a observar como se veía y se escuchaba la película. El audio y el video se reprodujeron correctamente. a película al comienzo andaba mal, pero luego se soluciono y anduvo bien. Al llegar el guarda despidió y ayudo a una pasajera a bajar."/>
  </r>
  <r>
    <n v="51"/>
    <s v="GN"/>
    <m/>
    <d v="2016-02-01T00:00:00"/>
    <n v="56"/>
    <s v="MZA SR"/>
    <d v="1899-12-30T15:00:00"/>
    <d v="1899-12-30T15:00:00"/>
    <n v="1208"/>
    <x v="9"/>
    <s v="si"/>
    <s v="si"/>
    <s v="si"/>
    <s v="si"/>
    <s v="si"/>
    <m/>
    <s v="si"/>
    <m/>
    <s v="no"/>
    <s v="no"/>
    <s v="si"/>
    <s v="01/02/16 No se controlo la bodega en Mendoza"/>
    <n v="1232"/>
    <s v="GONZALEZ, JORGE DAVID"/>
    <m/>
    <m/>
    <s v="si"/>
    <m/>
    <s v="si"/>
    <s v="si"/>
    <s v="no"/>
    <s v="no"/>
    <s v="si"/>
    <s v="si"/>
    <s v="no"/>
    <s v="si"/>
    <s v="si"/>
    <s v="si"/>
    <s v="si"/>
    <s v="01/02/2016 Falta numeración butaca 54,59,60,61,62. El speech casi no se escucho saliendo de Mendoza ni llegando a la terminal de San Rafael. El video y la película tiene mal audio. Falta la tapa del inodoro.  "/>
  </r>
  <r>
    <n v="52"/>
    <s v="MS"/>
    <m/>
    <d v="2016-02-01T00:00:00"/>
    <n v="47"/>
    <s v="MZA SR"/>
    <d v="1899-12-30T18:00:00"/>
    <d v="1899-12-30T18:00:00"/>
    <n v="1123"/>
    <x v="17"/>
    <s v="si"/>
    <s v="si"/>
    <s v="si"/>
    <s v="si"/>
    <s v="si"/>
    <m/>
    <s v="si"/>
    <m/>
    <s v="no"/>
    <s v="no"/>
    <s v="si"/>
    <s v="01/02/16 El chofer al legar reviso la bodega."/>
    <n v="1143"/>
    <s v="FORTE, MARIO LUIS"/>
    <m/>
    <m/>
    <s v="si"/>
    <m/>
    <s v="si"/>
    <s v="si"/>
    <s v="no"/>
    <s v="no"/>
    <s v="si"/>
    <s v="si"/>
    <s v="si"/>
    <s v="si"/>
    <s v="si"/>
    <s v="si"/>
    <s v="si"/>
    <s v="01/02/16 El guarda (Bravo Marcelo) recibe a los pasajeros e indica el lugar de asiento. Sirve el catering correctamente, subió dos veces y perfumo solo una vez. La película la ultima parte se trabo y volvió al inicio por 10 minuto y luego la sacaron. Al llegar el guarda despidió a los pasajeros amablemente. El audio y el speech se escucharon correctamente. "/>
  </r>
  <r>
    <n v="53"/>
    <s v="GN"/>
    <m/>
    <d v="2016-02-02T00:00:00"/>
    <n v="44"/>
    <s v="SR MGUE"/>
    <d v="1899-12-30T14:00:00"/>
    <d v="1899-12-30T14:00:00"/>
    <n v="1288"/>
    <x v="18"/>
    <s v="si"/>
    <s v="si"/>
    <s v="si"/>
    <s v="si"/>
    <s v="si"/>
    <m/>
    <s v="si"/>
    <m/>
    <s v="no"/>
    <s v="no"/>
    <s v="si"/>
    <s v="02/02/2016 No se controlo la bodega en San Rafael."/>
    <n v="91"/>
    <s v="UBILLOS, JOANA MIRTA SOLEDAD"/>
    <m/>
    <m/>
    <s v="si"/>
    <s v="no"/>
    <s v="si"/>
    <s v="si"/>
    <s v="no"/>
    <s v="no"/>
    <s v="si"/>
    <s v="si"/>
    <s v="si"/>
    <s v="si"/>
    <s v="si"/>
    <s v="si"/>
    <s v="si"/>
    <s v="02/02/2016 En Av. Moreno subió el inspector reviso la unidad y el baño. Pusieron una película y la sacaron, cuando la azafata paso a recoger los vasos nos dijo que no le funcionaba el control del televisor para poner los subtítulos, por eso no podía poner una película. El basurero del baño no esta en posición correcta. Se filtra agua en la unidad, caía sobre el barandal de la puerta. Habían envoltorios de las galletas en el pota vasos de la butaca 51. "/>
  </r>
  <r>
    <n v="54"/>
    <s v="GN"/>
    <m/>
    <d v="2016-02-02T00:00:00"/>
    <n v="44"/>
    <s v="MGUE SR"/>
    <d v="1899-12-30T18:00:00"/>
    <d v="1899-12-30T18:00:00"/>
    <n v="1288"/>
    <x v="18"/>
    <s v="si"/>
    <s v="si"/>
    <s v="si"/>
    <s v="si"/>
    <s v="si"/>
    <m/>
    <s v="si"/>
    <m/>
    <s v="no"/>
    <s v="no"/>
    <s v="si"/>
    <s v="02/02/2016 No se controlo la bodega en Malargüe"/>
    <n v="91"/>
    <s v="UBILLOS, JOANA MIRTA SOLEDAD"/>
    <m/>
    <m/>
    <s v="si"/>
    <s v="no"/>
    <s v="si"/>
    <s v="si"/>
    <s v="no"/>
    <s v="no"/>
    <s v="si"/>
    <s v="si"/>
    <s v="si"/>
    <s v="si"/>
    <s v="si"/>
    <s v="si"/>
    <s v="si"/>
    <s v="02/02/2016 El chofer recibía a los pasajeros, la azafata los buscaba en la lista. No se reprodujo película. La azafata subió la temperatura del aire por lo que nos pregunto un par de veces si el ambiente estaba agradable. Cada vez descendía un pasajero en el camino la azafata, bajaba para despedirlos.  "/>
  </r>
  <r>
    <n v="55"/>
    <s v="JG"/>
    <m/>
    <d v="2016-02-04T00:00:00"/>
    <n v="47"/>
    <s v="SR MZA"/>
    <d v="1899-12-30T07:00:00"/>
    <d v="1899-12-30T07:01:00"/>
    <n v="1285"/>
    <x v="19"/>
    <s v="si"/>
    <s v="si"/>
    <s v="si"/>
    <s v="si"/>
    <s v="si"/>
    <m/>
    <s v="si"/>
    <m/>
    <s v="si"/>
    <s v="no"/>
    <s v="si"/>
    <s v="04/02/16 Chofer (Correa) recibe solo a los pasajeros, atento saluda e indica asiento y piso. En TSC es el nuevo guarda (Correa) perfuma dos veces incluido el baño, habla por teléfono. Despide a los pasajeros."/>
    <n v="1294"/>
    <s v="MARIN, LUIS ALBERTO"/>
    <m/>
    <m/>
    <s v="si"/>
    <m/>
    <s v="si"/>
    <s v="si"/>
    <s v="no"/>
    <s v="no"/>
    <s v="no"/>
    <s v="si"/>
    <s v="si"/>
    <s v="no"/>
    <m/>
    <s v="no"/>
    <s v="si"/>
    <s v="04/02/16 El guarda (Marín) no recibe a pasajeros, esta acomodando el catering. Al llegar a  Rivadavia el guarda (Marín) le comunica al chofer que siga de largo, que no doble porque hay un bache (rotura) y no se puede pasar, la unidad llega hasta la Av. Yrigoyen y doble a la derecha retomando camino. Speech antes de llegar al Aeropuerto (donde suben pasajeros) el guarda en vez de verificar él mismo el audio, le pregunto a un policía que estaba en la puerta/escalera, él le indico que en el piso de abajo nada y arriba muy bajo, le subieron el volumen y solo se escucho audio en ingles. Catering ofrecido amable, sirve sin seguir el orden establecido. Perfuma una vez. El TSC comienza a ser chofer, al llegar a Mendoza vigila la bodega. Baño con agua, buen aspecto, el dispenser del baño esta atascado. "/>
  </r>
  <r>
    <n v="56"/>
    <s v="MS"/>
    <m/>
    <d v="2016-02-04T00:00:00"/>
    <n v="45"/>
    <s v="SR MZA"/>
    <d v="1899-12-30T10:00:00"/>
    <d v="1899-12-30T10:03:00"/>
    <n v="1169"/>
    <x v="6"/>
    <s v="si"/>
    <s v="si"/>
    <s v="si"/>
    <s v="si"/>
    <s v="si"/>
    <m/>
    <s v="si"/>
    <m/>
    <s v="no"/>
    <s v="no"/>
    <s v="si"/>
    <s v="04/02/16 En San Carlos el conductor (Sánchez, bigote, pelo negro, voz ronca) cambio de lugar con el guarda anterior, este perfumo solo una vez. Antes de llegar a terminal por Lujan se escuchaba al guarda (Sánchez) hablando por teléfono. Conversaba acerca del cambio chileno. la conversación habrá durado 5 min. Al bajar se despidió de los pasajeros. "/>
    <n v="1149"/>
    <s v="ALDAVE, RAUL IGNACIO"/>
    <m/>
    <m/>
    <s v="si"/>
    <m/>
    <s v="si"/>
    <s v="si"/>
    <s v="no"/>
    <s v="no"/>
    <s v="si"/>
    <s v="si"/>
    <s v="si"/>
    <s v="si"/>
    <s v="si"/>
    <s v="si"/>
    <s v="si"/>
    <s v="04/02/16 El guarda (canoso, un poco gordito, medianamente mayor, de estatura media (aparentemente Aldave), no poseía pin. Sirvió el catering correctamente. Amable con los pasajeros. Indicaba a las personas el lugar de asiento. El conductor reviso la bodega. El speech, audio y video se reprodujeron correctamente."/>
  </r>
  <r>
    <n v="57"/>
    <s v="GN"/>
    <m/>
    <d v="2016-02-04T00:00:00"/>
    <n v="44"/>
    <s v="SR MZA"/>
    <d v="1899-12-30T13:00:00"/>
    <d v="1899-12-30T13:00:00"/>
    <n v="1175"/>
    <x v="3"/>
    <s v="si"/>
    <s v="si"/>
    <s v="si"/>
    <s v="si"/>
    <s v="si"/>
    <m/>
    <s v="si"/>
    <m/>
    <s v="no"/>
    <s v="no"/>
    <s v="si"/>
    <m/>
    <n v="54"/>
    <s v="BIBANCO, CYNTHIA DANIELA"/>
    <m/>
    <m/>
    <s v="si"/>
    <s v="no"/>
    <s v="si"/>
    <s v="si"/>
    <s v="no"/>
    <s v="no"/>
    <s v="si"/>
    <s v="si"/>
    <s v="si"/>
    <s v="si"/>
    <s v="si"/>
    <s v="si"/>
    <s v="si"/>
    <s v="04/02/16 Los televisores estaban abajo cuando subí. No se termino de reproducir el speech lo cortaron saliendo del arco cuando un taxi alcanzo la unidad para que subiera un pasajero. El basurero del baño esta fuera de lugar. La azafata abrió las salidas de arriba porque solo funcionaba la circulación del aire. No se subieron los televisores cuando termino la película. No pusieron el speech llegando a Mendoza. Se perfumo 4 veces."/>
  </r>
  <r>
    <n v="58"/>
    <s v="JG"/>
    <m/>
    <d v="2016-02-04T00:00:00"/>
    <n v="45"/>
    <s v="MZA SR"/>
    <d v="1899-12-30T15:00:00"/>
    <d v="1899-12-30T15:16:00"/>
    <n v="1169"/>
    <x v="6"/>
    <s v="si"/>
    <s v="si"/>
    <s v="si"/>
    <s v="no"/>
    <s v="si"/>
    <m/>
    <s v="no"/>
    <m/>
    <s v="no"/>
    <s v="si"/>
    <s v="si"/>
    <s v="04/02/16 Chofer Regresa a boletería, resulta que vendieron 65 boletos y la unidad tiene menor capacidad; chofer habla con una pasajera la misma insiste en viajar; por lo que el conductor (Aldave) sube a la unidad pidiendo la colaboración de 3 pasajeros para viajar en Buttini a las 16hs, que el se comprometía a pagarles el pasaje (lo consigue, dos hombre y una mujer bajan, chofer se va con ellos a la boletería de Buttini); cuando regresa escucho que el chofer le comenta al guarda que se discutió con los de boletería y uno de ellos lo puteo. Por ese inconveniente sale 15 min mas tarde. Luego de TSC comienza a ser guarda. Perfuma dos veces la unidad. Y se lo ve manipular su teléf. celular. Al llegar despide a pasajeros."/>
    <n v="1149"/>
    <s v="ALDAVE, RAUL IGNACIO"/>
    <m/>
    <m/>
    <s v="si"/>
    <m/>
    <s v="si"/>
    <s v="si"/>
    <s v="no"/>
    <s v="si"/>
    <s v="si"/>
    <s v="si"/>
    <s v="si"/>
    <s v="si"/>
    <s v="si"/>
    <s v="si"/>
    <s v="si"/>
    <s v="04/02/16 La unidad llega a plataforma 14:50hs. Guarda (Sánchez) recibe a pasajeros solo; cuando llega el chofer (Aldave) habla con el guarda y se va a la boletería nuevamente. Guarda se corta las uñas con alicate cuando sale de la terminal. Catering ofrecido y servido correctamente. Saliendo de Tunuyán lleva la cafetera con agua caliente a la cabina y consumen catering. Perfuma una vez. En TSC cambian de lugar y es chofer. Luego de Paso las Carretas se siente velocidad elevada, la unidad se mece bastante. No vigila la bodega al llegar a San Rafael."/>
  </r>
  <r>
    <n v="59"/>
    <s v="MS"/>
    <m/>
    <d v="2016-02-04T00:00:00"/>
    <s v="sin dato"/>
    <s v="MZA SR"/>
    <d v="1899-12-30T18:00:00"/>
    <d v="1899-12-30T18:04:00"/>
    <n v="1175"/>
    <x v="3"/>
    <s v="si"/>
    <s v="si"/>
    <s v="si"/>
    <s v="si"/>
    <s v="si"/>
    <m/>
    <s v="si"/>
    <m/>
    <s v="no"/>
    <s v="no"/>
    <s v="si"/>
    <s v="04/02/15 El chofer (moreno, gordito y con pelo cortado bien cortito) reviso la bodega."/>
    <n v="54"/>
    <s v="BIBANCO, CYNTHIA DANIELA"/>
    <m/>
    <m/>
    <s v="si"/>
    <s v="si"/>
    <s v="si"/>
    <s v="si"/>
    <s v="no"/>
    <s v="no"/>
    <s v="si"/>
    <s v="si"/>
    <s v="si"/>
    <s v="si"/>
    <s v="si"/>
    <s v="si"/>
    <s v="si"/>
    <s v="04/02/16 La azafata (Cinthia Bibanco) recibe a los pasajeros e indica el lugar a los pasajeros. Sirvió el catering correctamente. Perfumo solo una vez. Recorrió la unidad 2 veces. Unos pasajeros que venían detrás de mi asiento venían hablando que siempre preferían Iselin porque eran puntuales y les gustaba el servicio y hacían comparaciones con otras empresas que no les agradaban por la impuntualidad y porque tardaban mas en llegar a destino. El audio, speech y video se reprodujeron correctamente. Al llegar la azafata despidió a los pasajeros. "/>
  </r>
  <r>
    <n v="60"/>
    <s v="GN"/>
    <m/>
    <d v="2016-02-04T00:00:00"/>
    <n v="46"/>
    <s v="MZA SR"/>
    <d v="1899-12-30T20:15:00"/>
    <d v="1899-12-30T21:30:00"/>
    <n v="1123"/>
    <x v="17"/>
    <s v="si"/>
    <s v="si"/>
    <s v="si"/>
    <s v="si"/>
    <s v="si"/>
    <m/>
    <s v="si"/>
    <m/>
    <s v="no"/>
    <s v="no"/>
    <s v="si"/>
    <m/>
    <n v="91"/>
    <s v="UBILLOS, JOANA MIRTA SOLEDAD"/>
    <m/>
    <m/>
    <s v="si"/>
    <s v="no"/>
    <s v="si"/>
    <s v="si"/>
    <s v="no"/>
    <s v="no"/>
    <s v="si"/>
    <s v="si"/>
    <s v="si"/>
    <s v="si"/>
    <s v="si"/>
    <s v="si"/>
    <s v="si"/>
    <s v="04/02/15 A las 20:00hs se acerco un vendedor de boletería a la plataforma 36 para avisarnos que la unidad se rompió y que se demorara 1 hs aprox. A las 21:18hs la unidad llego a plataforma. Cuando descendieron los pasajeros el chofer y la azafata acomodaron la unidad con la ayuda del vendedor que además etiqueto y ayudo a guardar el equipaje, también nos informo cuando estaba entrando a ciudad cuando un oficial paso y nos dijo que aun faltaba media hora mas. el vendedor es delgado. 1,75m de alto aprox. pelo negro. Los televisores de atrás tienen mala calidad e imagen. Se perfumo 2 veces, nos atendieron correctamente. La unidad estaba limpia, al igual que el baño que  había sido limpiado rápidamente por el chofer. "/>
  </r>
  <r>
    <n v="61"/>
    <s v="JG"/>
    <m/>
    <d v="2016-02-06T00:00:00"/>
    <n v="46"/>
    <s v="SR MZA"/>
    <d v="1899-12-30T07:00:00"/>
    <d v="1899-12-30T07:05:00"/>
    <n v="1120"/>
    <x v="1"/>
    <s v="si"/>
    <s v="si"/>
    <s v="si"/>
    <s v="si"/>
    <s v="si"/>
    <m/>
    <s v="si"/>
    <m/>
    <s v="no"/>
    <s v="si"/>
    <s v="si"/>
    <s v="06/02/16 En TSC es el nuevo guarda (N. Marín). En Zapata llena la cafetera con agua aliente y la lleva a cabina. Perfuma mucho la cabina y luego la unidad. Al llegar a Tmza despide a pasajeros."/>
    <n v="1123"/>
    <s v="BRAVO, MARCELO CONRADO"/>
    <m/>
    <m/>
    <s v="si"/>
    <m/>
    <s v="si"/>
    <s v="si"/>
    <s v="no"/>
    <s v="si"/>
    <s v="si"/>
    <s v="si"/>
    <s v="si"/>
    <s v="si"/>
    <m/>
    <s v="si"/>
    <s v="si"/>
    <s v="06/02/16 La unidad llega 10 minutos antes y comienzan a recibir el guarda (Bravo) y el chofer (N. Marín) a las 6:55hs. Muy amables saludan indican butaca y piso. El Guarda (Bravo) ofrece y reparte el catering correctamente, luego tarda mas de 20 min en ir a retirar los restos, muchas personas se cansan de esperar y tiran los restos en el basurero del barcito. se lleva agua en la cafetera a cabina. Perfuma una vez llegando a San Carlos; había muy mal aroma en el piso superior. En TSC estuvo unos 15 minutos parados allí suben uno o dos pasajeros, uno de ellos se ubica en el piso superior luego de Tunuyán (joven muy obeso ocupa mas lugar del que ofrece una butaca, molestando al pasajero de al lado). En TSC cambian de lugar. Al llegar a Tmza Bravo vigila de lejos la bodega. "/>
  </r>
  <r>
    <n v="62"/>
    <s v="GN"/>
    <m/>
    <d v="2016-02-06T00:00:00"/>
    <n v="56"/>
    <s v="SR MZA"/>
    <d v="1899-12-30T10:00:00"/>
    <d v="1899-12-30T10:09:00"/>
    <n v="1222"/>
    <x v="16"/>
    <s v="si"/>
    <s v="si"/>
    <s v="si"/>
    <s v="si"/>
    <s v="si"/>
    <m/>
    <s v="si"/>
    <m/>
    <s v="no"/>
    <s v="no"/>
    <s v="si"/>
    <m/>
    <n v="1232"/>
    <s v="GONZALEZ, JORGE DAVID"/>
    <m/>
    <m/>
    <s v="si"/>
    <m/>
    <s v="si"/>
    <s v="si"/>
    <s v="no"/>
    <s v="no"/>
    <s v="si"/>
    <s v="si"/>
    <s v="si"/>
    <s v="si"/>
    <s v="si"/>
    <s v="si"/>
    <s v="si"/>
    <s v="06/02/16 Guarda (González, Jorge) El colectivo no tenia cartel de destino, después pusieron una hoja que indicaba lugar. El piso estaba mojado al subir. En Eugenio Bustos el chofer y el guarda cambiaron de lugar."/>
  </r>
  <r>
    <n v="63"/>
    <s v="JG"/>
    <m/>
    <d v="2016-02-06T00:00:00"/>
    <n v="56"/>
    <s v="MZA SR"/>
    <d v="1899-12-30T15:00:00"/>
    <d v="1899-12-30T15:06:00"/>
    <n v="1222"/>
    <x v="16"/>
    <s v="si"/>
    <s v="si"/>
    <s v="si"/>
    <s v="no"/>
    <s v="si"/>
    <m/>
    <s v="si"/>
    <m/>
    <s v="no"/>
    <s v="no"/>
    <s v="si"/>
    <m/>
    <n v="1232"/>
    <s v="GONZALEZ, JORGE DAVID"/>
    <m/>
    <m/>
    <s v="si"/>
    <m/>
    <s v="si"/>
    <s v="si"/>
    <s v="no"/>
    <s v="no"/>
    <s v="si"/>
    <s v="no"/>
    <s v="no"/>
    <s v="no"/>
    <s v="si"/>
    <s v="si"/>
    <s v="si"/>
    <s v="06/02/16 La unidad llega 10 min antes. Guarda (Tapia) y chofer (González) reciben a los pasajeros, antes de salir un Sr pide viajar, le dicen que ya llevan a 4 parados, que no pueden llevar a nadie mas. Cartel de destino apagado. Guarda (Tapia) no ofrece el catering solo estira la mano y da vaso con galletas. Saliendo de terminal speech y luego en Azcuénaga suben varios pasajeros. En TSC cambian de lugar, deja subir a alguien en el semáforo de la terminal y la ruta. Desde allí viajan 5 personas paradas en las escaleras y a las 17:30hs sube otro mas. Ninguno perfumo la unidad. Tampoco se vigilo la bodega. "/>
  </r>
  <r>
    <n v="64"/>
    <s v="GN"/>
    <m/>
    <d v="2016-02-06T00:00:00"/>
    <n v="49"/>
    <s v="MZA SR"/>
    <d v="1899-12-30T18:00:00"/>
    <d v="1899-12-30T18:00:00"/>
    <n v="1206"/>
    <x v="7"/>
    <s v="si"/>
    <s v="si"/>
    <s v="si"/>
    <s v="si"/>
    <s v="si"/>
    <m/>
    <s v="si"/>
    <m/>
    <s v="no"/>
    <s v="no"/>
    <s v="si"/>
    <m/>
    <n v="54"/>
    <s v="BIBANCO, CYNTHIA DANIELA"/>
    <m/>
    <m/>
    <s v="si"/>
    <s v="no"/>
    <s v="si"/>
    <s v="si"/>
    <s v="no"/>
    <s v="no"/>
    <s v="si"/>
    <s v="si"/>
    <s v="si"/>
    <s v="si"/>
    <s v="si"/>
    <s v="si"/>
    <s v="si"/>
    <s v="06/02/16 El cartel de destino indicaba Mendoza - General Alvear, después la azafata lo hizo cambiar. La azafata no utilizo alcohol en gel. La película no tenia buen audio. Después de salir de la terminal de Eugenio Bustos el sensor del baño indicaba ocupado todo el camino. "/>
  </r>
  <r>
    <n v="65"/>
    <s v="GN"/>
    <m/>
    <d v="2016-02-10T00:00:00"/>
    <n v="46"/>
    <s v="SR MZA"/>
    <d v="1899-12-30T07:00:00"/>
    <d v="1899-12-30T07:03:00"/>
    <n v="1120"/>
    <x v="1"/>
    <s v="si"/>
    <s v="si"/>
    <s v="si"/>
    <s v="si"/>
    <s v="si"/>
    <m/>
    <s v="si"/>
    <m/>
    <s v="si"/>
    <s v="no"/>
    <s v="no"/>
    <s v="10/02/16 No se controlo bodega en San Rafael (Chofer Marín)"/>
    <n v="1123"/>
    <s v="BRAVO, MARCELO CONRADO"/>
    <m/>
    <m/>
    <s v="si"/>
    <m/>
    <s v="si"/>
    <s v="si"/>
    <s v="no"/>
    <s v="si"/>
    <s v="si"/>
    <s v="si"/>
    <s v="no"/>
    <s v="si"/>
    <s v="si"/>
    <s v="si"/>
    <s v="si"/>
    <s v="10/02/16 Las unidades 45 y 46 no indicaban que tipo de refuerzo eran. No entraron a la terminal de Eugenio Bustos, entro el refuerzo, aun así se detuvieron para cambiar de lugar. Antes de que el guarda (Bravo) y el chofer (Marín) cambiaran de lugar, se perfumo solamente la planta baja, después saliendo de Tunuyán se perfumaron las dos plantas.  En Tunuyán querían subir unas personas, pero le dijeron que esperaran a Cata, ya que no tenían tarifa para cobrar. Saliendo de Tunuyán a Marín se lo escucho hablar por teléfono."/>
  </r>
  <r>
    <n v="66"/>
    <s v="MS"/>
    <m/>
    <d v="2016-02-10T00:00:00"/>
    <n v="42"/>
    <s v="SR MZA"/>
    <d v="1899-12-30T10:00:00"/>
    <d v="1899-12-30T10:15:00"/>
    <n v="1028"/>
    <x v="8"/>
    <s v="si"/>
    <s v="si"/>
    <s v="si"/>
    <s v="si"/>
    <s v="si"/>
    <m/>
    <s v="si"/>
    <m/>
    <s v="no"/>
    <s v="no"/>
    <s v="si"/>
    <m/>
    <n v="1285"/>
    <s v="CORREA, SERGIO ANTONIO"/>
    <m/>
    <m/>
    <s v="si"/>
    <m/>
    <s v="si"/>
    <s v="si"/>
    <s v="no"/>
    <s v="no"/>
    <s v="si"/>
    <s v="si"/>
    <s v="si"/>
    <s v="si"/>
    <s v="si"/>
    <s v="si"/>
    <s v="si"/>
    <s v="10/02/16 El guarda (Sergio Correa) indica lugar de asiento y recibe a los pasajeros. Sirvió el catering correctamente. No se perfumo durante el viaje (funcionaba el aromatizador automático). Solo circulo una vez luego de servir el catering. Al bajar el conductor (canoso, gordito) despedía a los pasajeros. Sergio Correa vigilaba la bodega. El speech, video y audio se escucharon correctamente. La unidad al salir de la terminal de San Rafael estuvo 8 antes. Tuvo un retraso de 15 min. "/>
  </r>
  <r>
    <n v="67"/>
    <s v="GN"/>
    <m/>
    <d v="2016-02-10T00:00:00"/>
    <n v="42"/>
    <s v="MZA SR"/>
    <d v="1899-12-30T15:00:00"/>
    <d v="1899-12-30T15:00:00"/>
    <n v="1028"/>
    <x v="8"/>
    <s v="si"/>
    <s v="si"/>
    <s v="si"/>
    <s v="si"/>
    <s v="si"/>
    <m/>
    <s v="si"/>
    <m/>
    <s v="no"/>
    <s v="no"/>
    <s v="si"/>
    <m/>
    <n v="1285"/>
    <s v="CORREA, SERGIO ANTONIO"/>
    <m/>
    <m/>
    <s v="si"/>
    <m/>
    <s v="si"/>
    <s v="si"/>
    <s v="no"/>
    <s v="no"/>
    <s v="si"/>
    <s v="si"/>
    <s v="no"/>
    <s v="si"/>
    <s v="si"/>
    <s v="si"/>
    <s v="si"/>
    <s v="10/02/16 No se controlo la bodega en Mendoza. No se perfumo. En Eugenio Bustos cambiaron de lugar el chofer ( S. Correa) y el guarda. "/>
  </r>
  <r>
    <n v="68"/>
    <s v="MS"/>
    <m/>
    <d v="2016-02-10T00:00:00"/>
    <n v="49"/>
    <s v="MZA SR"/>
    <d v="1899-12-30T18:00:00"/>
    <d v="1899-12-30T18:01:00"/>
    <n v="1167"/>
    <x v="11"/>
    <s v="si"/>
    <s v="si"/>
    <s v="si"/>
    <s v="si"/>
    <s v="si"/>
    <m/>
    <s v="si"/>
    <m/>
    <s v="no"/>
    <s v="no"/>
    <s v="si"/>
    <m/>
    <n v="54"/>
    <s v="BIBANCO, CYNTHIA DANIELA"/>
    <m/>
    <m/>
    <s v="si"/>
    <s v="si"/>
    <s v="si"/>
    <s v="si"/>
    <s v="si"/>
    <s v="no"/>
    <s v="si"/>
    <s v="si"/>
    <s v="si"/>
    <s v="si"/>
    <s v="si"/>
    <s v="si"/>
    <s v="si"/>
    <s v="10/02/16 La azafata ( Cinthia Bibanco) recibe e indica los lugares de asiento. Sirvió el catering correctamente, en algunas ocasiones pasillo y luego ventanilla. Perfumo la unidad 2 veces. Hablo por celular con una amiga unos 3-4 minutos en Tupungato. Le informaba del horario de llegada. Al llegar la azafata y el chofer (Ale, lo llamo todo el camino ella) despidieron a los pasajeros cordialmente. El conductor era alto, usaba anteojos, peinado con raya al costado, canoso de edad. El speech, película y audio se escucharon correctamente. "/>
  </r>
  <r>
    <n v="69"/>
    <s v="GN"/>
    <m/>
    <d v="2016-02-11T00:00:00"/>
    <n v="49"/>
    <s v="SR MZA"/>
    <d v="1899-12-30T13:00:00"/>
    <d v="1899-12-30T13:00:00"/>
    <n v="1167"/>
    <x v="11"/>
    <s v="si"/>
    <s v="si"/>
    <s v="si"/>
    <s v="si"/>
    <s v="si"/>
    <m/>
    <s v="si"/>
    <m/>
    <s v="no"/>
    <s v="no"/>
    <s v="si"/>
    <s v="11/02/16 No se controlo la bodega en San Rafael. "/>
    <n v="1208"/>
    <s v="RIVAS, CESAR ADRIAN"/>
    <m/>
    <m/>
    <s v="si"/>
    <m/>
    <s v="si"/>
    <s v="si"/>
    <s v="no"/>
    <s v="no"/>
    <s v="no"/>
    <s v="si"/>
    <s v="no"/>
    <s v="si"/>
    <s v="si"/>
    <s v="si"/>
    <s v="si"/>
    <s v="11/02/16 La cámara de seguridad que esta arriba del televisor apunta al mismo. Sirvió el catering Pasillo-Ventana. No se perfumo. No subieron los televisores al finalizar la película, un pasajero lo subió para salir. "/>
  </r>
  <r>
    <n v="70"/>
    <s v="GN"/>
    <m/>
    <d v="2016-02-11T00:00:00"/>
    <n v="47"/>
    <s v="MZA SR"/>
    <d v="1899-12-30T20:15:00"/>
    <d v="1899-12-30T20:39:00"/>
    <n v="1147"/>
    <x v="20"/>
    <s v="si"/>
    <s v="si"/>
    <s v="si"/>
    <s v="si"/>
    <s v="si"/>
    <m/>
    <s v="si"/>
    <m/>
    <s v="no"/>
    <s v="no"/>
    <s v="si"/>
    <s v="11/02/16 No se controlo la bodega en Mendoza (chofer Marín). "/>
    <n v="1294"/>
    <s v="MARIN, LUIS ALBERTO"/>
    <m/>
    <m/>
    <s v="si"/>
    <m/>
    <s v="si"/>
    <s v="si"/>
    <s v="no"/>
    <s v="no"/>
    <s v="si"/>
    <s v="si"/>
    <s v="no"/>
    <s v="si"/>
    <s v="si"/>
    <s v="si"/>
    <s v="si"/>
    <s v="11/02/16 El cartel de destino indicaba Mendoza. Salió de plataforma a las 20:37hs pero se demoro dos minutos porque le pidieron que esperara a un pasajero que fue a cambiar un pasaje. El speech apenas se escucho. El guarda a algunos le ofreció cambiar de butacas, ya que habían asientos libres. En Eugenio Bustos cambiaron de lugar. se perfumo dos veces. Había una persona en la cabina. "/>
  </r>
  <r>
    <n v="71"/>
    <s v="JG"/>
    <m/>
    <d v="2016-02-13T00:00:00"/>
    <n v="42"/>
    <s v="SR MZA"/>
    <d v="1899-12-30T07:00:00"/>
    <d v="1899-12-30T07:03:00"/>
    <n v="1028"/>
    <x v="8"/>
    <s v="si"/>
    <s v="si"/>
    <s v="si"/>
    <s v="no"/>
    <s v="si"/>
    <m/>
    <s v="si"/>
    <m/>
    <s v="no"/>
    <s v="no"/>
    <s v="si"/>
    <m/>
    <n v="54"/>
    <s v="BIBANCO, CYNTHIA DANIELA"/>
    <m/>
    <m/>
    <s v="si"/>
    <s v="si"/>
    <s v="si"/>
    <s v="si"/>
    <s v="no"/>
    <s v="no"/>
    <s v="si"/>
    <s v="si"/>
    <s v="si"/>
    <s v="si"/>
    <m/>
    <s v="si"/>
    <s v="si"/>
    <s v="13/02/16 Azafata (Bibanco) y Chofer reciben a pasajeros, indica numero de asiento y piso. Al llegar a Mza, azafata despide y el chofer se coloca al lado de ella. Speech colocado correctamente luego en Montoya y cerca del arco de ingreso suben dos personas mas sin pasajes (pagan en la unidad). Catering ofrecido y servido correctamente. Sirve agua en varias ocasiones. En TSC un hombre pregunta si pueden llevarlo hasta Mza, azafata le dice que no pueden pero que averigüe en Cata. Perfuma tres veces la unidad. "/>
  </r>
  <r>
    <n v="72"/>
    <s v="JG"/>
    <m/>
    <d v="2016-02-13T00:00:00"/>
    <n v="43"/>
    <s v="MZA SR"/>
    <d v="1899-12-30T15:00:00"/>
    <d v="1899-12-30T15:02:00"/>
    <n v="1143"/>
    <x v="21"/>
    <s v="si"/>
    <s v="si"/>
    <s v="si"/>
    <s v="no"/>
    <s v="si"/>
    <m/>
    <s v="si"/>
    <m/>
    <s v="no"/>
    <s v="si"/>
    <s v="si"/>
    <m/>
    <n v="1187"/>
    <s v="VARGAS, FLAVIO FRANCISCO"/>
    <m/>
    <m/>
    <s v="si"/>
    <m/>
    <s v="si"/>
    <s v="si"/>
    <s v="no"/>
    <s v="si"/>
    <s v="no"/>
    <s v="no"/>
    <s v="no"/>
    <s v="si"/>
    <s v="si"/>
    <s v="si"/>
    <s v="si"/>
    <s v="13/02/16 La unidad esta 10 min antes. Guarda (Vargas) recibe atento a los pasajeros, el chofer va en busca de la lista de pasajeros y luego se encarga de atender a mujer que perdió su pasaje. El speech fue emitido correctamente, el cattering se ofreció y sirvió siguiendo el orden establecido. Una Sra. quiere agua caliente para tomar mate y el guarda se la brindo. Por ISCAMEN lleva agua caliente en la cafetera a la cabina. Perfuma una vez. En TSC cambian de lugar. No se vigilo la bodega en ninguna oportunidad. "/>
  </r>
  <r>
    <n v="73"/>
    <s v="JG"/>
    <m/>
    <d v="2016-02-15T00:00:00"/>
    <n v="43"/>
    <s v="SR MZA"/>
    <d v="1899-12-30T07:00:00"/>
    <d v="1899-12-30T07:03:00"/>
    <n v="1190"/>
    <x v="4"/>
    <s v="si"/>
    <s v="si"/>
    <s v="si"/>
    <s v="no"/>
    <s v="si"/>
    <m/>
    <s v="si"/>
    <m/>
    <s v="si"/>
    <s v="no"/>
    <s v="si"/>
    <m/>
    <n v="1143"/>
    <s v="FORTE, MARIO LUIS"/>
    <m/>
    <m/>
    <s v="si"/>
    <m/>
    <s v="no"/>
    <s v="no"/>
    <s v="no"/>
    <s v="no"/>
    <s v="si"/>
    <s v="si"/>
    <s v="no"/>
    <s v="no"/>
    <m/>
    <s v="si"/>
    <s v="si"/>
    <s v="15/02/16 El refuerzo (46) no tiene cartelería que lo indique. El Chofer (JOVIC) recibe a los pasajeros, el guarda esta en la cabina acomodando elementos del catering. El chofer saluda amable, comunica numero de butaca y piso. Speech por Toledano y en Aeropuerto suben pasajeros. Guarda ofrece y sirve el catering en el orden correspondiente. Cuando va en busca de los restos, un pasajero que se había dormido le pide agua caliente y se la sirve. No recorre mas la unidad (no perfuma). En TSC cambian de Lugar, el nuevo guarda (Jovic) sube a perfumar, se queda conversando desde allí hasta el 1er semáforo de la ciudad de Tunuyán (YPF) con maestras sentadas en butacas 1-2, le muestra fotos de su celular, conversan de distintos temas quedan de acuerdo para almorzar juntos. No sube para nada mas; luego va al piso inferior y llena un vaso con agua caliente. Tira or la ventanilla de cabina agua que le quedo a la cafetera. Guarda despide a pasajeros; al chofer no lo puedo observar, no se donde esta. "/>
  </r>
  <r>
    <n v="74"/>
    <s v="MS"/>
    <m/>
    <d v="2016-02-15T00:00:00"/>
    <n v="42"/>
    <s v="SR MZA"/>
    <d v="1899-12-30T10:00:00"/>
    <d v="1899-12-30T10:02:00"/>
    <n v="1028"/>
    <x v="8"/>
    <s v="si"/>
    <s v="si"/>
    <s v="si"/>
    <s v="si"/>
    <s v="si"/>
    <m/>
    <s v="si"/>
    <m/>
    <s v="no"/>
    <s v="no"/>
    <s v="si"/>
    <m/>
    <n v="54"/>
    <s v="BIBANCO, CYNTHIA DANIELA"/>
    <m/>
    <m/>
    <s v="si"/>
    <s v="si"/>
    <s v="si"/>
    <s v="si"/>
    <s v="no"/>
    <s v="no"/>
    <s v="si"/>
    <s v="si"/>
    <s v="si"/>
    <s v="si"/>
    <s v="si"/>
    <s v="si"/>
    <s v="si"/>
    <s v="15/02/16 La azafata (Bibanco) y el conductor (Espasadin) reciben a los pasajeros e indican el lugar del asiento.  La azafata sirve el catering correctamente. Recorre y perfuma la unidad 3 veces. La película, el audio y el video se escucharon correctamente. Al llegar a terminal azafata despide a los pasajeros. "/>
  </r>
  <r>
    <n v="75"/>
    <s v="JG"/>
    <m/>
    <d v="2016-02-15T00:00:00"/>
    <n v="42"/>
    <s v="MZA SR"/>
    <d v="1899-12-30T15:00:00"/>
    <d v="1899-12-30T15:02:00"/>
    <n v="1028"/>
    <x v="8"/>
    <s v="si"/>
    <s v="si"/>
    <s v="si"/>
    <s v="no"/>
    <s v="si"/>
    <m/>
    <s v="si"/>
    <m/>
    <s v="no"/>
    <s v="no"/>
    <s v="si"/>
    <m/>
    <n v="54"/>
    <s v="BIBANCO, CYNTHIA DANIELA"/>
    <m/>
    <m/>
    <s v="si"/>
    <s v="si"/>
    <s v="si"/>
    <s v="si"/>
    <s v="si"/>
    <s v="no"/>
    <s v="si"/>
    <s v="si"/>
    <s v="si"/>
    <s v="no"/>
    <s v="si"/>
    <s v="si"/>
    <s v="si"/>
    <s v="15/02/16 Azafata recibe a pasajeros, chofer va a boletería, luego acompaña a azafata. No vigila la bodega en ninguna oportunidad. Cámara del piso inferior apunta a la zona trasera del televisor. Saliendo de la terminal se reproduce speech, habla por teléfono un minuto aproximadamente, reparte el catering muy atenta, luego en Azcuénaga suben pasajeros. Perfuma una vez toda la unidad y una segunda vez el piso superior. Muy atenta le ayuda con su bolso a un abuela que sube en TSC y baja en Paso las Carretas. Se adjunta resto de catering encontrado en los elásticos porta revistas. "/>
  </r>
  <r>
    <n v="76"/>
    <s v="MS"/>
    <m/>
    <d v="2016-02-15T00:00:00"/>
    <n v="45"/>
    <s v="MZA SR"/>
    <d v="1899-12-30T18:00:00"/>
    <d v="1899-12-30T18:00:00"/>
    <n v="1169"/>
    <x v="6"/>
    <s v="si"/>
    <s v="si"/>
    <s v="si"/>
    <s v="si"/>
    <s v="si"/>
    <m/>
    <s v="si"/>
    <m/>
    <s v="no"/>
    <s v="no"/>
    <s v="si"/>
    <m/>
    <n v="1149"/>
    <s v="ALDAVE, RAUL IGNACIO"/>
    <m/>
    <m/>
    <s v="si"/>
    <m/>
    <s v="si"/>
    <s v="si"/>
    <s v="no"/>
    <s v="no"/>
    <s v="si"/>
    <s v="si"/>
    <s v="si"/>
    <s v="si"/>
    <s v="si"/>
    <s v="si"/>
    <s v="si"/>
    <s v="15/02/16 Al llegar la unidad a terminal la unidad indicaba el cartel que se dirigía a Las Leñas y una pasajera le pregunto que a donde iba y el chofer miro el cartel y lo  cambio. Al recibir ninguno de los dos empleados poseía pin. Indicaron correctamente el lugar de asiento. Al servir el catering el guarda (Sánchez) se coloco el pin. Sirvió a los que estaban despiertos y luego cuando dos pasajeros despertaron regreso a servir. No se perfumo. Luego subió el conductor que no poseía pin (de estatura media, canoso, medianamente gordito) y continuo conduciendo el anterior guarda (Sánchez) El audio de la película no se escucho durante 30 minutos hasta que se dieron cuenta. "/>
  </r>
  <r>
    <n v="77"/>
    <s v="JG"/>
    <m/>
    <d v="2016-02-16T00:00:00"/>
    <n v="49"/>
    <s v="MZA SR"/>
    <d v="1899-12-30T09:00:00"/>
    <d v="1899-12-30T09:01:00"/>
    <n v="1167"/>
    <x v="11"/>
    <s v="si"/>
    <s v="si"/>
    <s v="si"/>
    <s v="no"/>
    <s v="si"/>
    <m/>
    <s v="si"/>
    <m/>
    <s v="no"/>
    <s v="no"/>
    <s v="si"/>
    <m/>
    <n v="1206"/>
    <s v="ZALLOCCO, FLAVIO"/>
    <m/>
    <m/>
    <s v="si"/>
    <m/>
    <s v="si"/>
    <s v="si"/>
    <s v="no"/>
    <s v="no"/>
    <s v="si"/>
    <s v="no"/>
    <s v="no"/>
    <s v="si"/>
    <s v="si"/>
    <s v="si"/>
    <s v="si"/>
    <s v="16/02/16 La unidad al inicio su cartel indicaba Mendoza, luego lo cambiaron a San Rafael. Chofer (REYES) recibe a los pasajeros, el guarda (ZOLLOCO) busca lista de pasajeros y luego acompaña al chofer. Speech colocado correctamente, catering ofrecido y servido correctamente, algunos pasajeros le dicen que se servirán ellos mismos el agua caliente, chofer les dice que quizás no quede agua. Sirve agua mineral a quien se lo pide. No ofrece catering a pasajeros que suben en Tunuyán y San Carlos. En TSC cambian de lugar. Ninguno perfuma. No se vigila la bodega. "/>
  </r>
  <r>
    <n v="78"/>
    <s v="GN"/>
    <m/>
    <d v="2016-02-17T00:00:00"/>
    <n v="43"/>
    <s v="SR MZA"/>
    <d v="1899-12-30T07:00:00"/>
    <d v="1899-12-30T07:00:00"/>
    <n v="1143"/>
    <x v="21"/>
    <s v="si"/>
    <s v="si"/>
    <s v="si"/>
    <s v="no"/>
    <s v="si"/>
    <m/>
    <s v="si"/>
    <m/>
    <s v="no"/>
    <s v="no"/>
    <s v="si"/>
    <m/>
    <n v="1149"/>
    <s v="ALDAVE, RAUL IGNACIO"/>
    <m/>
    <m/>
    <s v="si"/>
    <m/>
    <s v="si"/>
    <s v="si"/>
    <s v="no"/>
    <s v="no"/>
    <s v="no"/>
    <s v="si"/>
    <s v="si"/>
    <s v="si"/>
    <m/>
    <m/>
    <s v="si"/>
    <s v="17/02/16 No se controlo la bodega ni al llegar ni al salir. No se reprodujo el speech al salir de San Rafael, ni al llegar a Mendoza. El guarda sirve el catering Pasillo-Ventana En Eugenio Bustos cambiaron de lugar. Se perfumo dos veces. Al salir de Eugenio Bustos se escucho que hablaban por teléfono. "/>
  </r>
  <r>
    <n v="79"/>
    <s v="GN"/>
    <m/>
    <d v="2016-02-17T00:00:00"/>
    <n v="46"/>
    <s v="MZA SR"/>
    <d v="1899-12-30T15:00:00"/>
    <d v="1899-12-30T15:05:00"/>
    <n v="1190"/>
    <x v="4"/>
    <s v="si"/>
    <s v="si"/>
    <s v="si"/>
    <s v="si"/>
    <s v="si"/>
    <m/>
    <s v="si"/>
    <m/>
    <s v="no"/>
    <s v="no"/>
    <s v="si"/>
    <m/>
    <n v="54"/>
    <s v="BIBANCO, CYNTHIA DANIELA"/>
    <m/>
    <m/>
    <s v="si"/>
    <m/>
    <s v="si"/>
    <s v="si"/>
    <s v="no"/>
    <s v="no"/>
    <s v="si"/>
    <s v="si"/>
    <s v="si"/>
    <s v="si"/>
    <s v="si"/>
    <s v="si"/>
    <s v="si"/>
    <s v="17/02/16 No se controlo la bodega en Mendoza, el chofer recibió a los pasajeros junto con la azafata. Le ofreció a una  mujer que estaba con la hija, las butacas 47, 48 para que estuvieran mas cómodas. La película no tenia buen audio. Perfumo 3 veces. A mitad del viaje entro la azafata al baño para limpiarlo. "/>
  </r>
  <r>
    <n v="80"/>
    <s v="JG"/>
    <m/>
    <d v="2016-02-18T00:00:00"/>
    <n v="47"/>
    <s v="SR MZA"/>
    <d v="1899-12-30T07:00:00"/>
    <d v="1899-12-30T07:01:00"/>
    <n v="1147"/>
    <x v="20"/>
    <s v="si"/>
    <s v="si"/>
    <s v="si"/>
    <s v="no"/>
    <s v="si"/>
    <m/>
    <s v="si"/>
    <m/>
    <s v="no"/>
    <s v="si"/>
    <s v="si"/>
    <m/>
    <n v="1155"/>
    <s v="CASTILLA, ANDRES ANGEL"/>
    <m/>
    <m/>
    <s v="si"/>
    <m/>
    <s v="si"/>
    <s v="si"/>
    <s v="no"/>
    <s v="si"/>
    <s v="si"/>
    <s v="si"/>
    <s v="no"/>
    <s v="si"/>
    <m/>
    <s v="si"/>
    <s v="si"/>
    <s v="18/02/16 Guarda (CASTILLA) recibe solo a pasajeros, saluda atento, comunica numero de butaca y piso. El chofer (VALENZUELA) esta en la cabina acomodando elementos del catering. Speech colocado correctamente con volumen apropiado. Catering ofrecido y servido siguiendo el orden establecido. Luego de retirar los restos sirve agua caliente en la cafetera y se la lleva a cabina. Perfuma una vez; personas le dicen: &quot;es terrible! Quien elije los perfumes?&quot; guarda le dice que tiene el aromatizador hace mucho tiempo, que no lo usa mucho porque todos se quejan (el aroma es repugnante, muy dulce, parece de vainilla). Luego recorre la unidad sin perfumar. Baño con agua tanto en inodoro como lavamanos, pero el dispenser del jabón esta atorado y no es posible ser utilizado. Al llegar a TMZA guarda (Castilla) despide y le indica al chofer (Valenzuela) que llame a un chofer (de otra empresa) al parecer se conocen, por lo que no se reviso la bodega en ninguna oportunidad. BOLETERIA: Hay 3 vendedores, el tiempo de espera es de 15-20 minutos; personas van a renovar o hacerse las tarjetas y es un proceso largo. No hay vendedor dedicado solamente a pasajes. Cola permanente de u8nas 12-15 personas. "/>
  </r>
  <r>
    <n v="81"/>
    <s v="JG"/>
    <m/>
    <d v="2016-02-18T00:00:00"/>
    <n v="49"/>
    <s v="MZA SR"/>
    <d v="1899-12-30T15:00:00"/>
    <d v="1899-12-30T15:02:00"/>
    <n v="1167"/>
    <x v="11"/>
    <s v="si"/>
    <s v="si"/>
    <s v="si"/>
    <s v="no"/>
    <s v="si"/>
    <m/>
    <s v="si"/>
    <m/>
    <s v="no"/>
    <s v="si"/>
    <s v="si"/>
    <m/>
    <n v="54"/>
    <s v="BIBANCO, CYNTHIA DANIELA"/>
    <m/>
    <m/>
    <s v="si"/>
    <s v="si"/>
    <s v="si"/>
    <s v="si"/>
    <s v="no"/>
    <s v="si"/>
    <s v="si"/>
    <s v="si"/>
    <s v="si"/>
    <s v="si"/>
    <s v="si"/>
    <s v="si"/>
    <s v="si"/>
    <s v="18/02/16 Azafata recibe sola a pasajeros, chofer va en busca de la lista, luego la acompaña, no se vigila la bodega en ninguna oportunidad. Viajan muchos menores, azafata les pide a las flias que a las 18hs ya los estén esperando en la terminal. La puerta del baño se abre sola, lo que es muy molesto, los pasajeros sentados adelante la deben cerrar seguido. Speech con buen sonido, catering ofrecido y servido correctamente. Perfuma 3 veces pero no el baño. Baño con toda la taza manchada. Luego de TSC llena dos vasos con saquitos con agua caliente y los lleva a cabina. "/>
  </r>
  <r>
    <n v="82"/>
    <s v="JG"/>
    <m/>
    <d v="2016-02-27T00:00:00"/>
    <n v="42"/>
    <s v="SR MZA"/>
    <d v="1899-12-30T07:00:00"/>
    <d v="1899-12-30T07:07:00"/>
    <n v="1028"/>
    <x v="8"/>
    <s v="si"/>
    <s v="si"/>
    <s v="si"/>
    <s v="no"/>
    <s v="si"/>
    <m/>
    <s v="si"/>
    <m/>
    <s v="si"/>
    <s v="si"/>
    <s v="si"/>
    <m/>
    <n v="1137"/>
    <s v="MARTINEZ, GONZALO ALFREDO"/>
    <m/>
    <m/>
    <s v="si"/>
    <m/>
    <s v="si"/>
    <s v="si"/>
    <s v="si"/>
    <s v="si"/>
    <s v="no"/>
    <s v="si"/>
    <s v="no"/>
    <s v="si"/>
    <m/>
    <s v="si"/>
    <s v="si"/>
    <s v="27/02/2016 La unidad esta 15 min antes pero reciben a las 6:55hs. El coche sale de dársena 7:03hs, el guarda (Martínez) habla a boletería y allí se entera que hay una mujer que esta sacando pasaje, por lo que la esperan, sale de terminal 7:07hs. Cuando la unidad llega al semáforo de Granaderos y Gral. Paz, le compran algo a un Sr, ya que el dijo: Aquí tienen para tomar mate! Guarda (Martínez) Sirve catering sin seguir orden, cuando sube para retirar elementos del catering se comienza a escuchar una alarma. A las 8:03 frenan al costado de la ruta, escucho al guarda decir que es compreso, a las 8:11 sale a la ruta. A las 8:35hs en Paso Las carretas vuelven a parar la unidad. allí la arrancan, la paran, aceleran. No dan un comunicado a los pasajeros, algunas bajan para preguntar, pero nadie sabe bien que sucede, alguien dice que un chofer dijo que esperan el auxilio de Cata, todos pensaron que vendría un colectivo. A  las 9:49hs arrancan; luego antes del semáforo para ingresar a la TSC, vuelven a frenar. A las 10:11HS, allí bajan pasajeros, guarda le pregunta si no les molesta bajar allí en vez de la terminal, ya que no poseen aire, allí están varios minutos mas, a las 10,25hs intentan salir, se escucha que ciertas marchas no entran correctamente. (en todo este proceso guarda hablo por teléfono varias veces, una de ellas con Federico, dijo que la válvula estaba muy agarrada y el filtro muy sucio, todo tapado). A las 10:29hs Martínez conduce y habla por teléfono, Espasandin esta en el baño lavándose las manos.  Dice que la 2da, 4ta y 6ta no entran. A las 10:45hs en la entrada a Tunuyán, ( Gendarmería), frenan por ultima vez,  al parecer otra cosa se rompió, paran un Cata y dejan subir solo a 15 pasajeros, cuando bajo de la unidad observo a pasajera (venia sentada en butaca 48) dentro de la cabina, fumando, sentada en la butaca del guarda cebándole mates a su amiga (que venia en la butaca 47). Luego viene un Buttini, chofer lo para, amables, nos dejan subir a todos los que quedábamos a las 11:35hs. Emprendimos viaje y llegamos a TMZA a las 12:50hs. "/>
  </r>
  <r>
    <n v="83"/>
    <s v="MS"/>
    <m/>
    <d v="2016-02-27T00:00:00"/>
    <n v="109"/>
    <s v="SR MZA"/>
    <d v="1899-12-30T10:00:00"/>
    <d v="1899-12-30T10:08:00"/>
    <n v="1281"/>
    <x v="2"/>
    <s v="si"/>
    <s v="si"/>
    <s v="si"/>
    <s v="si"/>
    <s v="si"/>
    <m/>
    <s v="si"/>
    <m/>
    <s v="no"/>
    <s v="no"/>
    <s v="si"/>
    <m/>
    <n v="1232"/>
    <s v="GONZALEZ, JORGE DAVID"/>
    <m/>
    <m/>
    <s v="si"/>
    <m/>
    <s v="si"/>
    <s v="si"/>
    <s v="no"/>
    <s v="no"/>
    <s v="si"/>
    <s v="si"/>
    <s v="si"/>
    <s v="si"/>
    <s v="si"/>
    <s v="si"/>
    <s v="si"/>
    <s v="27/02/16  El guarda (González Marcelo) recibe a los pasajeros e indica el lugar correctamente. Luego sirve el catering amablemente. Perfuma y recorre solo una vez la unidad luego de servir. En San Carlos el guarda que sube a perfumar es uno pelado, alto con una mancha en el cuello. La película, el speech y el video se reprodujeron correctamente. Al bajar despiden a los pasajeros y revisan la bodega. "/>
  </r>
  <r>
    <n v="84"/>
    <s v="JG"/>
    <m/>
    <d v="2016-02-27T00:00:00"/>
    <n v="46"/>
    <s v="MZA SR"/>
    <d v="1899-12-30T15:00:00"/>
    <d v="1899-12-30T15:09:00"/>
    <n v="1028"/>
    <x v="8"/>
    <s v="si"/>
    <s v="si"/>
    <s v="si"/>
    <s v="no"/>
    <s v="si"/>
    <m/>
    <s v="si"/>
    <m/>
    <s v="no"/>
    <s v="si"/>
    <s v="si"/>
    <m/>
    <n v="1137"/>
    <s v="MARTINEZ, GONZALO ALFREDO"/>
    <m/>
    <m/>
    <s v="si"/>
    <m/>
    <s v="si"/>
    <s v="si"/>
    <s v="no"/>
    <s v="si"/>
    <s v="si"/>
    <s v="no"/>
    <s v="no"/>
    <s v="si"/>
    <s v="si"/>
    <s v="no"/>
    <s v="si"/>
    <s v="27/02/2016 La unidad llega a plataforma a las 14:54hs. Chofer (Martínez) esta dentro de la unidad luego vigila la bodega, Guarda (Espasandin) recibe a los pasajeros. Unidad llena de migas. Speech con buen volumen. Guarda da galletas dentro del vaso, no dice nada solo estira la mano, hay una joven que es celiaca crónica y le pregunta si le han dicho que el agua saborizada es apto para celiacos, el chofer pone cara de no saber, y dice: Dice SIN TACC; la joven ante la duda pide la botella y se da cuenta que ella no puede consumirla. Luego en Azcuénaga suben pasajeros. Guarda tira bruscamente  las botellas dentro de la hilera. Se lleva una a cabina. Video institucional sin sonido, al menos en el piso de arriba. Bajan los televisores cuando el video esta por terminar. ponen película, al inicio sin audio y luego con subtítulos equivocados, no eran de la película si no del director de como la filmo, Luego de 15 minutos una pasajera le avisa al guarda, este intenta solucionarlo pero  no lo logra, se arrima a la pasajera para decirle que no los puede poner, la joven baja a cabina; luego deciden colocar otra película. . A las 16:22 se acerca una chica a la cabina avisando que se le ha bajado mucho la presión, guarda le dice que se siente en las escaleras,  abre la ventana de la puerta de cabina y le unas galletas.   Luego de Paso Las Carretas 5 personas paradas. Al llegar a terminal S.R. nadie despide a los pasajeros.      "/>
  </r>
  <r>
    <n v="85"/>
    <s v="MS"/>
    <m/>
    <d v="2016-02-27T00:00:00"/>
    <n v="43"/>
    <s v="MZA SR"/>
    <d v="1899-12-30T18:00:00"/>
    <d v="1899-12-30T18:00:00"/>
    <n v="1143"/>
    <x v="21"/>
    <s v="si"/>
    <s v="si"/>
    <s v="si"/>
    <s v="si"/>
    <s v="si"/>
    <m/>
    <s v="si"/>
    <m/>
    <s v="no"/>
    <s v="no"/>
    <s v="si"/>
    <m/>
    <n v="54"/>
    <s v="BIBANCO, CYNTHIA DANIELA"/>
    <m/>
    <m/>
    <s v="si"/>
    <s v="si"/>
    <s v="si"/>
    <s v="si"/>
    <s v="no"/>
    <s v="no"/>
    <s v="si"/>
    <s v="si"/>
    <s v="si"/>
    <s v="si"/>
    <s v="si"/>
    <s v="si"/>
    <s v="si"/>
    <s v="27/02/16 La azafata (Cintia Bibanco) recibe e indica el lugar de asiento. Luego sirve el catering correctamente. Perfuma 2 veces. En San Carlos la azafata le dice al conductor (Mario) que, si le parece bien mate cocido?, y que ella iba a beber un café. Al llegar despiden a los pasajeros. La película, audio y speech se escucharon y vieron correctamente. "/>
  </r>
  <r>
    <n v="86"/>
    <s v="MS"/>
    <m/>
    <d v="2016-02-29T00:00:00"/>
    <n v="43"/>
    <s v="SR MZA"/>
    <d v="1899-12-30T07:00:00"/>
    <d v="1899-12-30T07:02:00"/>
    <n v="1190"/>
    <x v="4"/>
    <s v="si"/>
    <s v="si"/>
    <s v="si"/>
    <s v="si"/>
    <s v="si"/>
    <m/>
    <s v="si"/>
    <m/>
    <s v="no"/>
    <s v="no"/>
    <s v="si"/>
    <m/>
    <n v="1143"/>
    <s v="FORTE, MARIO LUIS"/>
    <m/>
    <m/>
    <s v="si"/>
    <m/>
    <s v="si"/>
    <s v="si"/>
    <s v="no"/>
    <s v="no"/>
    <s v="si"/>
    <s v="si"/>
    <s v="si"/>
    <s v="si"/>
    <s v="si"/>
    <s v="si"/>
    <s v="si"/>
    <s v="29/02/16 El conductor (Jovic) recibe a los pasajeros e indica el lugar de asiento. El guarda de estatura media, peinado con raya al costado, de edad adulta; sirve el catering correctamente y perfuma una vez. Luego en San Carlos el guarda (Jovic) perfuma y recorre una vez la unidad.  El speech se reprodujo correctamente. Al llegar se despidió a los pasajeros. "/>
  </r>
  <r>
    <n v="87"/>
    <s v="JG"/>
    <m/>
    <d v="2016-02-29T00:00:00"/>
    <n v="49"/>
    <s v="SR MZA"/>
    <d v="1899-12-30T13:00:00"/>
    <d v="1899-12-30T13:25:00"/>
    <n v="1169"/>
    <x v="6"/>
    <s v="si"/>
    <s v="si"/>
    <s v="si"/>
    <s v="no"/>
    <s v="si"/>
    <m/>
    <s v="si"/>
    <m/>
    <s v="no"/>
    <s v="si"/>
    <s v="si"/>
    <m/>
    <n v="1239"/>
    <s v="BENSI, ENZO PEDRO"/>
    <m/>
    <m/>
    <s v="si"/>
    <m/>
    <s v="si"/>
    <s v="si"/>
    <s v="no"/>
    <s v="si"/>
    <s v="si"/>
    <s v="no"/>
    <s v="no"/>
    <s v="si"/>
    <s v="si"/>
    <s v="no"/>
    <s v="si"/>
    <s v="29/02/2016 La unidad llega a plataforma 13:25hs con el chofer (Sánchez) , el guarda ya se encontraba en la terminal (Benzi), el mismo dejo las botellas y las cajas de catering sobre el piso al lado de la dársena donde suele estar parada la unidad. Varias personas se habían arrimado la boletería para preguntar sobre el retraso, siendo la respuesta bastante obvia: Esta retrasado, ya llega! La unidad sale de plataforma 13:25hs luego se mete por Lavalle y sale a Rivadavia. Speech en el piso superior sin audio, piso inferior con volumen muy disminuido, guarda no los verifica. Catering ofrecido de manera regular, los dedos del guarda parecían sucios, no se coloco alcohol en gel, agua saborizada caliente. A las 14:00hs el guarda (Benzi) se mete al baño con el aromatizador, recién a las 14:12hs sale del mismo, ante la duda me dirijo al baño inmediatamente después, encuentro la ventana del mismo abierta, y pequeñas colillas sobre la tapa del inodoro. Luego de 30 min de espera retira los restos del catering.  En TSC guarda baja a fumar, re realiza cambio de lugar el nuevo guarda (Sánchez) le dice que se apure, se escucha al nuevo chofer (Benzi) subir a la unidad y se comienza a sentir mucho olor a cigarrillo como si hubiera subido a la unidad fumando. El nuevo guarda perfuma una vez y repasa el pisos de cabina, escaleras y piso superior con el lampazo. Cuando termina la película el Menú e la misma sonó por unos 20 minutos."/>
  </r>
  <r>
    <n v="88"/>
    <s v="MS"/>
    <m/>
    <d v="2016-02-29T00:00:00"/>
    <n v="56"/>
    <s v="MZA SR"/>
    <d v="1899-12-30T15:00:00"/>
    <d v="1899-12-30T15:02:00"/>
    <n v="1206"/>
    <x v="7"/>
    <s v="si"/>
    <s v="si"/>
    <s v="si"/>
    <s v="si"/>
    <s v="si"/>
    <m/>
    <s v="si"/>
    <m/>
    <s v="no"/>
    <s v="no"/>
    <s v="si"/>
    <m/>
    <n v="1163"/>
    <s v="MARTINEZ, PABLO RODOLFO"/>
    <m/>
    <m/>
    <s v="si"/>
    <m/>
    <s v="si"/>
    <s v="si"/>
    <s v="no"/>
    <s v="no"/>
    <s v="si"/>
    <s v="si"/>
    <s v="si"/>
    <s v="si"/>
    <s v="si"/>
    <s v="si"/>
    <s v="si"/>
    <s v="29/02/16 El guarda (Zolloco Flavio) y el conductor (Martínez Pablo) reciben a los pasajeros e indican el lugar de asiento. El guarda sirve el catering correctamente. En San Carlos cambian y el guarda (Martínez Pablo) perfuma y sirve agua a un pasajero. Una hora antes de llegar a San Rafael se percibe mucho olor a cigarrillo de la parte proveniente de abajo (Cabina, pero no se observa humo visualmente), el olor no viene del baño. Al llegar se despide a los pasajeros correctamente. "/>
  </r>
  <r>
    <n v="89"/>
    <s v="JG"/>
    <m/>
    <d v="2016-02-29T00:00:00"/>
    <n v="46"/>
    <s v="MZA SR"/>
    <d v="1899-12-30T20:15:00"/>
    <d v="1899-12-30T20:17:00"/>
    <n v="1294"/>
    <x v="22"/>
    <s v="si"/>
    <s v="si"/>
    <s v="si"/>
    <s v="no"/>
    <s v="si"/>
    <m/>
    <s v="si"/>
    <m/>
    <s v="no"/>
    <s v="si"/>
    <s v="si"/>
    <m/>
    <n v="78"/>
    <s v="CORNEJO, MARIA SOLEDAD"/>
    <m/>
    <m/>
    <s v="si"/>
    <s v="si"/>
    <s v="si"/>
    <s v="si"/>
    <s v="si"/>
    <s v="si"/>
    <s v="si"/>
    <s v="si"/>
    <s v="si"/>
    <s v="no"/>
    <s v="si"/>
    <s v="si"/>
    <s v="si"/>
    <s v="29/02/16 La unidad llega  a plataforma 20:08hs. Reciben a pasajeros 20:10hs, Azafata (Cornejo) recibe con el chofer (Marín) Pasajeros llegan a ultimo momento, el chofer arranca con ellos en las escaleras, luego antes de la salida se frena y la azafata va al fondo del piso inferior con la lista como si alguien no correspondiera viajar. Speech con mal sonido, luego es corregido. En Azcuénaga suben pasajeros. Luego reparte y sirve el catering lo hace con tono autoritario, no es muy amable y no dice gracias. Coloca película, personas del piso inferior le avisan que en ese sector no hay audio. Se escucha mas fuerte la musica de cabina con la azafata cantando hasta ISCAMEN. Desde Terminal de Tunuyán hasta Plaza Tunuyán azafata habla por teléfono. En Terminal Tunuyán se acerca un joven a la cabina (el mismo vende sándwiches) y le dice al chofer: Están bien calentitos; son $48. Y que no tenia nada de cambio. Luego la azafata va en busca de una botella de agua saborizada y se la lleva a cabina. Perfuma una vez en TSC y otra en la Tosca. "/>
  </r>
  <r>
    <n v="90"/>
    <s v="MS"/>
    <m/>
    <d v="2016-03-02T00:00:00"/>
    <n v="47"/>
    <s v="SR MZA"/>
    <d v="1899-12-30T07:00:00"/>
    <d v="1899-12-30T07:01:00"/>
    <n v="1155"/>
    <x v="0"/>
    <s v="si"/>
    <s v="si"/>
    <s v="si"/>
    <s v="si"/>
    <s v="si"/>
    <m/>
    <s v="si"/>
    <m/>
    <s v="no"/>
    <s v="no"/>
    <s v="si"/>
    <m/>
    <n v="1288"/>
    <s v="CORREA, MARIO ERNESTO"/>
    <m/>
    <m/>
    <s v="si"/>
    <m/>
    <s v="si"/>
    <s v="si"/>
    <s v="no"/>
    <s v="no"/>
    <s v="si"/>
    <s v="si"/>
    <s v="si"/>
    <s v="si"/>
    <s v="si"/>
    <s v="si"/>
    <s v="si"/>
    <s v="02/03/16 El conductor (Castilla) y el guarda (Correa) reciben a los pasajeros e indican el lugar de asiento. El guarda (Correa) sirvió correctamente el catering, luego perfumo y no volvieron a subir después. El speech se escucho correchamente. Al llegar despidieron a los pasajeros correctamente. "/>
  </r>
  <r>
    <n v="91"/>
    <s v="JG"/>
    <m/>
    <d v="2016-03-02T00:00:00"/>
    <n v="44"/>
    <s v="SR MZA"/>
    <d v="1899-12-30T10:00:00"/>
    <d v="1899-12-30T10:06:00"/>
    <n v="1175"/>
    <x v="3"/>
    <s v="si"/>
    <s v="si"/>
    <s v="si"/>
    <s v="no"/>
    <s v="si"/>
    <m/>
    <s v="si"/>
    <m/>
    <s v="no"/>
    <s v="si"/>
    <s v="si"/>
    <m/>
    <n v="1290"/>
    <s v="MORALES, VICTOR HUGO"/>
    <m/>
    <m/>
    <s v="si"/>
    <m/>
    <s v="si"/>
    <s v="si"/>
    <s v="no"/>
    <s v="si"/>
    <s v="si"/>
    <s v="si"/>
    <s v="si"/>
    <s v="si"/>
    <s v="si"/>
    <s v="si"/>
    <s v="si"/>
    <s v="02/03/16 La unidad llega 15 min antes, pero reciben a las 9:52hs. Chofer (Morales) y el guarda (Garrido) reciben juntos, saludan y comunican numero de butaca y piso. La unidad se encuentra en condiciones a excepción de los laterales que están sucios (papeles, migas y pelos) y en el baño no hay agarradera (pasamanos) y el basurero permanece abierto lo que es asqueroso y poco higiénico. Speech colocado correctamente, se verifican sonidos. catering servido de manera muy amable. perfuma dos veces. Luego de TSC cambian de lugar, el nuevo guarda (Morales) perfuma una vez y se sirve agua mineral. Ambos perfuman el baño."/>
  </r>
  <r>
    <n v="92"/>
    <s v="MS"/>
    <m/>
    <d v="2016-03-02T00:00:00"/>
    <n v="44"/>
    <s v="MZA SR"/>
    <d v="1899-12-30T15:00:00"/>
    <d v="1899-12-30T15:00:00"/>
    <n v="1175"/>
    <x v="3"/>
    <s v="si"/>
    <s v="si"/>
    <s v="si"/>
    <s v="si"/>
    <s v="si"/>
    <m/>
    <s v="si"/>
    <m/>
    <s v="no"/>
    <s v="no"/>
    <s v="si"/>
    <m/>
    <n v="1290"/>
    <s v="MORALES, VICTOR HUGO"/>
    <m/>
    <m/>
    <s v="si"/>
    <m/>
    <s v="si"/>
    <s v="si"/>
    <s v="no"/>
    <s v="no"/>
    <s v="si"/>
    <s v="si"/>
    <s v="si"/>
    <s v="si"/>
    <s v="si"/>
    <s v="si"/>
    <s v="si"/>
    <s v="02/03/16 El conductor (de estatura baja-gordito) y el guarda (Morales) reciben a los pasajeros. El guarda sirve correctamente el catering. Perfumo una vez. Luego cuando hicieron cambio de guarda se volvió a perfumar. El guarda (Morales) limpiaba por la ventana un vaso plástico con yerba y una bombilla. Al llegar despiden a los pasajeros de una forma amable. el speech, el video y la película se escuchaban correctamente."/>
  </r>
  <r>
    <n v="93"/>
    <s v="JG"/>
    <m/>
    <d v="2016-03-02T00:00:00"/>
    <n v="42"/>
    <s v="MZA SR"/>
    <d v="1899-12-30T18:00:00"/>
    <d v="1899-12-30T18:02:00"/>
    <n v="1123"/>
    <x v="17"/>
    <s v="si"/>
    <s v="si"/>
    <s v="si"/>
    <s v="no"/>
    <s v="si"/>
    <m/>
    <s v="si"/>
    <m/>
    <s v="no"/>
    <s v="no"/>
    <s v="si"/>
    <m/>
    <n v="1061"/>
    <s v="TORRES, FERNANDO OMAR"/>
    <m/>
    <m/>
    <s v="si"/>
    <m/>
    <s v="si"/>
    <s v="si"/>
    <s v="no"/>
    <s v="no"/>
    <s v="si"/>
    <s v="si"/>
    <s v="si"/>
    <s v="si"/>
    <s v="si"/>
    <s v="si"/>
    <s v="si"/>
    <s v="02/03/16 El chofer (Torres) recibe atento a pasajeros, saluda, dice numero de butaca y piso. Se reproduce el speech saliendo de terminal, con volumen muy baja, luego el guarda (Bravo) ofrece y sirve el catering correctamente, luego verifica el sonido del V. Institucional y película. Perfuma dos veces y el baño, en TSC hay cambio de chofer; allí sube gente u no observo que se le ofreciera catering, el nuevo guarda (Torres) perfuma una vez mas y el baño. No se vigila la bodega en ninguna oportunidad. "/>
  </r>
  <r>
    <n v="94"/>
    <s v="JG"/>
    <m/>
    <d v="2016-03-03T00:00:00"/>
    <n v="47"/>
    <s v="SR MZA"/>
    <d v="1899-12-30T13:00:00"/>
    <d v="1899-12-30T13:03:00"/>
    <n v="1155"/>
    <x v="0"/>
    <s v="si"/>
    <s v="si"/>
    <s v="si"/>
    <s v="si"/>
    <s v="si"/>
    <m/>
    <s v="si"/>
    <m/>
    <s v="no"/>
    <s v="no"/>
    <s v="si"/>
    <m/>
    <n v="1061"/>
    <s v="TORRES, FERNANDO OMAR"/>
    <m/>
    <m/>
    <s v="si"/>
    <m/>
    <s v="si"/>
    <s v="si"/>
    <s v="no"/>
    <s v="no"/>
    <s v="no"/>
    <s v="si"/>
    <s v="si"/>
    <s v="si"/>
    <s v="si"/>
    <s v="no"/>
    <s v="si"/>
    <s v="03/03/16 Llega 15 min antes pero reciben a las 12:53hs. Guarda (Torres) recibe solo, amable, saluda e induce butaca y piso. Chofer (Castilla) se encarga de subir los elementos del catering. Solo se vigila la bodega al llegar a Tmza. La unidad sale por Granaderos- Pueyrredón -Rivadavia. Speech correcto, luego reproducen V. Institucional con volumen extremadamente fuerte, luego lo bajan y no se escucha. Reparte y sirve el catering sin seguir el orden establecido. Reproducen película desde la mitad (ya estaba empezada) la reproducción duro 35min. Perfuma una vez (demasiado ya que es concentrado, muy molesto). TSC cambio de Guarda, el nuevo (Castilla) perfuma una vez y el baño, Mucho calor en el piso superior, varias personas molestas. Baño sin agua para el inodoro. BOLETERIA: Una persona quiere devolver su pasaje, vendedora le dice que ya no puede porque ya es muy tarde, horario 12:45hs y sale en coche a las 13hs. Vuelve a insistir pero vendedora le vuelve a decir que no. Hay dos colas, una para boletos y otra pata pasajes. "/>
  </r>
  <r>
    <n v="95"/>
    <s v="JG"/>
    <m/>
    <d v="2016-03-03T00:00:00"/>
    <n v="56"/>
    <s v="MZA SR"/>
    <d v="1899-12-30T20:15:00"/>
    <d v="1899-12-30T20:15:00"/>
    <n v="1281"/>
    <x v="2"/>
    <s v="si"/>
    <s v="si"/>
    <s v="si"/>
    <s v="no"/>
    <s v="si"/>
    <m/>
    <s v="si"/>
    <m/>
    <s v="no"/>
    <s v="si"/>
    <s v="si"/>
    <m/>
    <n v="78"/>
    <s v="CORNEJO, MARIA SOLEDAD"/>
    <m/>
    <m/>
    <s v="si"/>
    <s v="si"/>
    <s v="si"/>
    <s v="si"/>
    <s v="si"/>
    <s v="si"/>
    <s v="si"/>
    <s v="si"/>
    <s v="si"/>
    <s v="no"/>
    <s v="si"/>
    <s v="si"/>
    <s v="si"/>
    <s v="03/03/16 Azafata (CORNEJO) recibe, saluda y comunica butaca y piso, aquellos que están en butacas delanteras les recuerda el uso del cinturón. Chofer va en busca de la lista, al regresar una pasajera le hace una pregunta y el responde que su compañera se encarga de los pasajeros. sin cartel luminoso, pero posee uno plástico. Butaca 8 con cinturón incompleto [(roto) no puede ser utilizado. Azafata habla por teléfono saliendo de la terminal. Speech saliendo a la doble vía y en Azcuénaga sube alguien, parece perdió su pasaje, no se escucha bien porque hablan fuera de la unidad, algo le cobran, azafata le indica butaca 49. Catering servido correctamente, V. Institucional y película con buen sonido; muy amable con humanos menores de edad. Luego de Terminal Tunuyán se escucha hablar a la azafata con la boca llena. Perfuma dos veces. No se vigila la bodega. "/>
  </r>
  <r>
    <n v="96"/>
    <s v="LM"/>
    <m/>
    <d v="2016-03-09T00:00:00"/>
    <n v="43"/>
    <s v="SR MZA"/>
    <d v="1899-12-30T07:00:00"/>
    <d v="1899-12-30T07:00:00"/>
    <n v="1143"/>
    <x v="21"/>
    <s v="si"/>
    <s v="no"/>
    <s v="si"/>
    <s v="no"/>
    <s v="si"/>
    <m/>
    <s v="si"/>
    <m/>
    <s v="no"/>
    <s v="no"/>
    <s v="no"/>
    <m/>
    <n v="78"/>
    <s v="CORNEJO, MARIA SOLEDAD"/>
    <m/>
    <m/>
    <s v="si"/>
    <s v="no"/>
    <s v="si"/>
    <s v="si"/>
    <s v="si"/>
    <s v="no"/>
    <s v="si"/>
    <s v="si"/>
    <s v="si"/>
    <s v="si"/>
    <m/>
    <s v="si"/>
    <s v="si"/>
    <s v="09/03/2016  En terminal de S.R. Suben dos policías uniformados, la azafata les dice que viajaran parados  hasta que entren todos los pasajeros.  El chofer no llevaba pin (Sr pelado, unos 60 años). El coche parte en horario y a las 8:14hs se detiene por 10 minutos en Desvió. a las 8:44hs se detiene en terminal de E. Bustos y descienden pasajero y un policía. El baño esta en perfectas condiciones pero no tenia toallas d papel para las manos, la azafata me da una servilleta de papel y no repone toallas. la azafata no habla con el chofer, pero cuando esta en la cabina manda mensajes de texto y luego sube al segundo piso donde se sienta unto a una pasajera del primer asiento y conversan por media hora. falta apoyabrazos en el asiento numero 25. El coche llega a terminal Mendoza a las 10:05am."/>
  </r>
  <r>
    <n v="97"/>
    <s v="JG"/>
    <m/>
    <d v="2016-03-09T00:00:00"/>
    <n v="45"/>
    <s v="SR MZA"/>
    <d v="1899-12-30T10:00:00"/>
    <d v="1899-12-30T10:01:00"/>
    <n v="1169"/>
    <x v="6"/>
    <s v="si"/>
    <s v="si"/>
    <s v="si"/>
    <s v="si"/>
    <s v="si"/>
    <m/>
    <s v="si"/>
    <m/>
    <s v="no"/>
    <s v="si"/>
    <s v="si"/>
    <m/>
    <n v="54"/>
    <s v="BIBANCO, CYNTHIA DANIELA"/>
    <m/>
    <m/>
    <s v="si"/>
    <s v="si"/>
    <s v="si"/>
    <s v="si"/>
    <s v="no"/>
    <s v="si"/>
    <s v="si"/>
    <s v="si"/>
    <s v="si"/>
    <s v="si"/>
    <s v="si"/>
    <s v="si"/>
    <s v="si"/>
    <s v="09/03/16 Unidad 15 minutos antes, pero reciben a las 9:50hs. Chofer (Sánchez) Conversa con el inspector Sini cerca de la puerta de cabina del lado del chofer, azafata junto a aprendiz (Claudio) reciben a pasajeros. A las 10:00hs Sini pasa su tarjeta y baja de la unidad. Recorrido Granaderos-BsAs-Paunero-Moreno-Rivadavia. Azafata le explica al aprendiz como llenar planillas y todo lo que debe hace; le dice que la observe servir catering. se lleva agua caliente a cabina y sirve catering para los tres. Azafata perfuma una vez y el aprendiz otra y también sirve agua en dos oportunidades, un vaso lo sirve en cabina y el otro lo hace frente al pasajero. Boletería: 7:35hs Un vendedor (J. Bianco). Este esta atendiendo a una persona, con la cual esta 20 minutos aproximadamente, es muy lento, se forma una fila de 20 personas, aquellas que quieren pasajes están muy molestos y algunas de ellas se van a otras empresas."/>
  </r>
  <r>
    <n v="98"/>
    <s v="LM"/>
    <m/>
    <d v="2016-03-09T00:00:00"/>
    <n v="45"/>
    <s v="MZA SR"/>
    <d v="1899-12-30T15:00:00"/>
    <d v="1899-12-30T15:00:00"/>
    <n v="1169"/>
    <x v="6"/>
    <s v="si"/>
    <s v="no"/>
    <s v="si"/>
    <s v="no"/>
    <s v="si"/>
    <m/>
    <s v="si"/>
    <m/>
    <s v="no"/>
    <s v="no"/>
    <s v="no"/>
    <m/>
    <n v="54"/>
    <s v="BIBANCO, CYNTHIA DANIELA"/>
    <m/>
    <m/>
    <s v="si"/>
    <s v="no"/>
    <s v="si"/>
    <s v="si"/>
    <s v="no"/>
    <s v="no"/>
    <s v="no"/>
    <s v="si"/>
    <s v="si"/>
    <s v="si"/>
    <s v="si"/>
    <s v="no"/>
    <s v="no"/>
    <s v="09/03/16 El coche numero 45 estuvo en la plataforma solo 10 minutos antes de la hora de partida. La camperita del chofer no deja ver el pin. El chofer es morocho de bigotes. El guarda no usa pin, y la azafata es Bibanco Cynthia. El coche sale de T.Mza a las 15hs con cuatro polacas uniformados, dos van sentadas y el resto parados. la azafata es muy atenta y amable a las necesidad del pasaje, no usa celular solo conversa con el chofer. tanto azafata como el guarda sirven el catering sin respetar el orden (ventanilla - pasillo). falta plástico protector del posa pie del asiento 25. hora de llegada real a TSR 18:17hs. "/>
  </r>
  <r>
    <n v="99"/>
    <s v="JG"/>
    <m/>
    <d v="2016-03-09T00:00:00"/>
    <n v="46"/>
    <s v="MZA SR"/>
    <d v="1899-12-30T18:00:00"/>
    <d v="1899-12-30T18:02:00"/>
    <n v="1294"/>
    <x v="22"/>
    <s v="si"/>
    <s v="si"/>
    <s v="si"/>
    <s v="no"/>
    <s v="si"/>
    <m/>
    <s v="si"/>
    <m/>
    <s v="no"/>
    <s v="si"/>
    <s v="si"/>
    <m/>
    <n v="1061"/>
    <s v="TORRES, FERNANDO OMAR"/>
    <m/>
    <m/>
    <s v="si"/>
    <m/>
    <s v="si"/>
    <s v="si"/>
    <s v="no"/>
    <s v="si"/>
    <s v="si"/>
    <s v="si"/>
    <s v="no"/>
    <s v="si"/>
    <s v="si"/>
    <s v="no"/>
    <s v="si"/>
    <s v="09/03/16 Chofer (Torres) y guarda (Marín) reciben juntos a pasajeros. Hay música (radio) por todos los altavoces de la unidad; la apagan para colocar el speech, al inicio se escucha muy mal, con sonido entrecortado. Butacas con migas. Guarda no emite palabras para ofrecer catering solo da las cosas. V. Institucional con volumen muy bajo. Luego de retirar la basura del catering se lleva a la cabina el elemento rectangular de acero inoxidable que posee el agua caliente, se observan vasos en cabina. TSC cambio de chofer, el nuevo guarda (Torres) limpia una bombilla por la ventana de cabina. Perfuma una vez y otra recorre la unidad sin perfumar. Baño con tasa y piso sucios y mojados."/>
  </r>
  <r>
    <n v="100"/>
    <s v="JG"/>
    <m/>
    <d v="2016-03-10T00:00:00"/>
    <n v="43"/>
    <s v="SR MZA"/>
    <d v="1899-12-30T07:00:00"/>
    <d v="1899-12-30T07:01:00"/>
    <n v="1232"/>
    <x v="14"/>
    <s v="si"/>
    <s v="si"/>
    <s v="si"/>
    <s v="si"/>
    <s v="si"/>
    <m/>
    <s v="si"/>
    <m/>
    <s v="no"/>
    <s v="si"/>
    <s v="si"/>
    <m/>
    <n v="78"/>
    <s v="CORNEJO, MARIA SOLEDAD"/>
    <m/>
    <m/>
    <s v="si"/>
    <s v="si"/>
    <s v="si"/>
    <s v="si"/>
    <s v="no"/>
    <s v="si"/>
    <s v="si"/>
    <s v="si"/>
    <s v="si"/>
    <s v="no"/>
    <m/>
    <s v="si"/>
    <s v="si"/>
    <s v="10/03/16 Azafata (Cornejo) y chofer (González J.) reciben a pasajeros. Se vigila la bodega solo al llegar a T. Mza. Hace Granaderos-Moreno-Rivadavia. A las 7:10hs por Rotonda del Mapa azafata llena vasos con agua caliente y los lleva a cabina. Como ha llovido azafata recibe dentro de la unidad por la puerta que ascienden pasajeros. En Aeropuerto hay una Sra. que tiene varios bolsos, azafata se queja y la convence de subir con ellos a la unidad para no tener que ir hasta la bodega. Speech saliendo del aeropuerto, reparte catering y luego en Cristo suben pasajeros. Tarda mucho en retirar catering y apagar las luces (15-20min). Desde la butaca 12  se escucha perfectamente la radio de la cabina (volumen muy alto). Luego de TSC donde bajar varios pasajero, azafata sube a acomodar butacas, allí perfuma y repite en Zapata. Se adjunta pasaje encontrado entre apoyabrazos y la pared de la unidad con fecha del día anterior y papel de caramelo hallado en el piso. Boletería: 12:35hs Dos vendedores, una sola cola, ambos vendedores atienden a personas con abonos y hay mucha demora; una persona se acerca y comunica que desea viajar a las 13hs a Mza, que si lo pueden atender porque sino no podrá viajar, por lo que G.Mansilla comienza a llamar a personas que necesitan pasajes. Mucha espera cuando hacen tarjeta para los abonos (15 - 20 min de espera)"/>
  </r>
  <r>
    <n v="101"/>
    <s v="LM"/>
    <m/>
    <d v="2016-03-10T00:00:00"/>
    <n v="49"/>
    <s v="SR MZA"/>
    <d v="1899-12-30T13:00:00"/>
    <d v="1899-12-30T13:00:00"/>
    <n v="1137"/>
    <x v="13"/>
    <s v="si"/>
    <s v="si"/>
    <s v="si"/>
    <s v="si"/>
    <s v="si"/>
    <m/>
    <s v="si"/>
    <m/>
    <s v="no"/>
    <s v="no"/>
    <s v="si"/>
    <m/>
    <n v="1155"/>
    <s v="CASTILLA, ANDRES ANGEL"/>
    <m/>
    <m/>
    <s v="si"/>
    <m/>
    <s v="si"/>
    <s v="si"/>
    <s v="no"/>
    <s v="no"/>
    <s v="si"/>
    <s v="si"/>
    <s v="no"/>
    <s v="si"/>
    <s v="si"/>
    <s v="no"/>
    <s v="si"/>
    <s v="10/03/16 El coche numero 49 arriba a la plataforma de TSR solo 12 minutos antes del horario de partida. Tanto chofer (Martínez) como guarda (Castilla Andrés) respetan el instructivo de abordaje. Una vez los pasajeros están a bordo los del asiento 44 y 43 manifiestan que sus butacas están &quot;empapadas, hechas agua&quot; a continuación el guarda coloca fundas en las mismas. Durante la reproducción de la película el TV les del medio deja de funcionar de a ratos. el baño esta en perfectas condiciones pero le falta toallas de mano de papel. El guarda (Castilla) es amable y atento a las necesidades del pasaje. Llegada real a terminal Mendoza 16:15hs estaciono el coche Castilla. "/>
  </r>
  <r>
    <n v="102"/>
    <s v="JG"/>
    <m/>
    <d v="2016-03-10T00:00:00"/>
    <n v="46"/>
    <s v="MZA SR"/>
    <d v="1899-12-30T15:00:00"/>
    <d v="1899-12-30T15:04:00"/>
    <n v="1147"/>
    <x v="20"/>
    <s v="si"/>
    <s v="si"/>
    <s v="si"/>
    <s v="si"/>
    <s v="si"/>
    <m/>
    <s v="si"/>
    <m/>
    <s v="no"/>
    <s v="si"/>
    <s v="si"/>
    <m/>
    <n v="54"/>
    <s v="BIBANCO, CYNTHIA DANIELA"/>
    <m/>
    <m/>
    <s v="si"/>
    <s v="si"/>
    <s v="no"/>
    <s v="si"/>
    <s v="no"/>
    <s v="si"/>
    <s v="si"/>
    <s v="si"/>
    <s v="si"/>
    <s v="no"/>
    <s v="si"/>
    <s v="si"/>
    <s v="si"/>
    <s v="10/03/16 Chofer (Valenzuela) luego de ir a buscar la lista de pasajeros, vigila la bodega en T. Mza y al llegar a TSR . Recibe azafata (Bibanco) junto a Aprendiz (Claudio, según lo llama ella). Unidad en condiciones, excepto por el resto de catering (envoltorio de Pepas) encontrado entre los asiento 13-14, el mismo se adjunta. Ingresando a la doble vía, speech con sonido verificado, luego aprendiz ofrece el catering, prácticamente no emite palabras, no se coloca alcohol en gel, azafata le prepara las botellas y el lo sirve respetando el orden de Ventanilla-Pasillo; luego en Azcuénaga suben varios pasajeros. Azafata perfuma una vez, pasajeros extranjeros le piden si puede cargar un poco un teléfono celular, ella le dice que si tiene cable USB, que le pedirá a su compañero; luego perfuma el aprendiz, le piden agua en 3 oportunidades y les sirve amablemente frente a ellos. Por Chilecito (16:45hs) azafata pregunta que quieren tomar y prepara catering para todos.  Aprendiz despide a pasajeros al llegar a TSR, Azafata no se ve, creería que fue a la boletería con restos de catering. "/>
  </r>
  <r>
    <n v="103"/>
    <s v="LM"/>
    <m/>
    <d v="2016-03-10T00:00:00"/>
    <n v="45"/>
    <s v="MZA SR"/>
    <d v="1899-12-30T20:15:00"/>
    <d v="1899-12-30T20:16:00"/>
    <n v="1169"/>
    <x v="6"/>
    <s v="si"/>
    <s v="si"/>
    <s v="si"/>
    <s v="si"/>
    <s v="si"/>
    <m/>
    <s v="si"/>
    <m/>
    <s v="no"/>
    <s v="no"/>
    <s v="si"/>
    <m/>
    <n v="91"/>
    <s v="UBILLOS, JOANA MIRTA SOLEDAD"/>
    <m/>
    <m/>
    <s v="si"/>
    <s v="no"/>
    <s v="si"/>
    <s v="si"/>
    <s v="no"/>
    <s v="no"/>
    <s v="si"/>
    <s v="si"/>
    <s v="si"/>
    <s v="si"/>
    <s v="si"/>
    <s v="si"/>
    <s v="si"/>
    <s v="10/03/16 El coche numero 45 esta 15 minutos antes del horario de salida y parte a horario. El chofer (pelo negro y bigotes) posee un chaleco que no eja ver el pin, la azafata Ubillos Soledad es amable y cumple con el protocolo de la empresa. Dentro de la unidad el reloj luminoso no esta en hora, falta portavasos del asiento 11. El baño en condiciones. Falta toallas de papel. En el exterior el parabrisas derecho superior esta trizado. En la Terminal de S.C. descienden algunos pasajeros en ese momento un pasajero desciende y vuelve a subir y al pasar a mi lado traía olor a cigarrillo. Minutos mas tarde el mismo pasajero va al baño y regresa con olor a cigarrillo. Voy al baño y se percibía un leve aroma a cigarrillo. A las 23:02hs el chofer sobrepasa a un camión con línea amarilla en la ruta. Hora de llegada a terminal de S.R. 23:35hs."/>
  </r>
  <r>
    <n v="104"/>
    <s v="LM"/>
    <m/>
    <d v="2016-03-11T00:00:00"/>
    <n v="44"/>
    <s v="SR MGUE"/>
    <d v="1899-12-30T14:00:00"/>
    <d v="1899-12-30T14:03:00"/>
    <n v="1288"/>
    <x v="18"/>
    <s v="si"/>
    <s v="si"/>
    <s v="si"/>
    <s v="si"/>
    <s v="si"/>
    <m/>
    <s v="si"/>
    <m/>
    <s v="no"/>
    <s v="no"/>
    <s v="si"/>
    <m/>
    <n v="1290"/>
    <s v="MORALES, VICTOR HUGO"/>
    <m/>
    <m/>
    <s v="si"/>
    <s v="no"/>
    <s v="si"/>
    <s v="si"/>
    <s v="no"/>
    <s v="no"/>
    <s v="si"/>
    <s v="si"/>
    <s v="si"/>
    <s v="si"/>
    <s v="si"/>
    <s v="si"/>
    <s v="si"/>
    <s v="11/03/16 El coche esta en la dársena 15 minutos antes del horario de partida y sale a horario. Tanto chofer (Correa) como guarda (Morales) respetan el instructivo. En la parte exterior de la unidad se aprecia que las palabras &quot;Iselin&quot; de ambos lados parte posterior estaban despintadas y hay una trizadura en el parabrisas lado del conductor. En el interior el soporte del TV les del centro esta flojo. El reloj no esta en hora. A las 14:38hs el chofer sobrepasa a un grupo de ciclistas con línea amarilla en una curva. El viaje es placentero, el guarda es atento a los pedidos de la gente y no conversa con el chofer. el baño en condiciones aceptables. "/>
  </r>
  <r>
    <n v="105"/>
    <s v="LM"/>
    <m/>
    <d v="2016-03-11T00:00:00"/>
    <n v="44"/>
    <s v="MGUE SR"/>
    <d v="1899-12-30T18:00:00"/>
    <d v="1899-12-30T18:00:00"/>
    <n v="1288"/>
    <x v="18"/>
    <s v="si"/>
    <s v="si"/>
    <s v="si"/>
    <s v="si"/>
    <s v="si"/>
    <m/>
    <s v="si"/>
    <m/>
    <s v="no"/>
    <s v="no"/>
    <s v="si"/>
    <m/>
    <n v="1290"/>
    <s v="MORALES, VICTOR HUGO"/>
    <m/>
    <m/>
    <s v="si"/>
    <s v="no"/>
    <s v="si"/>
    <s v="si"/>
    <s v="no"/>
    <s v="no"/>
    <s v="si"/>
    <s v="si"/>
    <s v="si"/>
    <s v="si"/>
    <s v="si"/>
    <s v="si"/>
    <s v="si"/>
    <s v="11/03/16 El coche esta en la dársena 15 minutos antes del horario de partida y sale a horario. Tanto chofer (Morales) como guarda (Correa) respetan el instructivo. En la parte exterior de la unidad se aprecia que las palabras &quot;Iselin&quot; están despintadas y hay una trizadura en el parabrisas  izquierdo. En el interior el soporte del TV les medio esta flojo y el reloj no esta en hora. El colectivo sale de terminal con varios pasajeros de pie en el pasillo y al memento del catering el guarda reparte solo galletas y dice que es así porque han vendido pasajes de mas y la bebida no alcanza. A las 18:48hs descienden algunos pasajeros pero a las 19:20hs es imposible acceder al baño porque hay 4 pasajeros sentados en las escaleras con su equipaje. A las 20:00hs unos pasajeros empiezan a escuchar música a alto volumen y provocan quejas. Recién a las 20:31hs la pasajera del asiento 26 les exige que corten con el ruido. El viaje fue placentero hasta el incidente. El guarda no actuó en consecuencia respecto al incidente del muchacho escuchando música a alto volumen."/>
  </r>
  <r>
    <n v="106"/>
    <s v="JG"/>
    <m/>
    <d v="2016-03-14T00:00:00"/>
    <n v="110"/>
    <s v="SR MZA"/>
    <d v="1899-12-30T07:00:00"/>
    <d v="1899-12-30T07:05:00"/>
    <n v="1293"/>
    <x v="12"/>
    <s v="si"/>
    <s v="si"/>
    <s v="si"/>
    <s v="si"/>
    <s v="si"/>
    <m/>
    <s v="si"/>
    <m/>
    <s v="no"/>
    <s v="si"/>
    <s v="si"/>
    <m/>
    <n v="1232"/>
    <s v="GONZALEZ, JORGE DAVID"/>
    <m/>
    <m/>
    <s v="si"/>
    <m/>
    <s v="si"/>
    <s v="si"/>
    <s v="no"/>
    <s v="si"/>
    <s v="si"/>
    <s v="si"/>
    <s v="si"/>
    <s v="no"/>
    <m/>
    <s v="si"/>
    <s v="si"/>
    <s v="14/03/16 Guarda (González) recibe a pasajeros; chofer (Buttini) se encarga de los elementos del catering, al llegar a TMZA chofer vigila la bodega. En Toledano una mujer avisa que le llevaran algo que olvido, esperan 3 minutos. Speech luego de Toledano, reparten catering y en Cristo suben mas pasajeros. El catering no es ofrecido, solo se pone a dar los elementos y espera que el pasajero le diga que quiere y que no. Luego del catering se lleva agua caliente a cabina. Perfuma una vez. En TSC cambian de lugar, el nuevo guarda (Buttini) repasa las escaleras con el lampazo, perfuma la unidad. En rotonda del Gaucho con Guitarra (Desvió a Tunpungato por Cordón del Plata) dejan bajar por la puerta delantera a un hombre de remera rayada. "/>
  </r>
  <r>
    <n v="107"/>
    <s v="JG"/>
    <m/>
    <d v="2016-03-14T00:00:00"/>
    <n v="46"/>
    <s v="MZA SR"/>
    <d v="1899-12-30T15:00:00"/>
    <d v="1899-12-30T15:01:00"/>
    <n v="1120"/>
    <x v="1"/>
    <s v="si"/>
    <s v="si"/>
    <s v="si"/>
    <s v="si"/>
    <s v="si"/>
    <m/>
    <s v="si"/>
    <m/>
    <s v="no"/>
    <s v="no"/>
    <s v="si"/>
    <m/>
    <n v="78"/>
    <s v="CORNEJO, MARIA SOLEDAD"/>
    <m/>
    <m/>
    <s v="si"/>
    <s v="si"/>
    <s v="si"/>
    <s v="si"/>
    <s v="no"/>
    <s v="no"/>
    <s v="si"/>
    <s v="si"/>
    <s v="si"/>
    <s v="si"/>
    <s v="si"/>
    <s v="si"/>
    <s v="si"/>
    <s v="14/03/16 La unidad llega a plataforma 7 min antes. Azafata recibe a pasajeros. Chofer vigila la bodega solo en TMZA. Speech a varios km de Azcuénaga, aun cuando allí subieran varios pasajeros. Catering ofrecido y servido con amabilidad, agradece al retirar los restos del catering. perfuma dos veces correctamente lo hace de manera lenta. Se escucha desde el piso inferior (aun con el ruido de motor y el aire) muy fuerte el volumen de la radio proveniente de cabina."/>
  </r>
  <r>
    <n v="108"/>
    <s v="JG"/>
    <m/>
    <d v="2016-03-16T00:00:00"/>
    <n v="47"/>
    <s v="SR MZA"/>
    <d v="1899-12-30T13:00:00"/>
    <d v="1899-12-30T13:04:00"/>
    <n v="1155"/>
    <x v="0"/>
    <s v="si"/>
    <s v="si"/>
    <s v="si"/>
    <s v="si"/>
    <s v="si"/>
    <m/>
    <s v="si"/>
    <m/>
    <s v="no"/>
    <s v="no"/>
    <s v="si"/>
    <m/>
    <n v="54"/>
    <s v="BIBANCO, CYNTHIA DANIELA"/>
    <m/>
    <m/>
    <s v="si"/>
    <s v="si"/>
    <s v="si"/>
    <s v="si"/>
    <s v="no"/>
    <s v="no"/>
    <s v="si"/>
    <s v="si"/>
    <s v="si"/>
    <s v="si"/>
    <s v="si"/>
    <s v="si"/>
    <s v="si"/>
    <s v="16/03/16 La unidad esta 10 min antes. Chofer vigila la bodega tanto en TSR como en Mza. Azafata recibe a pasajeros junto al Aprendiz que esta con la lista de pasajeros. Speech colocado correctamente con volumen verificado. Aprendiz reparte catering, no utiliza alcohol en gel, y se agarra de sectores de la unidad poco higiénicas, lo hace amable, aunque no siempre emite palabra, sirve respetando el orden y al retirar agradece. V. Institucional al inicio con buen sonido, luego lo bajan tanto que no se escucha absolutamente nada. Aprendiz sirve agua mineral a quien se lo pide, la sirve frente al pasajero. Película con volumen correcto. Azafata perfuma dos veces, pregunta por la temperatura, aprendiz perfuma en la tercera ocasión. Un pasajero pide bajar a metros del Rio Tunuyán (puente), azafata le dice que le harán la atención; el Sr se lo agradece. Aproximadamente a las 15:18hs se escuchan cuentos de Landricina emitidos desde la cabina, con volumen exageradamente elevado, se mezcla con el audio de la película. Varios pasajeros piden que coloque el aire mas fuerte porque hace calor en el piso superior, pero no se notaba diferencias. "/>
  </r>
  <r>
    <n v="109"/>
    <s v="JG"/>
    <m/>
    <d v="2016-03-16T00:00:00"/>
    <n v="42"/>
    <s v="MZA SR"/>
    <d v="1899-12-30T20:15:00"/>
    <d v="1899-12-30T20:20:00"/>
    <n v="1028"/>
    <x v="8"/>
    <s v="si"/>
    <s v="si"/>
    <s v="si"/>
    <s v="no"/>
    <s v="si"/>
    <m/>
    <s v="si"/>
    <m/>
    <s v="no"/>
    <s v="no"/>
    <s v="si"/>
    <m/>
    <n v="91"/>
    <s v="UBILLOS, JOANA MIRTA SOLEDAD"/>
    <m/>
    <m/>
    <s v="si"/>
    <s v="si"/>
    <s v="si"/>
    <s v="si"/>
    <s v="no"/>
    <s v="no"/>
    <s v="si"/>
    <s v="si"/>
    <s v="no"/>
    <s v="si"/>
    <s v="si"/>
    <s v="no"/>
    <s v="si"/>
    <s v="16/03/16 La unidad esta en plataforma 20:06hs. Azafata recibe amable a pasajeros, chofer se va a la bodega, solo se vigila en TMZA. La unidad sale fuera de horario porque esperan a pasajeros que están en la boletería. Speech con buen sonido. Catering servido de manera amable y respetando el orden. Video Institucional con volumen correcto. Película emitida con volumen demasiado bajo. Azafata no perfuma la unidad en ninguna ocasión, sin embargo si la recorre. Sirve atenta Catering a pasajeros que suben en Tunuyán. Cinturón del asiento numero 5 incompleto, el mismo no puede ser utilizado. "/>
  </r>
  <r>
    <n v="110"/>
    <s v="LM"/>
    <m/>
    <d v="2016-03-17T00:00:00"/>
    <n v="46"/>
    <s v="SR MZA"/>
    <d v="1899-12-30T07:00:00"/>
    <d v="1899-12-30T07:02:00"/>
    <n v="1294"/>
    <x v="22"/>
    <s v="si"/>
    <s v="si"/>
    <s v="si"/>
    <s v="si"/>
    <s v="si"/>
    <m/>
    <s v="si"/>
    <m/>
    <s v="no"/>
    <s v="no"/>
    <s v="si"/>
    <m/>
    <n v="1187"/>
    <s v="VARGAS, FLAVIO FRANCISCO"/>
    <m/>
    <m/>
    <s v="si"/>
    <s v="no"/>
    <s v="si"/>
    <s v="si"/>
    <s v="no"/>
    <s v="no"/>
    <s v="no"/>
    <s v="si"/>
    <s v="no"/>
    <s v="si"/>
    <s v="no"/>
    <s v="si"/>
    <s v="no"/>
    <s v="17/03/2016  El coche numero 46 arriba a la terminal de San Rafael con 15 minutos de anticipación  del horarios de partida y sale a Mendoza a horario al mando del chofer (Marín), el recorrido es placentero con maniobras tranquilas. El speech se reprodujo a partir de la calle Bianchi aun cunado todos los pasajeros habían abordado en el Toledano. El Guarda (Vargas Flavio) sirve el catering sin respetar el orden (ventanilla-pasillo). A las 8:30hs ascienden dos pasajeros y una de ellas se sienta en la escalera de acceso a la cabina del conductor y conversa hasta las 8:41 aprox. El baño se encuentra en buenas condiciones a pesar de haber sido usado, tiene los elementos necesarios (agua, jabón, limpio). A las 8:50hs en Terminal de E. B. chofer y guarda cambian de roles, descienden algunos pasajeros y asciende un oficial de policía uniformado. El viaje continua sin novedades y recién 9:12hs cerca de Tunuyán el guarda (ahora Marín) perfuma por primera vez la unidad. Hora de arribo a la terminal Mendoza 10:18hs. El marco plástico de la ventanilla 15 tiene una pequeña rotura. "/>
  </r>
  <r>
    <n v="111"/>
    <s v="JG"/>
    <m/>
    <d v="2016-03-17T00:00:00"/>
    <n v="42"/>
    <s v="SR MZA"/>
    <d v="1899-12-30T10:00:00"/>
    <d v="1899-12-30T10:08:00"/>
    <n v="1190"/>
    <x v="4"/>
    <s v="si"/>
    <s v="si"/>
    <s v="si"/>
    <s v="si"/>
    <s v="si"/>
    <m/>
    <s v="si"/>
    <m/>
    <s v="no"/>
    <s v="no"/>
    <s v="si"/>
    <m/>
    <n v="1143"/>
    <s v="FORTE, MARIO LUIS"/>
    <m/>
    <m/>
    <s v="si"/>
    <m/>
    <s v="si"/>
    <s v="si"/>
    <s v="no"/>
    <s v="no"/>
    <s v="si"/>
    <s v="no"/>
    <s v="no"/>
    <s v="no"/>
    <s v="no"/>
    <s v="si"/>
    <s v="no"/>
    <s v="17/03/16 La unidad llega a plataforma 10 min antes del horario. El Guarda (Jovic) recibe solo a los pasajeros, el chofer se encarga de los elementos del catering. La unidad se encuentra en condiciones, pero el baño no tienen agua para el inodoro. Speech colocado por Av. Rivadavia, con buen sonido, luego suben pasajeros en el Toledano. No es emitido el Video Institucional. La película con sonido muy elevado. No es emitido el speech de llegada a Mendoza. No se perfuma la unidad en ningún momento, tampoco se la recorre. Solo se vigila la bodega al llegar a Mza. "/>
  </r>
  <r>
    <n v="112"/>
    <s v="LM"/>
    <m/>
    <d v="2016-03-17T00:00:00"/>
    <n v="42"/>
    <s v="MZA SR"/>
    <d v="1899-12-30T15:00:00"/>
    <d v="1899-12-30T15:00:00"/>
    <n v="1190"/>
    <x v="4"/>
    <s v="si"/>
    <s v="no"/>
    <s v="si"/>
    <s v="si"/>
    <s v="si"/>
    <m/>
    <s v="si"/>
    <m/>
    <s v="no"/>
    <s v="no"/>
    <s v="si"/>
    <m/>
    <n v="1143"/>
    <s v="FORTE, MARIO LUIS"/>
    <m/>
    <m/>
    <s v="si"/>
    <m/>
    <s v="si"/>
    <s v="si"/>
    <s v="no"/>
    <s v="no"/>
    <s v="no"/>
    <s v="si"/>
    <s v="no"/>
    <s v="si"/>
    <s v="si"/>
    <s v="si"/>
    <s v="si"/>
    <s v="17/03/16 El coche numero 42 arriba a la terminal de Mendoza con 15 minutos de anticipación al horario de partida y sale a horario. Tanto el chofer que no llevaba identificación PIN (Sr 50 años aprox, pelo corto) como el guarda (Jovic Fernando) respetan el instructivo en el abordaje. El speech instructivo y película se reprodujeron correctamente. El guarda no respeta el orden (ventanilla-pasillo) al servir el catering, ni sube a perfumar la unidad en ningún momento. El baño en condiciones. El viaje es placentero ya que el chofer no realiza maniobras bruscas, a pesar del mal tiempo. En el interior de la unidad se puede observar que las calcomanías de &quot;Prohibido asomarse&quot; están rotas, también que el frente de la maquina de café esta abierta y se siente un ruido molesto en el ventilador  de los asientos 17 y 18. En el exterior las calcos de Iselin y secretaria de transporte descoloridas y el parabrisas izq. superior trizado. "/>
  </r>
  <r>
    <n v="113"/>
    <s v="JG"/>
    <m/>
    <d v="2016-03-17T00:00:00"/>
    <n v="43"/>
    <s v="MZA SR"/>
    <d v="1899-12-30T18:00:00"/>
    <d v="1899-12-30T18:02:00"/>
    <n v="1028"/>
    <x v="8"/>
    <s v="si"/>
    <s v="si"/>
    <s v="si"/>
    <s v="si"/>
    <s v="si"/>
    <m/>
    <s v="si"/>
    <m/>
    <s v="no"/>
    <s v="si"/>
    <s v="si"/>
    <m/>
    <n v="54"/>
    <s v="BIBANCO, CYNTHIA DANIELA"/>
    <m/>
    <m/>
    <s v="si"/>
    <s v="si"/>
    <s v="si"/>
    <s v="si"/>
    <s v="no"/>
    <s v="si"/>
    <s v="si"/>
    <s v="si"/>
    <s v="si"/>
    <s v="si"/>
    <s v="si"/>
    <s v="si"/>
    <s v="si"/>
    <s v="17/03/16 La unidad esta 15 minutos antes.  Chofer al inicio vigila la bodega, luego se va a conversar con chofer de otra empresa y le da la espalda a la unidad, en TSR vigila la bodega de cerca. Azafata junto a aprendiz y vendedor de boletos (Manía) reciben a pasajeros, al llegar a TSR aprendiz despide atento a los pasajeros y la azafata lleva restos de catering a boletería. Unidad con laterales sucios, se adjunta resto de catering y papeles encontrados.  Speech, V. Institucional y película con sonidos correctos. Aprendiz reparte y sirve catering correctamente, Ofrece solo a alguna personas a otras las mira, no siempre responde al gracias y no siempre lo dice al retirar el catering, no se coloca alcohol en gel en las manos; perfuma dos veces; azafata recorre la unidad una vez mas."/>
  </r>
  <r>
    <n v="114"/>
    <s v="LM"/>
    <m/>
    <d v="2016-03-19T00:00:00"/>
    <n v="49"/>
    <s v="SR MZA"/>
    <d v="1899-12-30T07:00:00"/>
    <d v="1899-12-30T07:06:00"/>
    <n v="1167"/>
    <x v="11"/>
    <s v="si"/>
    <s v="si"/>
    <s v="si"/>
    <s v="si"/>
    <s v="si"/>
    <m/>
    <s v="si"/>
    <m/>
    <s v="no"/>
    <s v="no"/>
    <s v="si"/>
    <m/>
    <n v="1137"/>
    <s v="MARTINEZ, GONZALO ALFREDO"/>
    <m/>
    <m/>
    <s v="si"/>
    <s v="no"/>
    <s v="si"/>
    <s v="si"/>
    <s v="no"/>
    <s v="no"/>
    <s v="si"/>
    <s v="si"/>
    <s v="no"/>
    <s v="si"/>
    <s v="no"/>
    <s v="si"/>
    <s v="no"/>
    <s v="19/03/2016 El coche 49 esta en la terminal de San Rafael antes del horario de partida, los conductores y guardas cumplen con el instructivo a la hora del abordaje. El estado tanto externo como interno de la unidad es optima, se encuentra en muy buenas condiciones en general. La unidad parte de San Rafael a horario al mando del chofer Reyes el speech se reprodujo correctamente y en el momento oportuno. El guarda Martínez respeto el orden al momento de servir el catering (ventanilla-pasillo) pero no subió al segundo piso a perfuma en ninguna oportunidad. Viajo durante todo el recorrido un pasajero sentado en las escaleras de acceso a la cabina del chofer y converso durante todo el viaje con chofer y guarda acerca de los recorridos de semana santa, medidas de seguridad de las unidades, anécdotas de cuando un pasajero era chofer de la empresa Iselin. 9:15hs arriba a Tunuyán donde suben pasajeros. El viaje es placentero, ya que el chofer viaja a velocidad normal y hace maniobras suaves. Lo único que interrumpe la tranquilidad del viaje es el ruido que hace el porta equipajes izquierdo y la maquina de café por las vibraciones.   "/>
  </r>
  <r>
    <n v="115"/>
    <s v="LM"/>
    <m/>
    <d v="2016-03-19T00:00:00"/>
    <n v="42"/>
    <s v="MZA SR"/>
    <d v="1899-12-30T15:00:00"/>
    <d v="1899-12-30T15:02:00"/>
    <n v="1208"/>
    <x v="9"/>
    <s v="si"/>
    <s v="no"/>
    <s v="si"/>
    <s v="si"/>
    <s v="si"/>
    <m/>
    <s v="si"/>
    <m/>
    <s v="no"/>
    <s v="no"/>
    <s v="si"/>
    <m/>
    <n v="78"/>
    <s v="CORNEJO, MARIA SOLEDAD"/>
    <m/>
    <m/>
    <s v="si"/>
    <s v="no"/>
    <s v="si"/>
    <s v="si"/>
    <s v="no"/>
    <s v="no"/>
    <s v="si"/>
    <s v="si"/>
    <s v="si"/>
    <s v="si"/>
    <s v="si"/>
    <s v="si"/>
    <s v="si"/>
    <s v="19/03/2016 La unidad 42 esta en la terminal de Mendoza con 15 minutos de anticipación a la partida y sale a horario al mando del chofer que tenia pin de identificación, tapado por el chaleco (hombre mayor, 40 años aproa, pelo negro con canas). Tanto el chofer como la azafata (Cornejo Soledad) respetan el instructivo a la hora del abordaje y descenso. El speech, institucional y película se reprodujeron en tiempo y forma. el viaje es ameno ya que el conductor no realiza maniobras bruscas ni viaja a gran velocidad, La azafata respeta el orden (ventanilla-pasillo) a la hora de servir el catering. El recorrido es mucho mas agradable a la buena predisposición de la azafata a pedidos específicos de los pasajeros. Ej. servilletas de papel, agua para tomar un medicamente, etc. Respeto del estado d ella unidad: en Terminal de Mza dos pasajeros hacían comentarios respecto de una trizadura en el parabrisas izquierdo superior y del cartel de destino que estaba roto según respondió la azafata. "/>
  </r>
  <r>
    <n v="116"/>
    <s v="JG"/>
    <m/>
    <d v="2016-03-21T00:00:00"/>
    <n v="44"/>
    <s v="SR MZA"/>
    <d v="1899-12-30T07:00:00"/>
    <d v="1899-12-30T07:02:00"/>
    <n v="1187"/>
    <x v="23"/>
    <s v="si"/>
    <s v="si"/>
    <s v="si"/>
    <s v="si"/>
    <s v="si"/>
    <m/>
    <s v="si"/>
    <m/>
    <s v="si"/>
    <s v="si"/>
    <s v="si"/>
    <m/>
    <n v="1175"/>
    <s v="GARRIDO, JOSE ALBERTO"/>
    <m/>
    <m/>
    <s v="si"/>
    <m/>
    <s v="si"/>
    <s v="si"/>
    <s v="no"/>
    <s v="si"/>
    <s v="no"/>
    <s v="si"/>
    <s v="si"/>
    <s v="si"/>
    <m/>
    <s v="si"/>
    <s v="si"/>
    <s v="21/03/2016   La unidad esta 15 minutos antes. Guarda (Garrido) recibe a pasajeros junto al chofer (Vargas) que como observa que el maletero no se acerca ya que esta ocupado con otras unidades, comienza  él a subir los bolsos. Speech colocado correctamente con buen sonido. Guarda ofrece catering de manera atenta, pero lo sirve sin seguir el orden establecido. Perfuma dos veces el coche, tanto piso superior como inferior.  En TSC cambian de lugar y el nuevo guarda (Vargas) perfuma una vez y habla por teléfono en varias ocasiones. Observo ya por  la doble vía una azucarera y yerbera sobre el asiento del guarda, este no va sentado correctamente en su butaca, sino mirando  al chofer, como si escondiera algo. Al llegar a TMza se vigila la bodega y el guarda  despide.   "/>
  </r>
  <r>
    <n v="117"/>
    <s v="LM"/>
    <m/>
    <d v="2016-03-21T00:00:00"/>
    <n v="42"/>
    <s v="SR MZA"/>
    <d v="1899-12-30T10:00:00"/>
    <d v="1899-12-30T10:03:00"/>
    <n v="1222"/>
    <x v="16"/>
    <s v="si"/>
    <s v="si"/>
    <s v="si"/>
    <s v="si"/>
    <s v="si"/>
    <m/>
    <s v="si"/>
    <m/>
    <s v="no"/>
    <s v="no"/>
    <s v="si"/>
    <m/>
    <n v="1028"/>
    <s v="ESPASANDIN, ISAIAS PEDRO"/>
    <m/>
    <m/>
    <s v="si"/>
    <s v="no"/>
    <s v="si"/>
    <s v="si"/>
    <s v="no"/>
    <s v="no"/>
    <s v="si"/>
    <s v="si"/>
    <s v="si"/>
    <s v="si"/>
    <s v="si"/>
    <s v="si"/>
    <s v="si"/>
    <s v="21/03/2016 El coche numero 42 esta en terminal de San Rafael 15 minutos antes del horario de partida y sale a tiempo al mando del chofer (Tapia Claudio) y con el guarda (aclaro que el guarda llevaba pin en el borde superior del bolsillo de la camisa y que era muy difícil poder leerlo porque se encontraba caído) es un Sr de 50 años aprox canoso. Ambos respetan el instructivo tanto al abordar como en el desembarco. El viaje es placentero el chofer realiza maniobra suaves que hacen del viaje una experiencia amena. El speech, institucional y película se reproducen en tiempo y forma.  Y al momento del catering el guarda respeta el orden (ventanilla - pasillo). El baño se encuentra en buenas condiciones con agua y jabón. A las 12:15hs se arriba a Tunuyán en donde desciende un pasajero y tanto chofer como guarda intercambian roles. Ambos guardas suben en reiteradas ocasiones para perfumar y atender las necesidades del pasaje.  El estado de la unidad es optimo. El viaje se desarrollo sin novedades hasta el arribo a Terminal de Mendoza a las 13:19hs Nota: la tapa frontal de la maquina de café esta abierta y el parabrisas superior izquierdo esta trizado.  "/>
  </r>
  <r>
    <n v="118"/>
    <s v="JG"/>
    <m/>
    <d v="2016-03-21T00:00:00"/>
    <n v="42"/>
    <s v="MZA SR"/>
    <d v="1899-12-30T15:00:00"/>
    <d v="1899-12-30T15:02:00"/>
    <n v="1222"/>
    <x v="16"/>
    <s v="si"/>
    <s v="si"/>
    <s v="si"/>
    <s v="no"/>
    <s v="si"/>
    <m/>
    <s v="si"/>
    <m/>
    <s v="no"/>
    <s v="no"/>
    <s v="si"/>
    <m/>
    <n v="1028"/>
    <s v="ESPASANDIN, ISAIAS PEDRO"/>
    <m/>
    <m/>
    <s v="si"/>
    <m/>
    <s v="si"/>
    <s v="si"/>
    <s v="no"/>
    <s v="no"/>
    <s v="no"/>
    <s v="no"/>
    <s v="no"/>
    <s v="si"/>
    <s v="si"/>
    <s v="si"/>
    <s v="si"/>
    <s v="21/03/2016  L unidad esta 12 min antes. Chofer y guarda (Tapia) reciben juntos a pasajeros. Speech emitido correctamente. Guarda no ofrece catering correctamente, solo da un vaso con las galletas sin decir nada, el pasajero debe indicarle si lo quiere o no. Sirve los vasos sin seguir el orden establecido. El video institucional se corta en muchas oportunidades. La película es emitidas con volumen aceptable. No se ofrece catering a Sra. que sube en la Plaza de Tunuyán. No perfuma en ninguna oportunidad ni vuelve a subir al piso superior En TSC cambio de choferes el nuevo guarda a 30 min de llegar al arco de ingreso perfuma por única oportunidad y se da cuenta que un pasajero coloco una caja de dimensiones importantes en el medio del pasillo, obstruyendo por completo el paso de personas, la cual se la hace sacar y colocar entre la ventana y el cafetera sobre el bar. Viaja un niño (casi adolecente) con su madre, el mismo tiene un comportamiento   poco adecuando, grita la mayor parte del tiempo,  escucha música por altavoz, tiene un perrito  mecánico que emite ladridos repetitivos lo que es bastante molesto,   después de TSC viajan en las escaleras, no se porque, molestando a las personas que bajan al baño y por supuesto muy molesto para los pasajeros del piso inferior.  El baño no tiene agua para el inodoro.    "/>
  </r>
  <r>
    <n v="119"/>
    <s v="LM"/>
    <m/>
    <d v="2016-03-21T00:00:00"/>
    <n v="46"/>
    <s v="MZA SR"/>
    <d v="1899-12-30T18:00:00"/>
    <d v="1899-12-30T18:00:00"/>
    <n v="1206"/>
    <x v="7"/>
    <s v="si"/>
    <s v="si"/>
    <s v="si"/>
    <s v="si"/>
    <s v="si"/>
    <m/>
    <s v="si"/>
    <m/>
    <s v="no"/>
    <s v="no"/>
    <s v="si"/>
    <m/>
    <n v="78"/>
    <s v="CORNEJO, MARIA SOLEDAD"/>
    <m/>
    <m/>
    <s v="si"/>
    <s v="no"/>
    <s v="si"/>
    <s v="si"/>
    <s v="no"/>
    <s v="no"/>
    <s v="si"/>
    <s v="si"/>
    <s v="si"/>
    <s v="si"/>
    <s v="si"/>
    <s v="si"/>
    <s v="si"/>
    <s v="21/03/2016 E3l coche numero 46 esta 15 minutos antes del horario de partida en el anden y sale a horario al mando del chofer Zolloco y con Cornejo María Soledad como azafata. Ambos respetan el instructivo tanto en el abordaje como en desembarco. El speech, institucional y película se dieron en tiempo y forma. El viaje es ameno y mejora por la buena predisposición de la azafata ante cualquier necesidad del pasaje (Ej. pasajero celiaca recibe su catering especial, etc.). Al momento del catering la azafata respeta el orden. Viajan desde Mendoza dos policías uniformados y un tercero sube en Pareditas a las 19:52hs.  El baño esta en condiciones optimas al igual que la unidad. A las 20:18hs el chofer sobrepasa a un camión aun cuando había línea amarilla en la vía que  le impedía el sobrepaso. De ahí en mas el viaje se desarrollo tranquilo y sin novedades hasta la hora de arribo a terminal de San Rafael a las 21:18ha. "/>
  </r>
  <r>
    <n v="120"/>
    <s v="LM"/>
    <m/>
    <d v="2016-03-22T00:00:00"/>
    <n v="49"/>
    <s v="SR MZA"/>
    <d v="1899-12-30T13:00:00"/>
    <d v="1899-12-30T13:00:00"/>
    <n v="1137"/>
    <x v="13"/>
    <s v="si"/>
    <s v="no"/>
    <s v="si"/>
    <s v="si"/>
    <s v="si"/>
    <m/>
    <s v="si"/>
    <m/>
    <s v="no"/>
    <s v="no"/>
    <s v="no"/>
    <m/>
    <n v="78"/>
    <s v="CORNEJO, MARIA SOLEDAD"/>
    <m/>
    <m/>
    <s v="si"/>
    <s v="no"/>
    <s v="si"/>
    <s v="si"/>
    <s v="no"/>
    <s v="no"/>
    <s v="si"/>
    <s v="si"/>
    <s v="si"/>
    <s v="si"/>
    <s v="si"/>
    <s v="si"/>
    <s v="si"/>
    <s v="22/03/2016 El coche numero 49 esta en plataforma 15 minutos antes del horario de salida y parte a horario al mando del chofer que no portaba pin identifica torio (hombre 40 años aprox tez morena y pelo negro). Y con Cornejo María Soledad como azafata. Ambos cumplen con el instructivo tanto al abordaje, como en el desembarco. En San Rafael aborda un policía uniformado, tanto speech, institucional como película se reproducen en tiempo y forma. El TV led central se prende y apaga intermitentemente durante la película, la azafata intento arreglarlo y no pudo. El viaje es placentero a una velocidad agradable y con maniobras suaves; a las 14:45hs arriba a terminal de Eugenio Bustos donde descienden tres pasajeros y a la 15:09hs arriba a Tunuyán donde descienden 3 pasajeros incluyendo el oficial de policía. El baño se encuentra en condiciones con agua y jabón. La azafata respeta  el orden a la hora del catering y es muy amable ante los pedidos del pasaje. El viaje se desarrollo normalmente sin contratiempos lo que lo hizo muy cómodo hasta el arribo a Terminal de Mendoza a las 16:10hs.    "/>
  </r>
  <r>
    <n v="121"/>
    <s v="LM"/>
    <m/>
    <d v="2016-03-22T00:00:00"/>
    <n v="46"/>
    <s v="MZA SR"/>
    <d v="1899-12-30T20:15:00"/>
    <d v="1899-12-30T20:16:00"/>
    <n v="1123"/>
    <x v="17"/>
    <s v="si"/>
    <s v="no"/>
    <s v="si"/>
    <s v="si"/>
    <s v="si"/>
    <m/>
    <s v="si"/>
    <m/>
    <s v="no"/>
    <s v="no"/>
    <s v="si"/>
    <m/>
    <n v="54"/>
    <s v="BIBANCO, CYNTHIA DANIELA"/>
    <m/>
    <m/>
    <s v="si"/>
    <s v="no"/>
    <s v="si"/>
    <s v="si"/>
    <s v="no"/>
    <s v="no"/>
    <s v="si"/>
    <s v="si"/>
    <s v="si"/>
    <s v="si"/>
    <s v="si"/>
    <s v="si"/>
    <s v="no"/>
    <s v="22/03/2016 El coche numero 46 esta en plataforma 15 minutos antes del horario de partida y sale a tiempo al mando del chofer Bravo. El guarda no lleva PIN (hombre 35 a 40 años, de pelo castaño, delgado) la azafata lleva PIN pero la oscuridad del lugar hizo imposible leer el nombre (mujer de 30 años pelo negro) los tres respetan el instructivo tanto al abordaje como a la llegada. Tanto speech, instructivo y película se dieron en tiempo y forma. El guarda respeta el orden a la hora del catering. Viajan dos policías uniformados desde Mendoza hasta San Rafael. El baño se encuentra en condiciones con agua y jabón. El viaje se desarrolla sin contratiempos y es ameno. La azafata viaja sentada en la escalera de acceso a la cabina y conversa con el chofer acerca de un incidente de un chico ahogado.  21:21hs arriba a terminal Tunuyán y 21:47hs a terminal de Eugenio bustos en donde asciende un pasajero. El viaje prosigue tranquilo hasta que a las 21:55 el chofer sobrepasa a un auto con línea amarilla. Fuera de ese incidente el recorrido se dio tranquilo a velocidad agradable y con maniobras suaves que permiten moverse con facilidad por la unidad.    "/>
  </r>
  <r>
    <n v="122"/>
    <s v="JG"/>
    <m/>
    <d v="2016-03-23T00:00:00"/>
    <n v="49"/>
    <s v="SR MZA"/>
    <d v="1899-12-30T07:00:00"/>
    <d v="1899-12-30T07:02:00"/>
    <n v="1137"/>
    <x v="13"/>
    <s v="si"/>
    <s v="si"/>
    <s v="si"/>
    <s v="si"/>
    <s v="si"/>
    <m/>
    <s v="si"/>
    <m/>
    <s v="no"/>
    <s v="si"/>
    <s v="si"/>
    <m/>
    <n v="1167"/>
    <s v="REYES, ALEJANDRO"/>
    <m/>
    <m/>
    <s v="si"/>
    <m/>
    <s v="si"/>
    <s v="si"/>
    <s v="no"/>
    <s v="si"/>
    <s v="si"/>
    <s v="si"/>
    <s v="no"/>
    <s v="no"/>
    <m/>
    <s v="si"/>
    <s v="si"/>
    <s v="23/03/2016 La  unidad esta 15 minutos antes. El ref. 44 posee cartel que lo indica. Reciben chofer(Martínez) y guarda (Reyes); al llegar a T.Mza. La bodega es vigilada. Speech emitido luego del aeropuerto, luego en Cristo suben pasajeros. Catering ofrecido y servido cordialmente, siguiendo el orden establecido. Luego se lleva la cafetera con agua caliente a cabina. Sirve agua mineral a dos pasajeros, la misma fue servida en cabina, no frente a las personas. Perfuma una sola vez, solo el piso superior. en TSC cambio de chofer, el nuevo guarda(Martínez) no salió de la cabina en ninguna oportunidad, por Wal-Mart observa a un señor que esta afirmado en la puerta de ingreso/egreso de la unidad, le llama la atención diciéndole que debe tomar asiento, que aun esta en la autopista y si frenara la unidad podría caerse, que hay cámaras y ellos no quieren tener problemas, el sr. algo le responde y el guarda nuevamente le dice que ellos no quieren tener problemas. No se si el hombre se sentó porque no logro verlo. Cinturones incompletos, los mismos no pueden ser utilizados. Se adjunta restos encontradas en los laterales de la butaca.  "/>
  </r>
  <r>
    <n v="123"/>
    <s v="JG"/>
    <m/>
    <d v="2016-03-23T00:00:00"/>
    <n v="46"/>
    <s v="MZA SR"/>
    <d v="1899-12-30T15:00:00"/>
    <d v="1899-12-30T15:00:00"/>
    <n v="1123"/>
    <x v="17"/>
    <s v="si"/>
    <s v="si"/>
    <s v="si"/>
    <s v="no"/>
    <s v="si"/>
    <m/>
    <s v="si"/>
    <m/>
    <s v="no"/>
    <s v="si"/>
    <s v="si"/>
    <m/>
    <n v="1171"/>
    <s v="STILO, CESAR ARIEL"/>
    <m/>
    <m/>
    <s v="si"/>
    <m/>
    <s v="si"/>
    <s v="si"/>
    <s v="no"/>
    <s v="si"/>
    <s v="si"/>
    <s v="si"/>
    <s v="no"/>
    <s v="si"/>
    <s v="si"/>
    <s v="no"/>
    <s v="si"/>
    <s v="23/03/2016 La unidad llega en horario correcto a plataforma; el refuerzo Nº 42 no posee ni cartelera de destino, ni la que indica que es refuerzo. Hay problemas con una Sra. que iba en el ref. pero su asiento estaba ocupado y no querían cedérselo, para evitar problemas la colocan en esta. Catering ofrecido y servido correctamente, Chofer(stilo) y guarda(bravo) reciben a pasajeros, la unidad no es vigilada en ninguna oportunidad. tardan mucho en poder colocar la película, intentan 15 minutos pero como no la logran colocar otra donde los subtítulos no corresponden a la película. Perfuma una vez y el baño. Por alguna razón perfuma mucho la cabina cada 15 minutos aproximadamente. Ofrece catering a los que suben en Tunuyán. Luego en TSC cambian de lugar, el nuevo guarda(Stilo) perfuma la cabina y se perfuma el  mismo. Toman mate en la cabina, logro ver que es de color blanco. No salen de cabina. "/>
  </r>
  <r>
    <n v="124"/>
    <s v="JG"/>
    <m/>
    <d v="2016-03-29T00:00:00"/>
    <n v="44"/>
    <s v="SR MZA"/>
    <d v="1899-12-30T07:00:00"/>
    <d v="1899-12-30T07:02:00"/>
    <n v="1175"/>
    <x v="3"/>
    <s v="si"/>
    <s v="si"/>
    <s v="si"/>
    <s v="si"/>
    <s v="si"/>
    <m/>
    <s v="si"/>
    <m/>
    <s v="no"/>
    <s v="si"/>
    <s v="si"/>
    <m/>
    <n v="54"/>
    <s v="BIBANCO, CYNTHIA DANIELA"/>
    <m/>
    <m/>
    <s v="si"/>
    <s v="si"/>
    <s v="no"/>
    <s v="si"/>
    <s v="no"/>
    <s v="si"/>
    <s v="si"/>
    <s v="si"/>
    <s v="no"/>
    <s v="si"/>
    <m/>
    <s v="no"/>
    <s v="si"/>
    <s v="29/03/16 La unidad abre sus puertas para el ingreso de pasajeros a las 6:51hs. El chofer (Garrido) al inicio conversa con gente en la terminal, ya cerca del horario de salida vigila la bodega. Al llegar a Tmza también la vigila. Azafata (Bibanco) y Aprendiz (Claudio) reciben a pasajeros, saludan e indican numero de butaca y piso. Chofer se mete por Bs As, luego Paunero y sale a Moreno. La unidad se encuentra en condiciones; el speech se reproduce correctamente. Aprendiz ofrece en el piso superior, azafata lo sirve, luego aprendiz reparte y sirve en el piso inferior, olvida dar azúcar. La unidad para muchas veces entre Pareditas y TS.C. en ninguna ocasión Aprendiz o Azafata despiden desde abajo de la unidad a los pasajeros, tampoco lo hicieron a los que bajaron en Tunuyán. En T.S.C. azafata compra masitas y las introduce en cabina. Al menos en el piso inferior no se perfumo en ninguna ocasión (y por supuesto el baño tampoco). Al llegar a TMza solo despide aprendiz. "/>
  </r>
  <r>
    <n v="125"/>
    <s v="LM"/>
    <m/>
    <d v="2016-03-29T00:00:00"/>
    <n v="46"/>
    <s v="SR MZA"/>
    <d v="1899-12-30T10:00:00"/>
    <d v="1899-12-30T10:03:00"/>
    <n v="1120"/>
    <x v="1"/>
    <s v="si"/>
    <s v="si"/>
    <s v="si"/>
    <s v="si"/>
    <s v="si"/>
    <m/>
    <s v="si"/>
    <m/>
    <s v="no"/>
    <s v="no"/>
    <s v="si"/>
    <m/>
    <n v="1294"/>
    <s v="MARIN, LUIS ALBERTO"/>
    <m/>
    <m/>
    <s v="si"/>
    <s v="no"/>
    <s v="si"/>
    <s v="si"/>
    <s v="no"/>
    <s v="no"/>
    <s v="si"/>
    <s v="si"/>
    <s v="si"/>
    <s v="si"/>
    <s v="si"/>
    <s v="si"/>
    <s v="si"/>
    <s v="29/03/16 El coche numero 46 esta en el anden de terminal San Rafael 15 minutos antes del horario de partida y sale a horario al mando del chofer (hombre, morocho, corpulento, pelo corto) y el guarda (Marín). Tanto guarda como chofer respetan el instructivo al momento del abordaje como en el desembarco. El speech, institucional y película se reprodujeron en tiempo y forma. El guarda respeto el orden al momento  del servir el catering y esta muy atento a las necesidades especiales del pasaje, eso hace mas placentero el viaje. El chofer conduce a una velocidad prudente y hace maniobras suaves lo lleva de tal forma que el recorrido es cómodo. A las 11:49hs arriba a terminal de Eugenio Bustos y a las 12:13hs a Tunuyán donde desciende una pasajera. El estado general de la unidad es optima al igual que el baño que tiene agua y jabón. El viaje proseguí sin novedades hasta la hora de arribo a Terminal Mendoza a las 13:11hs."/>
  </r>
  <r>
    <n v="126"/>
    <s v="JG"/>
    <m/>
    <d v="2016-03-29T00:00:00"/>
    <n v="46"/>
    <s v="MZA SR"/>
    <d v="1899-12-30T15:00:00"/>
    <d v="1899-12-30T15:02:00"/>
    <n v="1120"/>
    <x v="1"/>
    <s v="si"/>
    <s v="si"/>
    <s v="si"/>
    <s v="no"/>
    <s v="si"/>
    <m/>
    <s v="si"/>
    <m/>
    <s v="no"/>
    <s v="si"/>
    <s v="si"/>
    <m/>
    <n v="1294"/>
    <s v="MARIN, LUIS ALBERTO"/>
    <m/>
    <m/>
    <s v="si"/>
    <m/>
    <s v="si"/>
    <s v="si"/>
    <s v="no"/>
    <s v="si"/>
    <s v="si"/>
    <s v="si"/>
    <s v="no"/>
    <s v="no"/>
    <s v="si"/>
    <s v="si"/>
    <s v="si"/>
    <s v="29/03/16 La unidad llega correctamente a plataforma. Recibe al inicio el chofer (Marín Néstor) solo, ya que el guarda (Marín Luis)fue en busca de la lista. Speech saliendo de terminal, Guarda (Marín Luis) ofrece y sirve el catering en toda la unidad, luego en Azcuénaga suben pasajeros. Atento con Sras. mayores sentadas en butacas 3 y 4, diciéndoles que si tienen calor por estar muy cerca de los vidrios que hay lugar en el resto de la unidad y les coloca una botella de agua mineral en la heladerita del bar. Video institucional con volumen correcto, como también película, la cual es puesta en pausa cuando en Tunuyán sube gendarmería (16:14hs - 16:25hs), los cuales bajan a dos jóvenes y luego de unos minutos suben. En ese tiempo guarda aprovecha y se lleva agua caliente sacada del piso inferior en la cafetera a cabina. Sirve catering a todos los que suben tanto en Tunuyán como en San Carlos. En Chilecito cambian de lugar y el nuevo guarda (Marín Néstor) perfuma por única vez la unidad a las 17:55hs. A las 18:03hs en el arco de ingreso nuevamente nos para Gendarmería por unos 3 minutos. "/>
  </r>
  <r>
    <n v="127"/>
    <s v="LM"/>
    <m/>
    <d v="2016-03-29T00:00:00"/>
    <n v="43"/>
    <s v="MZA SR"/>
    <d v="1899-12-30T18:00:00"/>
    <d v="1899-12-30T18:03:00"/>
    <n v="1143"/>
    <x v="21"/>
    <s v="si"/>
    <s v="si"/>
    <s v="si"/>
    <s v="si"/>
    <s v="si"/>
    <m/>
    <s v="si"/>
    <m/>
    <s v="no"/>
    <s v="no"/>
    <s v="si"/>
    <m/>
    <n v="1061"/>
    <s v="TORRES, FERNANDO OMAR"/>
    <m/>
    <m/>
    <s v="si"/>
    <s v="no"/>
    <s v="si"/>
    <s v="si"/>
    <s v="no"/>
    <s v="no"/>
    <s v="si"/>
    <s v="si"/>
    <s v="si"/>
    <s v="si"/>
    <s v="si"/>
    <s v="si"/>
    <s v="si"/>
    <s v="29/03/16 El coche numero 43 esta en el andén de terminal Mendoza 15 minutos antes del horario de partida y sale a horario al mando del chofer (Torres) y con el guarda (Forte). Tanto el guarda como chofer respetan el instructivo al momento de abordar como al desembarcar. El speech, institucional se reprodujeron correctamente, la película se trabo en algunas ocasiones. El guarda respeto el orden al momento de servir el catering y es atento a los pedidos del pasaje (ej. agua). El viaje es agradable ya que el chofer conduce a una velocidad que hace que sus maniobras no sean bruscas. A las 19:07hs  se llega a Tunuyán y a las 19:31hs a la terminal de Eugenio Bustos donde tanto chofer como guarda intercambian roles. A partir de ese momento hasta la llegada el viaje es mas cómodo, es notorio que la velocidad es menor. El baño se encuentra en condiciones (con agua y jabón) y las condiciones generales del vehículo son optimas. Hora real de llegada a San Rafael 21:21hs."/>
  </r>
  <r>
    <n v="128"/>
    <s v="LM"/>
    <m/>
    <d v="2016-03-30T00:00:00"/>
    <n v="42"/>
    <s v="SR MZA"/>
    <d v="1899-12-30T16:30:00"/>
    <d v="1899-12-30T16:32:00"/>
    <n v="1232"/>
    <x v="14"/>
    <s v="si"/>
    <s v="si"/>
    <s v="si"/>
    <s v="si"/>
    <s v="si"/>
    <m/>
    <s v="si"/>
    <m/>
    <s v="no"/>
    <s v="no"/>
    <s v="si"/>
    <m/>
    <n v="78"/>
    <s v="CORNEJO, MARIA SOLEDAD"/>
    <m/>
    <m/>
    <s v="si"/>
    <s v="no"/>
    <s v="si"/>
    <s v="si"/>
    <s v="no"/>
    <s v="no"/>
    <s v="si"/>
    <s v="si"/>
    <s v="si"/>
    <s v="si"/>
    <s v="si"/>
    <s v="si"/>
    <s v="si"/>
    <s v="30/03/16 El coche numero 42 esta 15 minutos antes del horario de partida en anden de terminal San Rafael y parte a horario a mando del chofer (González) y con la azafata (Cornejo María Soledad), ambos respetan el instructivo tanto en el embarco como en el desembarco de pasajeros. El speech, institucional y película se reprodujeron en tiempo y forma. La azafata respeta el orden al momento del catering. y el baño se encuentra en condiciones con agua y jabón. El viaje se desarrolla con normalidad y el recorrido es ameno ya que el conductor viaja a velocidad moderada y no realiza maniobras bruscas en las distintas paradas. A las 18:18hs arriba a terminal de Eugenio Bustos y descienden dos personas. A las 8:47hs llega a Tunuyán y descienden dos pasajeros. El viaje se desarrolla sin novedades hasta el arribo a terminal Mendoza a las 19:50hs  La azafata es amable con el pasaje y atenta a las solicitudes especiales. Respecto al estado del coche la puerta frontal de la cafetera esta abierta, la calco del asiento 7 rota y el parabrisas superior izquierdo trizado."/>
  </r>
  <r>
    <n v="129"/>
    <s v="JG"/>
    <m/>
    <d v="2016-03-31T00:00:00"/>
    <n v="47"/>
    <s v="SR MZA"/>
    <d v="1899-12-30T13:00:00"/>
    <d v="1899-12-30T13:01:00"/>
    <n v="1147"/>
    <x v="20"/>
    <s v="si"/>
    <s v="si"/>
    <s v="si"/>
    <s v="no"/>
    <s v="si"/>
    <m/>
    <s v="no"/>
    <m/>
    <s v="no"/>
    <s v="si"/>
    <s v="si"/>
    <m/>
    <n v="1155"/>
    <s v="CASTILLA, ANDRES ANGEL"/>
    <m/>
    <m/>
    <s v="si"/>
    <m/>
    <s v="si"/>
    <s v="si"/>
    <s v="no"/>
    <s v="si"/>
    <s v="no"/>
    <s v="si"/>
    <s v="no"/>
    <s v="si"/>
    <s v="si"/>
    <s v="si"/>
    <s v="si"/>
    <s v="31/03/2016 La unidad esta en plataforma en horario correcto, pero reciben a pasajeros a las 12:50hs. Guarda (Castilla) recibe solo a pasajeros, chofer (Valenzuela) esta en cabina se lo ve con diarios. Cuando la unidad va saliendo  llegan personas por lo que deben frenar y esperar a que suban. Speech colocado correctamente, video institucional al inicio sin sonido luego lo suben demasiado pero permanece así, la película se reprodujo con volumen elevado. Guarda tento ofrece catering, lo sirve sin respetar orden. recorre dos veces la unidad sin perfumar, una de ellas fue en San Carlos verificando cuando pasajeros habían. Antes de llegar a Paso las Carretas  saca de la heladerita del bar una Coca Cola de litro o litro 1/2 y se la lleva a cabina. Chofer en varias ocasiones no baja la velocidad en puentes o zonas de baches lo que es muy incomodo, antes de Paso las Carretas hay un desvió de tierra (punte roto) en donde no disminuye lo que debería la velocidad y el ingreso a la tierra s hace de manera agresiva. Luego de Paso (15:48hs) circula con velocidad baja y en el ingreso a la TMza muy reducida. Chofer se queda al lado de la puerta de cabina. "/>
  </r>
  <r>
    <n v="130"/>
    <s v="JG"/>
    <m/>
    <d v="2016-03-31T00:00:00"/>
    <n v="42"/>
    <s v="MZA SR"/>
    <d v="1899-12-30T20:15:00"/>
    <d v="1899-12-30T20:17:00"/>
    <n v="1222"/>
    <x v="16"/>
    <s v="si"/>
    <s v="si"/>
    <s v="si"/>
    <s v="no"/>
    <s v="si"/>
    <m/>
    <s v="si"/>
    <m/>
    <s v="no"/>
    <s v="no"/>
    <s v="si"/>
    <m/>
    <n v="78"/>
    <s v="CORNEJO, MARIA SOLEDAD"/>
    <m/>
    <m/>
    <s v="si"/>
    <s v="si"/>
    <s v="si"/>
    <s v="si"/>
    <s v="no"/>
    <s v="no"/>
    <s v="si"/>
    <s v="no"/>
    <s v="si"/>
    <s v="si"/>
    <s v="si"/>
    <s v="si"/>
    <s v="si"/>
    <s v="31/03/2016 La unidad llega a plataforma a las  20:10hs. Azafata esta recibiendo a pasajeros, una Sra. que ya había subido y estaba en el piso inferior se le acerca diciéndole que había muy mal olor, que si puede hacer algo y la azafata muy destentale dice que sabe del olor pero ahora no puede atender ese tema. Verdaderamente el aroma es insoportable, una mezcla de aroma a cítricos con olor a baño sucio. Speech con volumen correcto, lo corta en la parte de ingles, luego reparte catering y perfuma toda la unidad antes de servir el agua saborizada. V. Institucional se corta en varias ocasiones; película con sonido correcto, el 2do TV esta mal colocado, mira hacia arriba, hacia el techo d ella unidad por lo que su imagen no se observa correctamente. No ofrece cattering a ningún pasajero que sube en Tunuyán, ni a los de TSC. La cortina que conecta las escaleras con la cabina esta completamente estirada por lo que no se observa nada hacia ese sector.  "/>
  </r>
  <r>
    <n v="131"/>
    <s v="NG"/>
    <m/>
    <d v="2016-04-01T00:00:00"/>
    <n v="110"/>
    <s v="SR MGUE"/>
    <d v="1899-12-30T20:00:00"/>
    <d v="1899-12-30T20:00:00"/>
    <n v="1293"/>
    <x v="12"/>
    <s v="si"/>
    <s v="si"/>
    <s v="si"/>
    <s v="si"/>
    <s v="si"/>
    <m/>
    <s v="si"/>
    <m/>
    <s v="no"/>
    <m/>
    <s v="si"/>
    <m/>
    <n v="1285"/>
    <s v="CORREA, SERGIO ANTONIO"/>
    <m/>
    <m/>
    <s v="si"/>
    <s v="no"/>
    <m/>
    <m/>
    <m/>
    <m/>
    <s v="si"/>
    <s v="si"/>
    <s v="si"/>
    <s v="si"/>
    <s v="si"/>
    <s v="si"/>
    <s v="si"/>
    <m/>
  </r>
  <r>
    <n v="132"/>
    <s v="NG"/>
    <m/>
    <d v="2016-04-02T00:00:00"/>
    <n v="110"/>
    <s v="MGUE SR"/>
    <d v="1899-12-30T07:45:00"/>
    <d v="1899-12-30T07:45:00"/>
    <n v="1293"/>
    <x v="12"/>
    <s v="si"/>
    <s v="si"/>
    <s v="si"/>
    <s v="si"/>
    <s v="si"/>
    <m/>
    <s v="si"/>
    <m/>
    <s v="no"/>
    <s v="no"/>
    <s v="si"/>
    <m/>
    <n v="1285"/>
    <s v="CORREA, SERGIO ANTONIO"/>
    <m/>
    <m/>
    <m/>
    <m/>
    <m/>
    <m/>
    <m/>
    <m/>
    <m/>
    <m/>
    <m/>
    <m/>
    <m/>
    <m/>
    <m/>
    <s v="02/04/16 Excelente viaje. Llega 5 minutos antes a destino."/>
  </r>
  <r>
    <n v="133"/>
    <s v="JG"/>
    <m/>
    <d v="2016-04-04T00:00:00"/>
    <n v="43"/>
    <s v="SR MZA"/>
    <d v="1899-12-30T07:00:00"/>
    <d v="1899-12-30T07:02:00"/>
    <n v="1143"/>
    <x v="21"/>
    <s v="si"/>
    <s v="si"/>
    <s v="si"/>
    <s v="si"/>
    <s v="si"/>
    <m/>
    <s v="si"/>
    <m/>
    <s v="si"/>
    <s v="si"/>
    <s v="si"/>
    <m/>
    <n v="78"/>
    <s v="CORNEJO, MARIA SOLEDAD"/>
    <m/>
    <m/>
    <s v="si"/>
    <s v="si"/>
    <s v="si"/>
    <s v="si"/>
    <s v="si"/>
    <s v="si"/>
    <s v="si"/>
    <s v="si"/>
    <s v="si"/>
    <s v="no"/>
    <m/>
    <s v="si"/>
    <s v="si"/>
    <s v="04/04/16 Unidad 15 minutos antes, no posee cartel de destino (apagado); el refuerzo no tenia cartelería que lo indicara como tal. Azafata recibe sola, chofer se encuentra dentro d ella cabina hablando por teléfono. Vigila la bodega al llegar a T. Mza. El speech fue emitido por Rotonda del Mapa, luego en Toledano (suben mas de 5 pasajeros) y en Aeropuerto (al menos 2) suben mas pasajeros que no apreciaron el mismo. Ofrece y sirve el catering amable, luego se lleva agua caliente a cabina. En TSC  compra algo que no alcanzo a ver con claridad. Perfuma dos veces. En la mañana temprano me acerque a la boletería (6:50hs) varias personas querían viajar a las 7 de la mañana a Mza, pero el boletero les comunica que ho hay lugar disponible, al salir de San Rafael verifico que en la unidad hay mas de 5 butacas vacías. "/>
  </r>
  <r>
    <n v="134"/>
    <s v="NG"/>
    <m/>
    <d v="2016-04-04T00:00:00"/>
    <n v="47"/>
    <s v="SR MZA"/>
    <d v="1899-12-30T10:00:00"/>
    <d v="1899-12-30T10:00:00"/>
    <n v="1155"/>
    <x v="0"/>
    <s v="si"/>
    <s v="si"/>
    <s v="si"/>
    <s v="si"/>
    <s v="si"/>
    <m/>
    <s v="si"/>
    <m/>
    <s v="no"/>
    <s v="no"/>
    <s v="si"/>
    <m/>
    <n v="54"/>
    <s v="BIBANCO, CYNTHIA DANIELA"/>
    <m/>
    <m/>
    <s v="si"/>
    <m/>
    <s v="si"/>
    <s v="no"/>
    <s v="no"/>
    <s v="no"/>
    <s v="si"/>
    <s v="si"/>
    <s v="no"/>
    <s v="si"/>
    <s v="si"/>
    <s v="si"/>
    <s v="si"/>
    <s v="04/04/2016 No sale de la cabina en ningún momento. "/>
  </r>
  <r>
    <n v="135"/>
    <s v="LM"/>
    <m/>
    <d v="2016-04-04T00:00:00"/>
    <n v="46"/>
    <s v="SR MZA"/>
    <d v="1899-12-30T13:00:00"/>
    <d v="1899-12-30T13:03:00"/>
    <n v="1120"/>
    <x v="1"/>
    <s v="si"/>
    <s v="si"/>
    <s v="si"/>
    <s v="si"/>
    <s v="si"/>
    <m/>
    <s v="si"/>
    <m/>
    <s v="no"/>
    <s v="no"/>
    <s v="si"/>
    <m/>
    <n v="115"/>
    <s v="ORTEGA, CLAUDIO DAVID"/>
    <m/>
    <m/>
    <s v="si"/>
    <s v="no"/>
    <s v="si"/>
    <s v="si"/>
    <s v="no"/>
    <s v="no"/>
    <s v="si"/>
    <s v="si"/>
    <s v="si"/>
    <s v="si"/>
    <s v="si"/>
    <s v="si"/>
    <s v="si"/>
    <s v="04/04/16 El coche numero 46 esta 15 minutos antes de la hora de salida y parte a horario al mando del chofer que tenia pin pero tapado por chaleco gris (no se la empresa) pelo castaño de 40 años aprox y con el guarda que no lleva pin (hombre de 35 años aprox, pelo corto) ambos respetan el instructivo a la partida y llegada. Tanto el speech, institucional como película se reproducen en tiempo y forma. El guarda respeta el orden sl momento del catering. El viaje es placentero ya que el chofer va a velocidad prudente y sus maniobras de sobrepaso. estacionamiento y arranques son suaves, el viaje es ameno gracias a la buena predisposición del guarda a las necesidades del pasaje. El baño se encuentra en condiciones, con agua y jabón. A las 14:46hs arriba a terminal de Eugenio Bustos y a las 15:16hs a Tunuyán donde desciende un pasajero. El viaje prosigue sin novedades y muy confortable hasta la llegada a terminal de Mendoza a las 16:13hs. Estado d el unidad optimo. (solo el parabrisas derecho superior trizado)."/>
  </r>
  <r>
    <n v="136"/>
    <s v="JG"/>
    <m/>
    <d v="2016-04-04T00:00:00"/>
    <n v="47"/>
    <s v="MZA SR"/>
    <d v="1899-12-30T15:00:00"/>
    <d v="1899-12-30T15:03:00"/>
    <n v="1155"/>
    <x v="0"/>
    <s v="si"/>
    <s v="si"/>
    <s v="si"/>
    <s v="no"/>
    <s v="si"/>
    <m/>
    <s v="si"/>
    <m/>
    <s v="no"/>
    <s v="no"/>
    <s v="si"/>
    <m/>
    <n v="54"/>
    <s v="BIBANCO, CYNTHIA DANIELA"/>
    <m/>
    <m/>
    <s v="si"/>
    <s v="si"/>
    <s v="si"/>
    <s v="si"/>
    <s v="no"/>
    <s v="no"/>
    <s v="si"/>
    <s v="si"/>
    <s v="si"/>
    <s v="si"/>
    <s v="si"/>
    <s v="si"/>
    <s v="si"/>
    <s v="04/04/16 La unidad esta 15 minutos antes. Azafata recibe a pasajeros, chofer va a boletería por la lista. Unidad en condiciones, los laterales tienen muchos granos de azúcar. Speech colocado correctamente. Ofrece y sirve catering respetando el orden establecido. V. Institucional y película con volumen correcto. Ofrece catering a los que suben en Tunuyán y TSC.  En Tunuyán sube una maestra cuando entrega su pasaje azafata se da cuenta que algo no es correcto, no logro saber que es pero le dice que se acerque a la boletería  y le pregunta si tiene abonos, de esa manera abona el pasaje. Saliendo un Sr se le acerca y le comunica que necesita un baño, la azafata le indica que en Eugenio Bustos, que le dirá a su compañero que se apure, que cualquier cosa le avise. Al llegar a TSR azafata lleva elementos del catering a boletería y chofer despidió a los pasajeros, por eso nunca se vigilo la bodega. "/>
  </r>
  <r>
    <n v="137"/>
    <s v="NG"/>
    <m/>
    <d v="2016-04-04T00:00:00"/>
    <n v="46"/>
    <s v="MZA SR"/>
    <d v="1899-12-30T18:00:00"/>
    <d v="1899-12-30T18:00:00"/>
    <n v="1120"/>
    <x v="1"/>
    <s v="si"/>
    <s v="si"/>
    <s v="si"/>
    <s v="si"/>
    <s v="si"/>
    <m/>
    <s v="si"/>
    <m/>
    <s v="no"/>
    <s v="no"/>
    <s v="si"/>
    <m/>
    <n v="115"/>
    <s v="ORTEGA, CLAUDIO DAVID"/>
    <m/>
    <m/>
    <m/>
    <m/>
    <m/>
    <m/>
    <m/>
    <m/>
    <m/>
    <m/>
    <m/>
    <m/>
    <m/>
    <m/>
    <m/>
    <s v="04/04/16 Excelente la predisposición y el trato del chofer que sirve de guarda. "/>
  </r>
  <r>
    <n v="138"/>
    <s v="LM"/>
    <m/>
    <d v="2016-04-04T00:00:00"/>
    <n v="109"/>
    <s v="MZA SR"/>
    <d v="1899-12-30T20:15:00"/>
    <d v="1899-12-30T20:15:00"/>
    <n v="1281"/>
    <x v="2"/>
    <s v="si"/>
    <s v="si"/>
    <s v="si"/>
    <s v="si"/>
    <s v="si"/>
    <m/>
    <s v="si"/>
    <m/>
    <s v="no"/>
    <s v="no"/>
    <s v="si"/>
    <m/>
    <n v="1290"/>
    <s v="MORALES, VICTOR HUGO"/>
    <m/>
    <m/>
    <s v="si"/>
    <s v="no"/>
    <s v="si"/>
    <s v="si"/>
    <s v="no"/>
    <s v="no"/>
    <s v="si"/>
    <s v="si"/>
    <s v="si"/>
    <s v="si"/>
    <s v="si"/>
    <s v="si"/>
    <s v="si"/>
    <s v="04/04/16 El coche 109 esta en el anden de Terminal Mendoza 15 minutos antes de la hora de salida y parte a tiempo del chofer que poseis pin pero por la oscuridad del lugar no se leía (hombre corpulento, alto, pelo muy corto) y con el guarda Morales. Ambos respetan el instructivo tanto al abordaje como n el desembarco. tanto speech, institucional y película se reproducen correctamente. El guarda Morales respeta el orden (ventanilla-pasillo) en el catering y es predispuesto a las necesidades del pasaje. Abordan en Mendoza dos policías uniformados. El viaje es cómodo a velocidad y con maniobras suaves ya agradables. A las 21:24hs llega a terminal Tunuyán y asciende un policía uniformado. El baño en condiciones con agua y jabón. El recorrido prosigue normalmente con Morales como conductor, el nuevo guarda recorre la unidad perfumando  hasta llega a San Rafael a las 23:37hs. Respecto al estado d ela unidad es optimo excepto la traba del reclinable del asiento numero 16 que se encuentra rota. "/>
  </r>
  <r>
    <n v="139"/>
    <s v="LM"/>
    <m/>
    <d v="2016-04-05T00:00:00"/>
    <n v="45"/>
    <s v="SR MZA"/>
    <d v="1899-12-30T10:00:00"/>
    <d v="1899-12-30T10:04:00"/>
    <n v="1169"/>
    <x v="6"/>
    <s v="si"/>
    <s v="si"/>
    <s v="si"/>
    <s v="si"/>
    <s v="si"/>
    <m/>
    <s v="si"/>
    <m/>
    <s v="no"/>
    <s v="no"/>
    <s v="si"/>
    <m/>
    <n v="1163"/>
    <s v="MARTINEZ, PABLO RODOLFO"/>
    <m/>
    <m/>
    <s v="si"/>
    <s v="no"/>
    <s v="si"/>
    <s v="si"/>
    <s v="no"/>
    <s v="no"/>
    <s v="no"/>
    <s v="si"/>
    <s v="si"/>
    <s v="si"/>
    <s v="si"/>
    <s v="si"/>
    <s v="si"/>
    <s v="05/04/16 El coche numero 45 esta en plataforma 15 minutos antes del horario de partida y sale a tiempo al mando del chofer Sánchez (al abordar su pin esta tapado por la campera de la empresa) y con el guarda (Martínez). El guarda no respeta el orden al momento de servir el catering. Tanto speech, institucional y película se reproducen en tiempo y forma y el baño se encuentra en condiciones con agua y jabón. El recorrido es agradable y mejora con la atención del guarda Martínez atento a las necesidades del pasaje. A las 11:50hs arriba a terminal de Eugenio Bustos donde descienden algunos pasajeros y a las 12:17hs llega a Tunuyán donde desciende un pasajero y tanto guarda como chofer intercambian roles. El viaje prosigue sin novedades hasta el arribo a terminal de Mendoza a las 13:13hs.  Respecto al estado de la unidad no es el optimo, extremadamente el parabrisas superior esta trizado yen el interior se encuentra desprendido un posa manos del área dela cafetera y desatornillado (tornillos expuestos) el porta equipajes lado derecho. "/>
  </r>
  <r>
    <n v="140"/>
    <s v="LM"/>
    <m/>
    <d v="2016-04-05T00:00:00"/>
    <n v="42"/>
    <s v="MZA SR"/>
    <d v="1899-12-30T18:00:00"/>
    <d v="1899-12-30T18:01:00"/>
    <n v="1028"/>
    <x v="8"/>
    <s v="si"/>
    <s v="si"/>
    <s v="si"/>
    <s v="si"/>
    <s v="si"/>
    <m/>
    <s v="si"/>
    <m/>
    <s v="no"/>
    <s v="no"/>
    <s v="si"/>
    <m/>
    <n v="115"/>
    <s v="ORTEGA, CLAUDIO DAVID"/>
    <m/>
    <m/>
    <s v="si"/>
    <s v="no"/>
    <s v="si"/>
    <s v="si"/>
    <s v="no"/>
    <s v="no"/>
    <s v="si"/>
    <s v="si"/>
    <s v="si"/>
    <s v="si"/>
    <s v="si"/>
    <s v="si"/>
    <s v="si"/>
    <s v="05/04/2016 La unidad 42 esta 15 minutos antes de la hora de salida y parte a horario al mando del chofer (hombre 50 años aprox pelo canoso, no se leía su pin) y con el guarda (hombre 35 años aprox pelo castaño corto) ambos respetan el instructivo, el viaje es ameno, el chofer maneja  a velocidad agradable y con maniobras suaves el guarda es muy amable y atento con el pasaje en general, respeta el orden (ventanilla-pasillo) a la hora del catering.  Tanto speech, institucional y película se reprodujeron correctamente. A las 19:05hs arriba a Tunuyán y a las 19:27hs en terminal de Eugenio Bustos ascienden 5 pasajeros. El viaje prosigue de forma agradable y sin novedades hasta San Rafael a las 21:18hs.  Respecto del estado de la unidad es optimo a pesar de que en el interior la puerta de la cafetera esta abierta y rota, la calco de la ventana numero 8/7 y en el interior el parabrisas superior izquierdo trizado. "/>
  </r>
  <r>
    <n v="141"/>
    <s v="JG"/>
    <m/>
    <d v="2016-04-06T00:00:00"/>
    <n v="43"/>
    <s v="SR MZA"/>
    <d v="1899-12-30T10:00:00"/>
    <d v="1899-12-30T10:03:00"/>
    <n v="1190"/>
    <x v="4"/>
    <s v="si"/>
    <s v="si"/>
    <s v="si"/>
    <s v="no"/>
    <s v="si"/>
    <m/>
    <s v="si"/>
    <m/>
    <s v="no"/>
    <s v="si"/>
    <s v="si"/>
    <m/>
    <n v="1143"/>
    <s v="FORTE, MARIO LUIS"/>
    <m/>
    <m/>
    <s v="si"/>
    <m/>
    <s v="si"/>
    <s v="si"/>
    <s v="no"/>
    <s v="si"/>
    <s v="no"/>
    <s v="no"/>
    <s v="no"/>
    <s v="no"/>
    <s v="si"/>
    <s v="si"/>
    <s v="si"/>
    <s v="06/04/2016 La unidad llega a plataforma 15 minutos antes. Recibe el chofer (Jovic F.) solo, atento saluda, comunica piso y butaca; el guarda se encuentra dentro de la cabina acomodando elementos del catering. El Inspector Sini sube a la cabina en horario de salida, luego baja. No fue emitido el speech de salida; por Champanera Bianchi se comenzó con el ofrecimiento del catering, fue amable y al servir no lo hizo con el orden establecido de ventana-pasillo. Luego se lleva agua caliente a cabina. V. Institucional y película con volumen correcto. Este guarda no vuelve a salir de abona, no perfuma. En T.S.C. cambian de lugar y el nuevo guarda (Jovic) perfuma una vez ambos pisos y le sirve agua mineral a pasajera. Al llegar a T. Mza despide amable a pasajeros. La bodega no fue vigilada, el chofer al llegar se fue para el lado del baño.  "/>
  </r>
  <r>
    <n v="142"/>
    <s v="JG"/>
    <m/>
    <d v="2016-04-06T00:00:00"/>
    <n v="47"/>
    <s v="MZA SR"/>
    <d v="1899-12-30T18:00:00"/>
    <d v="1899-12-30T18:03:00"/>
    <n v="1147"/>
    <x v="20"/>
    <s v="si"/>
    <s v="si"/>
    <s v="si"/>
    <s v="si"/>
    <s v="si"/>
    <m/>
    <s v="si"/>
    <m/>
    <s v="no"/>
    <s v="si"/>
    <s v="si"/>
    <m/>
    <n v="115"/>
    <s v="ORTEGA, CLAUDIO DAVID"/>
    <m/>
    <m/>
    <s v="si"/>
    <m/>
    <s v="si"/>
    <s v="si"/>
    <s v="no"/>
    <s v="si"/>
    <s v="no"/>
    <s v="si"/>
    <s v="si"/>
    <s v="si"/>
    <s v="si"/>
    <s v="si"/>
    <s v="si"/>
    <s v="06/04/2016 La unidad llega a plataforma 15 minutos antes, se ve al azafata (Claudio) pasar su tarjeta por la maquina de boletos; chofer (Valenzuela) se va a a boletería, a las 17:50hs recibe a pasajeros, no posee pin sobre su camisa blanca; saluda, indica butaca y piso le sube muy amable el bolso a una Sra. mayor. Corinas de manera correcta, algunos apoyabrazos están colocados de manera incorrecta (bajos), se encuentra pasaje  cortado en el lateral de la butaca y entre la cortina y el vidrio de  ventanilla hay una vaso del catering con papel de Pepas y sobre abierto de café, también hay una toallita desmaquillante muy sucia, significando que el azafato no reviso correctamente  la unidad para dejarla lo mas limpia posible para su regreso a San Rafael (todo lo anterior se adjunta en la planilla, con excepción del vaso de telgopor). Speech con volumen correcto, luego ofrece atento el catering, lo sirve son seguir el orden establecido de ventana-pasillo. Sirve agua mineral frente al pasajero que se lo pide. V. Institucional con volumen extremadamente  alto, que al retirar los restos pasajeros se lo indica n y baja para bajarlos a volumen aceptable. No responde al gracias. Perfuma dos veces; baja y sube los televisores cuando empiezan y terminan las reproducciones dejando el pasillo despejado y facilitando la circulación por el pasillo.  La película fu reproducida e español y sin subtítulos . Los televisores quedan encendidos hasta T.S.R. Sirve catering a todos los que suben tanto en Tunuyán como en San Carlos. Baño con agua  y jabón pero con sector del inodoro todo salpicado y con gotas secas.   "/>
  </r>
  <r>
    <n v="143"/>
    <s v="JG"/>
    <m/>
    <d v="2016-04-08T00:00:00"/>
    <n v="108"/>
    <s v="SR MZA"/>
    <d v="1899-12-30T10:00:00"/>
    <d v="1899-12-30T10:02:00"/>
    <n v="1045"/>
    <x v="10"/>
    <s v="si"/>
    <s v="si"/>
    <s v="si"/>
    <s v="si"/>
    <s v="si"/>
    <m/>
    <s v="si"/>
    <m/>
    <s v="no"/>
    <s v="no"/>
    <s v="si"/>
    <m/>
    <n v="54"/>
    <s v="BIBANCO, CYNTHIA DANIELA"/>
    <m/>
    <m/>
    <s v="si"/>
    <s v="si"/>
    <s v="si"/>
    <s v="si"/>
    <s v="no"/>
    <s v="no"/>
    <s v="si"/>
    <s v="si"/>
    <s v="si"/>
    <s v="si"/>
    <s v="si"/>
    <s v="si"/>
    <s v="si"/>
    <s v="08/04/2016 La  unidad llega 15 min antes pero reciben a pasajeros a las 9:53hs. Chofer en la bodega conversa con personal de encomiendas. Azafata muy atenta, saluda, comunica numero de butaca y piso. Se escucha a la azafata preguntarle al chofer  como había andado Claudio el día anterior y el chofer responde Excelente! El speech se reprodujo correctamente, luego en Montoya sube un Sr sin pasaje; el mismo pide bajar en una garita  pasando la entrada de La Consulta, le hacen la atención, el Sr muy agradecido los felicita por el servicio. Azafata verifica el audio de todas las reproducciones. Perfuma en tres ocasiones. El catering fue servido correctamente. En TSC una Sra. se siente descompuesta, baja al baño y la esperan. Trato amable. Da aviso a pasajero en las proximidades de las paradas. "/>
  </r>
  <r>
    <n v="144"/>
    <s v="JG"/>
    <m/>
    <d v="2016-04-08T00:00:00"/>
    <n v="109"/>
    <s v="MZA SR"/>
    <d v="1899-12-30T18:00:00"/>
    <d v="1899-12-30T18:05:00"/>
    <n v="1281"/>
    <x v="2"/>
    <s v="si"/>
    <s v="si"/>
    <s v="si"/>
    <s v="no"/>
    <s v="si"/>
    <m/>
    <s v="si"/>
    <m/>
    <s v="no"/>
    <s v="no"/>
    <s v="si"/>
    <m/>
    <n v="115"/>
    <s v="ORTEGA, CLAUDIO DAVID"/>
    <m/>
    <m/>
    <s v="si"/>
    <m/>
    <s v="si"/>
    <s v="si"/>
    <s v="si"/>
    <s v="no"/>
    <s v="si"/>
    <s v="si"/>
    <s v="si"/>
    <s v="no"/>
    <s v="si"/>
    <s v="si"/>
    <s v="si"/>
    <s v="08/04/2016 La unidad llega correctamente a plataforma y la unidad 110 posee cartel que indica refuerzo . Chofer (Pedro) va a  boletería y luego vigila la bodega. Claudio recibe atento a pasajeros. Amable responde sus preguntas. Speech entrando a la doble via. Reparte catering en ambos pisos y luego en Azcuénaga suben varios pasajeros los cuales sino apreciaron el speech Se coloca alcohol en gel. Sirve catering a todos los pasajeros que suben  la unidad. Mucha lluvia por el camino, al llegar a Paso Las Carretas pasajeros piden que los dejen en el Informador Turístico (por la lluvia y los niños) amables le hacen la atención.  Claudio baja los Tvs para las reproducciones correspondiente. Luego por la Rotonda el Cristo los sube y así dejar despejado el pasillo."/>
  </r>
  <r>
    <n v="145"/>
    <s v="NG"/>
    <m/>
    <d v="2016-04-08T00:00:00"/>
    <n v="56"/>
    <s v="SR MZA"/>
    <d v="1899-12-30T20:00:00"/>
    <d v="1899-12-30T20:03:00"/>
    <n v="1171"/>
    <x v="15"/>
    <s v="si"/>
    <s v="si"/>
    <s v="si"/>
    <s v="si"/>
    <s v="si"/>
    <m/>
    <s v="si"/>
    <m/>
    <s v="no"/>
    <s v="no"/>
    <s v="si"/>
    <m/>
    <n v="1147"/>
    <s v="VALENZUELA, MARIO ORLANDO"/>
    <m/>
    <m/>
    <s v="si"/>
    <s v="si"/>
    <s v="si"/>
    <s v="si"/>
    <s v="no"/>
    <s v="no"/>
    <s v="si"/>
    <s v="si"/>
    <s v="no"/>
    <s v="si"/>
    <s v="si"/>
    <s v="no"/>
    <s v="si"/>
    <s v="08/04/2016 El colectivo se presenta 19:45hs.  Con las cortinas cerrada y limpio. Hay jabón en el baño. Salimos 20:03hs el guarda reparte los vasos en Las Paredes, por lo que el chofer debe bajar a recibir a la gente. Luego el Video y no se escucha pero no hacen nada. Esta lloviendo mucho pero vamos rápido, sobrepasa  a camión en doble línea amarilla pasando el arco, pero luego de eso el viaje es placentero y a una velocidad constante. Cambian con el guarda en Tunuyán. Llegamos a terminal a las 23:11hs. "/>
  </r>
  <r>
    <n v="146"/>
    <s v="LM"/>
    <m/>
    <d v="2016-04-09T00:00:00"/>
    <n v="108"/>
    <s v="SR MZA"/>
    <d v="1899-12-30T07:00:00"/>
    <d v="1899-12-30T07:00:00"/>
    <n v="1045"/>
    <x v="10"/>
    <s v="si"/>
    <s v="si"/>
    <s v="si"/>
    <s v="si"/>
    <s v="si"/>
    <m/>
    <s v="si"/>
    <m/>
    <s v="no"/>
    <s v="no"/>
    <s v="si"/>
    <m/>
    <n v="1208"/>
    <s v="RIVAS, CESAR ADRIAN"/>
    <m/>
    <m/>
    <s v="si"/>
    <s v="no"/>
    <s v="si"/>
    <s v="si"/>
    <s v="no"/>
    <s v="no"/>
    <s v="no"/>
    <s v="si"/>
    <s v="no"/>
    <s v="no"/>
    <s v="no"/>
    <s v="no"/>
    <s v="no"/>
    <s v="09/04/2016 El coche 108 esta 15 minutos antes de la hora de salida y parte a tiempo de San Rafael a mando  del chofer con pin tapado por campera de la empresa (hombre, 40 años aprox pelo entre cano) y con el guarda que tenia pin tapado por el chaleco que no es de la empresa (hombre, 55 años aprox pelo canoso). Ambos respetan el instructivo en partida y llegada. No se reprodujo el speech (ni a la salda ni a la llegada), tampoco video institucional ni película. El guarda no respeta el orden a la hora de servir el catering. El viaje es placentero debido a la velocidad prudente a la que maneja el chofer por las condiciones del tiempo (lluvia y ruta mojada). El guarda no sucio en ningún momento del viaje a perfumar la unidad y conversa con  el chofer (no se oye bien). el baño tiene agua y jabón. A las 8:4 arriba a terminal de Eugenio Bustos y descienden pasajeros y a las 8:59 a Tunuyán donde descienden otros, entre ellos un policía de San Rafael. El viaje continua ameno y sin novedades hasta el arribo a terminal de Mendoza a las 10:11hs  El estado de la unidad es optimo.  "/>
  </r>
  <r>
    <n v="147"/>
    <s v="NG"/>
    <m/>
    <d v="2016-04-09T00:00:00"/>
    <n v="108"/>
    <s v="MZA SR"/>
    <d v="1899-12-30T13:00:00"/>
    <d v="1899-12-30T13:02:00"/>
    <n v="1045"/>
    <x v="10"/>
    <s v="si"/>
    <s v="si"/>
    <s v="si"/>
    <s v="si"/>
    <s v="si"/>
    <m/>
    <s v="si"/>
    <m/>
    <s v="no"/>
    <s v="no"/>
    <s v="si"/>
    <m/>
    <n v="1208"/>
    <s v="RIVAS, CESAR ADRIAN"/>
    <m/>
    <m/>
    <s v="si"/>
    <m/>
    <s v="si"/>
    <s v="si"/>
    <s v="no"/>
    <s v="no"/>
    <s v="si"/>
    <s v="si"/>
    <s v="no"/>
    <s v="si"/>
    <s v="si"/>
    <s v="si"/>
    <s v="si"/>
    <s v="09/04/2016 El micro se presenta 12:45hs. Con las cortinas cerradas, se ve limpio por fuera. El baño esta limpio y con jabon. El guarda es muy amable y ayuda a subir a ina pasajera en silla de ruedas. Sale 13:02hs de la terminal, el audio se reprodece desde la terminal y el video en el acceso sur. El viaje fue muy agradable y la pelicula se ve y se escucha bien. El guarda no perfumas ls unidad. Llegamos 16:15hs. "/>
  </r>
  <r>
    <n v="148"/>
    <s v="LM"/>
    <m/>
    <d v="2016-04-09T00:00:00"/>
    <n v="47"/>
    <s v="MZA SR"/>
    <d v="1899-12-30T15:00:00"/>
    <d v="1899-12-30T15:02:00"/>
    <n v="1155"/>
    <x v="0"/>
    <s v="si"/>
    <s v="si"/>
    <s v="si"/>
    <s v="si"/>
    <s v="si"/>
    <m/>
    <s v="si"/>
    <m/>
    <s v="no"/>
    <s v="no"/>
    <s v="si"/>
    <m/>
    <n v="54"/>
    <s v="BIBANCO, CYNTHIA DANIELA"/>
    <m/>
    <m/>
    <s v="si"/>
    <s v="no"/>
    <s v="si"/>
    <s v="si"/>
    <s v="no"/>
    <s v="no"/>
    <s v="si"/>
    <s v="si"/>
    <s v="no"/>
    <s v="si"/>
    <s v="si"/>
    <s v="si"/>
    <s v="no"/>
    <s v="09/04/2016 La unidad 47 esta 15 inutos antes del horaro de salida y aprte a tiempo al comando del chofer Castilla (hombre 45 años aprox pelo canoso) y con la azafata a la que no se le ve el pin por estar tapada por la camera de la empresa (mujer 30 años aprox, pelo negro largo recogido). Tanto speech, institucional y pelicula se reprodujeron en tiempo y forma. La azafata respeta el orden a la hora de reartir el catering. Viaja un policia uniformado dese Mendoza. El viaje es muy comodo por lavelocidad pridente a la que conduce el chofer por las condiciones del tiempo (lluvia y piso mojado). A las 16:05arriba a la terminal de Tunuyan y a las  16:28HS a la de Eugenio Bustos, fue en la unica ocasion que la azafata subio y perfumo la unidad. El viaje prosigue sin novedades de forma amena hasta llegar a San Rafael a las 18:18hs Respecto al estado de la unidad es optimo solo falta en el inteior el cartel de &quot;prohibido apoyar los pies&quot; en l cafeteria y en el exteior se encuenra despintado el paragolpe trasero. "/>
  </r>
  <r>
    <n v="149"/>
    <s v="JG"/>
    <m/>
    <d v="2016-04-11T00:00:00"/>
    <n v="42"/>
    <s v="SR MZA"/>
    <d v="1899-12-30T07:00:00"/>
    <d v="1899-12-30T07:12:00"/>
    <n v="1222"/>
    <x v="16"/>
    <s v="si"/>
    <s v="si"/>
    <s v="si"/>
    <s v="no"/>
    <s v="si"/>
    <m/>
    <s v="si"/>
    <m/>
    <s v="no"/>
    <s v="no"/>
    <s v="si"/>
    <m/>
    <n v="1232"/>
    <s v="GONZALEZ, JORGE DAVID"/>
    <m/>
    <m/>
    <s v="si"/>
    <m/>
    <s v="si"/>
    <s v="si"/>
    <s v="si"/>
    <s v="no"/>
    <s v="no"/>
    <s v="si"/>
    <s v="si"/>
    <s v="si"/>
    <m/>
    <s v="si"/>
    <s v="si"/>
    <s v="11/04/2016 La unidad llega a plataforma 2 minutos antes del horario (6:58hs) no posee cartelería. Chofer (Tapia) coloca catering en unidad, un pasajero que viaja todos los días lo ayuda pasándole las botellas (por puerta lado del conductor). Guarda (González) recibe a pasajeros. Speech colocado correctamente. Ofrece el catering sin ser lo básicamente comunicativo, solo da los elementos, cuando sirve no sigue el orden que indica el instructivo. Se lo escucha hablar por telefono. Antes de  Paso Las Carretas sube una joven le dice al guarda que se ha cambiado de escuela y necesita saber los horarios en la mañana, el guarda muy atento se lo comunica como también el de otras empresas, también le aconseja sacarse la tarjeta ya que tendrá beneficios por ser escolar. En Chilecito un Sr se mete a la cabina, conversación el chofer (Tapia) aparentemente se conocen de antes (camionero9 dejan que baje por la puerta delantera a unos 2 km de T.S.C. donde logro observar muchos camiones. González perfumo dos veces la unidad y repaso con lampazo escaleras y un sector del piso superior donde un pasajero se le cayo leche en polvo. Luego de TSC cambian de lugar, el nuevo guarda (Tapia) perfumo solo una vez. Cinturón de seguridad del asiento6  incompleto, el mismo no puede ser utilizado. El dispenser de alcohol en gel, al lado del baño esta atascado, el mismo no puede ser utilizado. No hay bolsa de residuos en el tacho del baño. "/>
  </r>
  <r>
    <n v="150"/>
    <s v="LM"/>
    <m/>
    <d v="2016-04-11T00:00:00"/>
    <n v="56"/>
    <s v="SR MZA"/>
    <d v="1899-12-30T10:00:00"/>
    <d v="1899-12-30T10:02:00"/>
    <n v="1206"/>
    <x v="7"/>
    <s v="si"/>
    <s v="si"/>
    <s v="si"/>
    <s v="si"/>
    <s v="si"/>
    <m/>
    <s v="si"/>
    <m/>
    <s v="no"/>
    <s v="no"/>
    <s v="si"/>
    <m/>
    <n v="78"/>
    <s v="CORNEJO, MARIA SOLEDAD"/>
    <m/>
    <m/>
    <s v="si"/>
    <s v="no"/>
    <s v="si"/>
    <s v="si"/>
    <s v="si"/>
    <s v="no"/>
    <s v="si"/>
    <s v="si"/>
    <s v="no"/>
    <s v="no"/>
    <s v="si"/>
    <s v="no"/>
    <s v="no"/>
    <s v="El coche numero 56 esta 15 minutos antes de la hora de salida y parte a horario al mando del chofer (hombre 45 años aprox, pelo castaño) que tenia el pin tapado por campera de la empresa y con la azafata Cornejo Soledad quien respeta el orden a la hora del catering. El speech se reprodujo antes de que subiera el ultimo pasajero en la zona de las Paredes, en tanto  el video institucional y película correctamente, el sonido solo se escucha en el lado izquierdo d la unidad. El viaje es placentero por la velocidad y maniobras prudentes del chofer por las condiciones del tiempo (lluvia y ruta mojada) 11:55hs arriba a terminal de Eugenio Bustos y a la salida s pudo ve a la azafata escribiendo mensaje d texto por celular en la cabina. A las 12:19hs se arriba a Tunuyán en donde descienden algunos pasajeros. El baño se encuentra en condiciones con agua y jabón. La azafata recorrió la unidad varias veces pero no perfumo. La unidad se encuentra en optimas condiciones. El viaje prosigue sin novedades y muy amo hasta el arribo a ciudad de Mendoza a las 13:17hs."/>
  </r>
  <r>
    <n v="151"/>
    <s v="JG"/>
    <m/>
    <d v="2016-04-11T00:00:00"/>
    <n v="56"/>
    <s v="MZA SR"/>
    <d v="1899-12-30T15:00:00"/>
    <d v="1899-12-30T15:01:00"/>
    <n v="1206"/>
    <x v="7"/>
    <s v="si"/>
    <s v="si"/>
    <s v="si"/>
    <s v="si"/>
    <s v="si"/>
    <m/>
    <s v="si"/>
    <m/>
    <s v="no"/>
    <s v="no"/>
    <s v="si"/>
    <m/>
    <n v="78"/>
    <s v="CORNEJO, MARIA SOLEDAD"/>
    <m/>
    <m/>
    <s v="si"/>
    <s v="si"/>
    <s v="si"/>
    <s v="si"/>
    <s v="si"/>
    <s v="no"/>
    <s v="si"/>
    <s v="si"/>
    <s v="no"/>
    <s v="no"/>
    <s v="si"/>
    <s v="no"/>
    <s v="si"/>
    <s v="11/04/2016 La unidad llega a plataforma 10 minutos antes (14:50hs) el cartel de destino se   encuentra apagado. Chofer (Zolloco) en bodega. Azafata (Cornejo) recibe a pasajeros, al ingresar se  observan en los pisos restos de catering y migas dispersas, aroma desagradable como a agrio. En el piso superior cerca del basurero gotas, manchado con pegotes. Una Sra. llega justo al horario de salida paga su pasaje en la unidad y le hace comentario al respecto a la azafata, esta, bastante cortante y poco cortes solo le repetía el monto del boleto. Speech por Paso, luego en Azcuénaga suben pasajeros. ofrece el catering de manera poco atenta: Galletas? Jugo? (y lo hace de manera muy apurada) cuando sirve el agua saborizada saltan gotas para todos lados. Jamás responde al agradecimiento. Tira las botellas vacías desde arriba de la escalera a la cabina (piso) y luego cuando sirve catering a los pasajeros que suben en el camino saca y tira las botellas en la heladera del bar provocando un sonido bastante fuerte porque choca con los hielos (muy brusca en sus actos). No perfuma en ninguna oportunidad pero recorre la unidad dos veces, en una de esas ocasiones se escucha su teléfono celular sonar en cabina y &quot;corre&quot; para atenderlo. Utiliza su teléfono repetidas veces; en una de ellas le lee al chofer noticias. A las 17:23hs coloca en cabina música con sonido algo elevado, que baja y sube al parecer, dependiendo la canción, música de rock nacional (o similar), molesta un poco ya  que se mezcla con el sonido de la película. Algunos pasajeros se molestan.  En varias ocasiones se siente el sonido de la chicharra de velocidad, al sonar el chofer disminuye la velocidad luego la eleva y vuelve a sonar.  "/>
  </r>
  <r>
    <n v="152"/>
    <s v="NG"/>
    <m/>
    <d v="2016-04-11T00:00:00"/>
    <n v="110"/>
    <s v="SR MZA"/>
    <d v="1899-12-30T16:30:00"/>
    <d v="1899-12-30T16:30:00"/>
    <n v="1293"/>
    <x v="12"/>
    <s v="si"/>
    <s v="si"/>
    <s v="si"/>
    <s v="si"/>
    <s v="si"/>
    <m/>
    <s v="si"/>
    <m/>
    <s v="no"/>
    <s v="no"/>
    <s v="si"/>
    <m/>
    <n v="115"/>
    <s v="ORTEGA, CLAUDIO DAVID"/>
    <m/>
    <m/>
    <s v="si"/>
    <m/>
    <s v="si"/>
    <s v="si"/>
    <s v="no"/>
    <s v="no"/>
    <s v="si"/>
    <s v="si"/>
    <s v="si"/>
    <s v="si"/>
    <s v="si"/>
    <s v="si"/>
    <s v="si"/>
    <s v="11/04/2016  El colectivo se presento a las 16:15hs. Esta muy limpio. El baño tiene jabón y esta limpio.  Las pantallas arriba y las cortinas cerradas. En Montoya suben tres pasajeros que bajan en Eugenio Bustos. El audio se escucha bien y lo escuchamos a partir de Las Paredes, el video desde el Cristo. El guarda es muy atento y explica a todos que no hay café sino un refrigerio. perfuma la unidad tres veces. El viaje es muy placentero y a una velocidad constante. Llegamos a terminal a las  16:44HS. "/>
  </r>
  <r>
    <n v="153"/>
    <s v="LM"/>
    <m/>
    <d v="2016-04-11T00:00:00"/>
    <n v="45"/>
    <s v="MZA SR"/>
    <d v="1899-12-30T18:00:00"/>
    <d v="1899-12-30T18:03:00"/>
    <n v="1163"/>
    <x v="24"/>
    <s v="si"/>
    <s v="si"/>
    <s v="si"/>
    <s v="si"/>
    <s v="si"/>
    <m/>
    <s v="si"/>
    <m/>
    <s v="no"/>
    <s v="no"/>
    <s v="si"/>
    <m/>
    <n v="54"/>
    <s v="BIBANCO, CYNTHIA DANIELA"/>
    <m/>
    <m/>
    <s v="si"/>
    <s v="no"/>
    <s v="si"/>
    <s v="si"/>
    <s v="no"/>
    <s v="no"/>
    <s v="si"/>
    <s v="si"/>
    <s v="si"/>
    <s v="si"/>
    <s v="si"/>
    <s v="si"/>
    <s v="si"/>
    <s v="11/04/2016  El coche 45 esta 15 minutos antes de la hora de salida y parte a horarios al mando del chofer Martínez y con la azafata (Mujer, 30 años aprox, pelo negro largo recogido) tenia el pin tapado por la camera d la empresa. Tanto el speech, institucional y la película se reprodujeron en tiempo y forma. La azafata respeta el orden al momento del catering y tiene buena dispocion ante los pedidos del pasaje, viaja una oficial uniformada de Mendoza. A las 19:05hs arriba a Tunuyán y asciende un pasajero y a las 19:33 a la terminal de Eugenio Bustos donde suben tres mas. El viaje es cómodo durante todo el trayecto. El chofer viaja a velocidad prudente por las condiciones del tiempo (lluvia y piso mojado9 y se hace mas amenos gracias a la buena predisposicion de la azafata, siempre predispuesta  a los requerimiento especiales (ej.: agua, servilleta, consulta sobre el año, etc.) El baño no estaba en condiciones, no tenia agua y respecto al estado de la unidad, el parabrisas superior estaba trizado y en el porta equipaje derecho hay dos tornillo expuestos. Hora de llegada 21:19hs. "/>
  </r>
  <r>
    <n v="154"/>
    <s v="NG"/>
    <m/>
    <d v="2016-04-12T00:00:00"/>
    <n v="46"/>
    <s v="SR MGUE"/>
    <d v="1899-12-30T14:00:00"/>
    <d v="1899-12-30T14:05:00"/>
    <n v="1120"/>
    <x v="1"/>
    <s v="si"/>
    <s v="si"/>
    <s v="si"/>
    <s v="si"/>
    <s v="si"/>
    <m/>
    <s v="si"/>
    <m/>
    <s v="no"/>
    <s v="no"/>
    <s v="si"/>
    <m/>
    <n v="1123"/>
    <s v="BRAVO, MARCELO CONRADO"/>
    <m/>
    <m/>
    <s v="si"/>
    <m/>
    <s v="no"/>
    <s v="no"/>
    <s v="no"/>
    <s v="no"/>
    <s v="si"/>
    <s v="si"/>
    <s v="no"/>
    <s v="si"/>
    <s v="si"/>
    <s v="si"/>
    <s v="si"/>
    <s v="12/04/2016 El coche se presenta 13:45hs con las cortinas cerradas. El baño limpio, con jabón. Viajan tres choferes, el guarda es muy amable. Salimos 14:05hs el guarda no se baja a recibir a los pasajeros de Balloffet, corto el boleto desde la ventana. El audio y el video se escuchan bien. El guarda perfuma la unidad en Las Salinas. 15:35hs se cruza con el 106 que viene de vuelta, se paran a charlar durante 15 minutos. Luego seguimos viaje y llegamos a terminal a las 16:45hs. "/>
  </r>
  <r>
    <n v="155"/>
    <s v="NG"/>
    <m/>
    <d v="2016-04-13T00:00:00"/>
    <n v="47"/>
    <s v="MGUE SR"/>
    <d v="1899-12-30T07:45:00"/>
    <d v="1899-12-30T07:44:00"/>
    <n v="1147"/>
    <x v="20"/>
    <s v="si"/>
    <s v="si"/>
    <s v="si"/>
    <s v="si"/>
    <s v="si"/>
    <m/>
    <s v="no"/>
    <m/>
    <s v="no"/>
    <s v="no"/>
    <s v="si"/>
    <m/>
    <n v="1285"/>
    <s v="CORREA, SERGIO ANTONIO"/>
    <m/>
    <m/>
    <s v="si"/>
    <s v="si"/>
    <s v="si"/>
    <s v="si"/>
    <s v="no"/>
    <s v="no"/>
    <s v="si"/>
    <s v="si"/>
    <s v="no"/>
    <s v="no"/>
    <s v="no"/>
    <m/>
    <s v="si"/>
    <s v="13/04/2016 El colectivo se presenta 7:27hs, esta limpio, con las cortinas cerradas, el guarda espera afuera a pesar que hacen 2grados, el reloj de adentro esta adelantado 1:50minutos. 7:44 salimos de terminal, suben dos maestras en la primera parada, a pocas cuadras ponen el audio pero lo cortan al minuto y no reproducen nada. Hace mucho frio en el colectivo, se sirve el café en la primera parada, pasando a ESSO, el guarda Correa es muy amable, hace chiste a las mujeres y sirve cordialmente. No se coloca alcohol en gel, ni perfuma la unidad. 8:20hs pasamos por el Sosneado y se bajo un maestra, suben dos personas y un policía que no paga boleto.  Acercan a una Sra. con dos bebes al centro de salud. A las 10:20hs llegamos a terminal. "/>
  </r>
  <r>
    <n v="156"/>
    <s v="JG"/>
    <m/>
    <d v="2016-04-13T00:00:00"/>
    <n v="43"/>
    <s v="SR MZA"/>
    <d v="1899-12-30T13:00:00"/>
    <d v="1899-12-30T13:02:00"/>
    <n v="1190"/>
    <x v="4"/>
    <s v="si"/>
    <s v="no"/>
    <s v="si"/>
    <s v="no"/>
    <s v="si"/>
    <m/>
    <s v="si"/>
    <m/>
    <s v="no"/>
    <s v="no"/>
    <s v="si"/>
    <m/>
    <n v="78"/>
    <s v="CORNEJO, MARIA SOLEDAD"/>
    <m/>
    <m/>
    <s v="si"/>
    <m/>
    <s v="si"/>
    <s v="si"/>
    <s v="no"/>
    <s v="no"/>
    <s v="si"/>
    <s v="si"/>
    <s v="si"/>
    <s v="si"/>
    <s v="si"/>
    <s v="si"/>
    <s v="si"/>
    <s v="13/04/2016  La unidad  llega a plataforma 10 minutos antes; y comienzan a recibir a los pasajeros 12:55hs. Al inicio solo el guarda (Pedro) y luego el chofer (Adrián); al llegar a Tmza despide el guarda (Adrián) y el chofer (Pedro) se queda en la cabina, en ninguna oportunidad se vigilo la bodega. La unidad debe desviarse cuando sale a Moreno no dobra por Rivadavia sino que se va hasta la Av. Yrigoyen. el speech y el V. Inst con volúmenes correctos que el guarda (Pedro) verifica. la película se escucha perfectamente hasta que unos 20 minutos de terminar se quedo sin volumen. El cattering no fue ofrecido, solo entrego las galletas, vaso y café con leche. Sirvió agua mineral frente al pasajero que se lo pidió y despertó aquellas que dormían para preguntar si querían catering, utilizo alcohol en gel. Perfuma dos veces la unidad. En Paso las Carretas suben pasajeros que pagan con $100, guarda pidió cambio y les dijo que deberían subir con el, el Sr se enojo un poco y le dijo que en aquel lugar no se consigue cambio, el chofer lo llama a cabina para conversar!( hablan con volumen bajo del tema). perfuma dos veces. En TSC cambian de lugar, el nuevo guarda (Adrián ) solo se levanta de su butaca para despedir a pasajeros. "/>
  </r>
  <r>
    <n v="157"/>
    <s v="JG"/>
    <m/>
    <d v="2016-04-13T00:00:00"/>
    <n v="108"/>
    <s v="MZA SR"/>
    <d v="1899-12-30T20:15:00"/>
    <d v="1899-12-30T20:15:00"/>
    <n v="1045"/>
    <x v="10"/>
    <s v="si"/>
    <s v="si"/>
    <s v="no"/>
    <s v="no"/>
    <s v="si"/>
    <m/>
    <s v="si"/>
    <m/>
    <s v="no"/>
    <s v="si"/>
    <s v="si"/>
    <m/>
    <n v="115"/>
    <s v="ORTEGA, CLAUDIO DAVID"/>
    <m/>
    <m/>
    <s v="si"/>
    <m/>
    <s v="si"/>
    <s v="si"/>
    <s v="no"/>
    <s v="si"/>
    <s v="si"/>
    <s v="si"/>
    <s v="no"/>
    <s v="si"/>
    <s v="si"/>
    <s v="si"/>
    <s v="si"/>
    <s v="13/04/2016 La unidad  llega a plataforma a horario correcto. El cartel de destino se encuentra apagado. Chofer con la camisa afuera del pantalón toda arrugada;  reconoce a un chofer (de otra compañía) y se va a conversar. Azafato (Claudio) recibe, saluda amable, indica numero de butaca pero no de piso. No posee pin sobre su camisa blanca. Se observan papeles debajo del 1er escalon de la escalera. Algunos apoyabrazos están bajo. Laterales con migas. En la unidad van 4 policías, el ultimo sube en plaza Tunuyán y se acerca a cabina, conversa unos instante con chofer y azafato, al parecer debe pagar pasaje. Speech colocado correctamente; catering ofrecido con amabilidad. Video inst y película con volumen verificados. El 1er TV al inicio no funciona bien, se prende y se apaga por lo que el Video Inst no pudo ser visto correctamente. Utiliza alcohol en gel. ´Pasajero de butaca 13 con su calzado arriba del bar y no le llama la atención. Luego de TSC lleva agua caliente a la cabina. perfuma solo una vez aunque recorre una 2da vez. "/>
  </r>
  <r>
    <n v="158"/>
    <s v="JG"/>
    <m/>
    <d v="2016-04-15T00:00:00"/>
    <n v="43"/>
    <s v="SR MZA"/>
    <d v="1899-12-30T07:00:00"/>
    <d v="1899-12-30T07:00:00"/>
    <n v="1190"/>
    <x v="4"/>
    <s v="si"/>
    <s v="si"/>
    <s v="si"/>
    <s v="si"/>
    <s v="si"/>
    <m/>
    <s v="si"/>
    <m/>
    <s v="no"/>
    <s v="no"/>
    <s v="si"/>
    <m/>
    <n v="91"/>
    <s v="UBILLOS, JOANA MIRTA SOLEDAD"/>
    <m/>
    <m/>
    <s v="si"/>
    <s v="si"/>
    <s v="si"/>
    <s v="si"/>
    <s v="no"/>
    <s v="no"/>
    <s v="si"/>
    <s v="si"/>
    <s v="no"/>
    <s v="si"/>
    <m/>
    <s v="si"/>
    <s v="si"/>
    <s v="15/04/2016 La unidad esta 15 minutos antes. Azafata amable recibe a  pasajeros, la acompaña el chofer (Jovic F.)  que solo vigila la bodega al llegar a Tmza. La unidad se encuentra en condiciones, solo debo mencionar que el inodoro no presenta guillotina, se observa liquido azul. Speech colocado correctamente. El catering se sirve siguiendo el orden establecido, sirve agua mineral en frente del pasajero. Personas suben en la 1er garita de Paso Las Carretas, azafata les ofrece butacas y les da paquete de galletas.  En TSC  se acerca un chofer del ref. 44 y le comenta que en Paso las Carretas subieron 6 pasajeros en la segunda garita y que el chofer imprimió dos boletos de mas. Al salir recorre la unidad colocando en posición las butacas vacías. Perfuma solo una vez, pero recorre dos veces la unidad. Pregunta si la temperatura es agradable. Al llegar a Plaza Tunuyán se percata que pasajeros que bajan allí no están, por lo que debe ir a buscarlos, despertarlos y avisarlos donde están, los mismos tardan bastante, el chofer cierra la puerta y arranca, al llegar al semáforo uno que tardo mucho mas pide bajar, el chofer enojado porque el semáforo se había colocado en verde abre y cierra la puerta rápido. BOLETERIA: (Unishop) Un Sr le comenta a la vendedora que no entiende porque no tiene saldo en su tarjeta, ella le conseja que valla a  la boletería en TSR y pregunte, que pida información, que seguro le dan una hoja con todos los movimientos que hizo con la tarjeta que tal vez deban darle una nueva. "/>
  </r>
  <r>
    <n v="159"/>
    <s v="NG"/>
    <m/>
    <d v="2016-04-15T00:00:00"/>
    <n v="44"/>
    <s v="SR MZA"/>
    <d v="1899-12-30T07:00:00"/>
    <d v="1903-04-01T00:00:00"/>
    <n v="1187"/>
    <x v="23"/>
    <s v="si"/>
    <s v="si"/>
    <s v="si"/>
    <s v="si"/>
    <s v="si"/>
    <m/>
    <s v="si"/>
    <m/>
    <s v="no"/>
    <m/>
    <m/>
    <m/>
    <n v="1171"/>
    <s v="STILO, CESAR ARIEL"/>
    <m/>
    <m/>
    <s v="si"/>
    <s v="si"/>
    <s v="si"/>
    <s v="si"/>
    <s v="no"/>
    <s v="no"/>
    <s v="si"/>
    <s v="si"/>
    <s v="si"/>
    <s v="si"/>
    <s v="si"/>
    <s v="si"/>
    <s v="si"/>
    <s v="15/04/2016 El coche esta en plataforma 6:45hs, limpio por fuera y por dentro, el baño esta limpio y perfumado, con las cortinas cerradas, 7:04 salimos de terminal, 7:18 suben pasajeros en las paredes, luego se reproduce el audio a gran volumen, antes del cristo comienza a servir muy amablemente de afuera hacia adentro. El viaje es muy placentero. el video se ve bien y la película también, la azafata perfuma dos veces la unidad, al llegar sube las pantallas. Llegamos 10:27hs."/>
  </r>
  <r>
    <n v="160"/>
    <s v="JG"/>
    <m/>
    <d v="2016-04-15T00:00:00"/>
    <n v="45"/>
    <s v="MZA SR"/>
    <d v="1899-12-30T15:00:00"/>
    <d v="1899-12-30T07:02:00"/>
    <n v="1163"/>
    <x v="24"/>
    <s v="si"/>
    <s v="si"/>
    <s v="si"/>
    <s v="no"/>
    <s v="si"/>
    <m/>
    <s v="si"/>
    <m/>
    <s v="no"/>
    <s v="si"/>
    <s v="si"/>
    <m/>
    <n v="78"/>
    <s v="CORNEJO, MARIA SOLEDAD"/>
    <m/>
    <m/>
    <s v="si"/>
    <s v="si"/>
    <s v="si"/>
    <s v="si"/>
    <s v="si"/>
    <s v="si"/>
    <s v="si"/>
    <s v="si"/>
    <s v="no"/>
    <s v="no"/>
    <s v="si"/>
    <s v="si"/>
    <s v="si"/>
    <s v="15/04/2016 La unidad llega a plataforma 10 min antes. Y la unidad de ref. 48 no tiene cartelería que lo indique como tal. La unidad tiene cartel encendido pero el mismo indica Mendoza solamente (no San Rafael). Azafata (Cornejo)  recibe a pasajeros, a los ocupantes de las primeras butacas les recuerda el uso del cinturón y a otros les pide el numero de documentos. El chofer la acompaña, no se vigila la bodega en ninguna oportunidad. La unidad posee algunos apoyabrazos bajas y las corinas de la zona delantera desordenadas (algunas atadas y otras no, desprolijas). Se reproduce speech saliendo de terminal, luego le hablan por teléfono a la azafata diciendo que dos pasajeros que deben ir en esta unidad están en el ref1 que en Azcuénaga hacen el intercambio. ofrece y sirve el catering siguiendo el instructivo, no expresa muy amable. Se lleva agua caliente en la cabina, luego de terminar la tarea; pasando Tunuyán nuevamente se lleva agua caliente a cabina en la cafetera. Consume galletas. Utiliza su teléfono celular en varias ocasiones. Perfuma solo una vez la unidad pero la recorre en una segunda oportunidad. V. Inst y película con volumen correcto.    "/>
  </r>
  <r>
    <n v="162"/>
    <s v="JG"/>
    <m/>
    <d v="2016-04-18T00:00:00"/>
    <n v="46"/>
    <s v="SR MZA"/>
    <d v="1899-12-30T07:00:00"/>
    <d v="1899-12-30T07:05:00"/>
    <n v="1120"/>
    <x v="1"/>
    <s v="si"/>
    <s v="si"/>
    <s v="si"/>
    <s v="si"/>
    <s v="si"/>
    <m/>
    <s v="si"/>
    <m/>
    <s v="si"/>
    <s v="si"/>
    <s v="si"/>
    <m/>
    <n v="1123"/>
    <s v="BRAVO, MARCELO CONRADO"/>
    <m/>
    <m/>
    <s v="si"/>
    <m/>
    <s v="si"/>
    <s v="si"/>
    <s v="no"/>
    <s v="si"/>
    <s v="si"/>
    <s v="si"/>
    <s v="si"/>
    <s v="no"/>
    <m/>
    <s v="si"/>
    <s v="si"/>
    <s v="18/04/2016 La unidad esta en plataforma en el horario convenido, pero reciben a pasajeros a las 6:50hs. Chofer (Marín N.) y guarda (Bravo M.) reciben juntos a pasajeros; la bodega solo es vigilada al llegar a TMZA. Speech colocado antes de Montoya y en Cristo suben pasajeros. El guarda (Bravo) frece muy amable el catering, sirve los vasos siguiendo el orden establecido. Luego lleva agua caliente a cabina. Perfuma en una ocasión. Por Chilecito volumen de la radio muy fuerte por tres minutos. En TSC cambian de lugar el nuevo guarda (Marín) perfuma una vez mas. Por Zapata llena dos vasos de agua caliente de la cafetera del piso inferior y los lleva a cabina. Utiliza su teléfono celular en muchas oportunidades. Conversa con vos elevada, ríe y aplaude. A las 9:46hs el pasajero de butaca numero 2, que viaja todos los días, se va a cabina y conversa por unos 4 minutos aprox. "/>
  </r>
  <r>
    <n v="163"/>
    <s v="NG"/>
    <m/>
    <d v="2016-04-18T00:00:00"/>
    <n v="47"/>
    <s v="SR MZA"/>
    <d v="1899-12-30T10:00:00"/>
    <d v="1899-12-30T10:04:00"/>
    <n v="1147"/>
    <x v="20"/>
    <s v="si"/>
    <s v="si"/>
    <s v="si"/>
    <s v="si"/>
    <s v="si"/>
    <m/>
    <s v="si"/>
    <m/>
    <s v="no"/>
    <s v="no"/>
    <s v="si"/>
    <m/>
    <n v="91"/>
    <s v="UBILLOS, JOANA MIRTA SOLEDAD"/>
    <m/>
    <m/>
    <s v="si"/>
    <s v="si"/>
    <s v="si"/>
    <s v="si"/>
    <s v="no"/>
    <s v="no"/>
    <s v="si"/>
    <s v="si"/>
    <s v="si"/>
    <s v="si"/>
    <s v="si"/>
    <s v="si"/>
    <s v="si"/>
    <s v="18/04/2016 El colectivo se presenta 9:45hs. Cortinas cerradas. Limpio, buen aroma en el interior, hay alcohol en gel, el baño esta limpio. Salimos de terminal, en las paredes sube un pasajeros e inmediatamente se reproduce el audio, se escucha bien, pasando el cristo se sirve el café (estornuda en su mano y no se limpia, sigue sirviendo), el Video se reproduce correctamente. perfuma la unidad 3 veces. 11:40hs en Eugenio Bustos, 12:02hs en Tunuyán, 13:15 en Mendoza terminal y el viaje fue muy agradable.  "/>
  </r>
  <r>
    <n v="164"/>
    <s v="JG"/>
    <m/>
    <d v="2016-04-18T00:00:00"/>
    <n v="47"/>
    <s v="MZA SR"/>
    <d v="1899-12-30T15:00:00"/>
    <d v="1899-12-30T15:00:00"/>
    <n v="1147"/>
    <x v="20"/>
    <s v="si"/>
    <s v="si"/>
    <s v="si"/>
    <s v="si"/>
    <s v="si"/>
    <m/>
    <s v="si"/>
    <m/>
    <s v="no"/>
    <s v="si"/>
    <s v="si"/>
    <m/>
    <n v="91"/>
    <s v="UBILLOS, JOANA MIRTA SOLEDAD"/>
    <m/>
    <m/>
    <s v="si"/>
    <s v="si"/>
    <s v="si"/>
    <s v="si"/>
    <s v="no"/>
    <s v="si"/>
    <s v="si"/>
    <s v="si"/>
    <s v="no"/>
    <s v="si"/>
    <s v="si"/>
    <s v="si"/>
    <s v="si"/>
    <s v="18/04/2016 La unidad esta 15 min antes. Al inicio chofer acompaña a azafata a recibir a pasajeros, luego se va a la bodega, también la vigila al llegar. La unidad se encuentra en condiciones, solo que algunas butacas poseen migas. Speech colocado correctamente, el volumen de todo lo reproducido fue correcto. Baja los Tvs para emitir reproducciones y al terminar película los sube para que el pasillo quede despejado. pasajeros colocan muisca en altavoz, azafata les llama la atención indicándoles el uso de auriculares. Muy respetuosa. Sirve agua minera a varios pasajeros durante el viaje. perfuma una vez y recorre la unidad unas 4 veces mas, pregunta temperatura en la unidad. Baño en condiciones. "/>
  </r>
  <r>
    <n v="165"/>
    <s v="NG"/>
    <m/>
    <d v="2016-04-18T00:00:00"/>
    <n v="108"/>
    <s v="MZA SR"/>
    <d v="1899-12-30T18:00:00"/>
    <d v="1899-12-30T18:04:00"/>
    <n v="1045"/>
    <x v="10"/>
    <s v="si"/>
    <s v="si"/>
    <s v="si"/>
    <s v="si"/>
    <s v="si"/>
    <m/>
    <s v="si"/>
    <m/>
    <s v="no"/>
    <s v="si"/>
    <s v="si"/>
    <m/>
    <n v="78"/>
    <s v="CORNEJO, MARIA SOLEDAD"/>
    <m/>
    <m/>
    <s v="si"/>
    <s v="no"/>
    <s v="si"/>
    <s v="si"/>
    <s v="no"/>
    <s v="si"/>
    <s v="si"/>
    <s v="si"/>
    <s v="no"/>
    <m/>
    <s v="si"/>
    <s v="no"/>
    <s v="si"/>
    <s v="18/04/2016 El coche esta en plataforma 17:45hs, el chofer en la bodega y azafata cortando boletos, el colectivo esta muy limpio y con buen olor, las cortinas cerradas, salimos 18;04hs, 18:18hs se sirve el café, perfectamente, se limpio las manos, el video se ve intermitentemente. La película bien, perfuma al salir y en Tunuyán, luego de servir los cafés prepara dos cafés y los baja a la cabina. El viaje es placentero y llegamos 21:20hs. Reproduce el audio en la rotonda.    "/>
  </r>
  <r>
    <n v="166"/>
    <s v="NG"/>
    <m/>
    <d v="2016-04-19T00:00:00"/>
    <n v="56"/>
    <s v="SR MZA"/>
    <d v="1899-12-30T13:00:00"/>
    <d v="1899-12-30T13:03:00"/>
    <n v="1208"/>
    <x v="9"/>
    <s v="si"/>
    <s v="si"/>
    <s v="si"/>
    <s v="si"/>
    <s v="si"/>
    <m/>
    <s v="si"/>
    <m/>
    <s v="no"/>
    <s v="no"/>
    <s v="si"/>
    <m/>
    <n v="1163"/>
    <s v="MARTINEZ, PABLO RODOLFO"/>
    <m/>
    <m/>
    <s v="si"/>
    <s v="no"/>
    <s v="si"/>
    <s v="si"/>
    <s v="no"/>
    <s v="no"/>
    <s v="si"/>
    <s v="si"/>
    <s v="si"/>
    <s v="si"/>
    <s v="si"/>
    <s v="si"/>
    <s v="si"/>
    <s v="19/04/2016 El colectivo se presenta 12:42hs, se ve limpio, cortinas cerradas, la azafata muy amable corta los boletos, el chofer revisa la bodega, salimos  13:03hs, el baño esta limpio, no hay jabón ni alcohol en gel. Pasando el Cristo se sirve el café muy correctamente y de afuera para adentro, perfuma la unidad dos veces, 14:45hs entramos en Eugenio Bustos, el viaje es muy tranquilo y a velocidad contante, 16:14hs llegamos a terminal. "/>
  </r>
  <r>
    <n v="167"/>
    <s v="NG"/>
    <m/>
    <d v="2016-04-19T00:00:00"/>
    <n v="109"/>
    <s v="MZA SR"/>
    <d v="1899-12-30T20:15:00"/>
    <d v="1899-12-30T20:19:00"/>
    <n v="1281"/>
    <x v="2"/>
    <s v="si"/>
    <s v="si"/>
    <s v="si"/>
    <s v="si"/>
    <s v="si"/>
    <m/>
    <s v="si"/>
    <m/>
    <s v="no"/>
    <s v="no"/>
    <s v="si"/>
    <m/>
    <n v="54"/>
    <s v="BIBANCO, CYNTHIA DANIELA"/>
    <m/>
    <m/>
    <s v="si"/>
    <s v="no"/>
    <s v="si"/>
    <s v="si"/>
    <s v="no"/>
    <s v="no"/>
    <s v="si"/>
    <s v="si"/>
    <s v="si"/>
    <s v="si"/>
    <s v="si"/>
    <s v="si"/>
    <s v="si"/>
    <s v="19/04/2016 El coche se presenta 20:00hs, limpio con las cortinas cerradas. El chofer se para en la bodega y la azafata corta los boletos. El colectivo esta limpio, el año  también esta perfumado. Salimos 20:19hs, el audio se escucha saliendo de terminal, el servicio es excelente, la azafata muy amable con todos, no viaja mucha gente, 21:20hs entramos en terminal de Tunuyán, 21:30hs saliendo de Tunuyán nos tiran piedras y rompen el vidrio que esta delante mío, paramos y saco la azafata los vidrios, hacen pasar la gente para atrás, avanzamos unos metros y el chofer da aviso de lo ocurrido a un móvil de Tunuyán, luego de eso el viaje continua normalmente, llegamos 23:50hs. "/>
  </r>
  <r>
    <n v="168"/>
    <s v="JG"/>
    <m/>
    <d v="2016-04-20T00:00:00"/>
    <n v="56"/>
    <s v="SR MZA"/>
    <d v="1899-12-30T10:00:00"/>
    <d v="1899-12-30T10:00:00"/>
    <n v="1208"/>
    <x v="9"/>
    <s v="si"/>
    <s v="no"/>
    <s v="si"/>
    <s v="no"/>
    <s v="si"/>
    <m/>
    <s v="si"/>
    <m/>
    <s v="no"/>
    <s v="no"/>
    <s v="si"/>
    <m/>
    <n v="91"/>
    <s v="UBILLOS, JOANA MIRTA SOLEDAD"/>
    <m/>
    <m/>
    <s v="si"/>
    <s v="si"/>
    <s v="si"/>
    <s v="si"/>
    <s v="si"/>
    <s v="no"/>
    <s v="si"/>
    <s v="si"/>
    <s v="si"/>
    <s v="si"/>
    <s v="si"/>
    <s v="si"/>
    <s v="si"/>
    <s v="20/04/2016 Azafata (Ubillos) y el chofer (A. Rivas) reciben juntos a pasajeros, azafata ayuda a subir a abuelos y bolsos en esos momentos el chofer se hace cargo. Se puede observar al inspector Sini, fumando, hablando con policías y personas conocidas, a las 9:49hs sube a la unidad (cabina), y luego baja. Se escucha a un pasajero de la butaca 60 hablar por teléfono, el mismo se queja diciendo que &quot;la unidad es una asquerosidad&quot;, los escalones muy altos, que no puso conseguir butacas (piso inferior) en la zona delantera, el pasillo es muy estrecho, y que el colectivo estaba muy lejos de la orilla de la dársena y no podía subir. A las 10:04 llama a la azafata desde la boletería, en Toledano sube una pasajera le comenta a la azafata que cuando llego a terminal ya no estaba, la azafata le recuerda el horario de salida. Speech colocado correctamente. La puerta queda mal cerrada luego de arrancar en el Aeropuerto, recién se da cuenta la azafata como a las 10:30hs cuando baja a ofrecer el catering que inmediatamente le avisa el chofer, lo mismo ocurre luego de Azcuénaga pero sigue así hasta llegar a terminal (la puerta mal cerrada me recibieron a que se percibe una luz de unos 10-12 cm). Catering ofrecido y servido correctamente. Amable sirve agua mineral frente al pasajero que se la pide. En TSC un Sr sale del baño y baja y conversa con la azafata, le pregunta porque no hay toallas en el baño, el le dice que es un baño solo para líquidos, el se queja porque dice que no se puede secar las manos correctamente, azafata le comenta que desde que ella trabaja nunca ha habido papel, pero que lo invita a que se acerca a la boletería y comente su acotación al respecto, el Sr le agradece el detalle.  El baño tenia agua, pero no poseía tabla para sentarse, el borde del inodoro estaba orinado, no es higiénico y el piso estaba muy pegoteado. Al llegar a Tmza el chofer baja de la cabina, se queda al lado de la puerta de su lado, fuma y mira su teléfono. "/>
  </r>
  <r>
    <n v="169"/>
    <s v="JG"/>
    <m/>
    <d v="2016-04-20T00:00:00"/>
    <n v="43"/>
    <s v="MZA SR"/>
    <d v="1899-12-30T18:00:00"/>
    <d v="1899-12-30T18:01:00"/>
    <n v="1143"/>
    <x v="21"/>
    <s v="si"/>
    <s v="si"/>
    <s v="si"/>
    <s v="si"/>
    <s v="si"/>
    <m/>
    <s v="si"/>
    <m/>
    <s v="no"/>
    <s v="no"/>
    <s v="si"/>
    <m/>
    <n v="1171"/>
    <s v="STILO, CESAR ARIEL"/>
    <m/>
    <m/>
    <s v="si"/>
    <m/>
    <s v="si"/>
    <s v="si"/>
    <s v="no"/>
    <s v="no"/>
    <s v="si"/>
    <s v="no"/>
    <s v="no"/>
    <s v="si"/>
    <s v="si"/>
    <s v="si"/>
    <s v="si"/>
    <s v="20/04/2016 La unidad llega 15 minutos antes, pero chofer y guarda (Stilo) se quedan dentro de la unidad por tres minutos, luego bajan y recibe el guarda a pasajeros, saluda e indica butaca y piso, el chofer se va a bodega por tres minutos y luego se va a boletería. La unidad se encuentra en condiciones, salvo por los dos paquetes de azúcar que están sobre la butaca 8. Speech reproducido correctamente. Catering ofrecido de mejor manera que veces anteriores, Se expresa ante el pasajero, agradece. Pero no ofrece catering a las personas que suben tanto en Tunuyán como en San Carlos. Antes de las reproducciones baja todos los televisores, que luego no vuelve a subir, entorpeciendo el paso d ellos pasajeros al moverse de la unidad para bajar. Los sonidos fueron agradables. En T.S.C. baja un pasajeros el mismo es integrante de CNRT. Allí cambian de lugar . Ninguno de los dos perfuma la unidad. El guardan al despedir abre la puerta de cabina pero no se baja de la unidad.  Cuando se circula por la ruta entre Toledano y La Rotonda del Mapa, la unidad va con velocidad algo excesiva para la zona, ya que hay muchos arboles que cortan la visual, en eso un automóvil quiere salir a la ruta y saca demasiado su trompa, el chofer debe pegar una frenada brusca y maniobrar para no chocar  con la trompa y con el vehículo de frente. El baño posee agua y tiene la guillotina correspondiente. "/>
  </r>
  <r>
    <n v="170"/>
    <s v="JG"/>
    <m/>
    <d v="2016-04-22T00:00:00"/>
    <n v="47"/>
    <s v="SR MZA"/>
    <d v="1899-12-30T07:00:00"/>
    <d v="1899-12-30T07:02:00"/>
    <n v="1232"/>
    <x v="14"/>
    <s v="si"/>
    <s v="si"/>
    <s v="si"/>
    <s v="no"/>
    <s v="si"/>
    <m/>
    <s v="si"/>
    <m/>
    <s v="no"/>
    <s v="si"/>
    <s v="si"/>
    <m/>
    <n v="115"/>
    <s v="ORTEGA, CLAUDIO DAVID"/>
    <m/>
    <m/>
    <s v="si"/>
    <m/>
    <s v="si"/>
    <s v="si"/>
    <s v="no"/>
    <s v="si"/>
    <s v="no"/>
    <s v="si"/>
    <s v="si"/>
    <s v="si"/>
    <m/>
    <s v="si"/>
    <s v="si"/>
    <s v="22/04/16 La unidad llega 6:48hs y comienza a recibir a las 6:50hs. El ref. 44 posee cartelería que lo identifica como tal. Chofer y azafata reciben a pasajeros. Saluda e indica butaca y piso. La bodega solo se vigila al llegar a Tmza. Speech colocado correctamente. Catering ofrecido muy amable, pero a la hora de servirlo no respeta el orden establecido (V-P). Le piden agua y la sirve frente al pasajero, utiliza alcohol en gel. Perfuma dos veces. Por la ruta despide a pasajeros desde arriba de la unidad, no abre la puerta de cabina. En TSC se lo ve al chofer (J. González) ingresar a cabina con una bolsa de papel, como aquellas cuando uno compra tortitas (8:47hs) luego de salir de la TSC a las 8:56hs azafato va en busca de agua caliente en la cafetera y la lleva a cabina."/>
  </r>
  <r>
    <n v="171"/>
    <s v="JG"/>
    <m/>
    <d v="2016-04-22T00:00:00"/>
    <n v="42"/>
    <s v="MZA SR"/>
    <d v="1899-12-30T15:00:00"/>
    <d v="1899-12-30T15:06:00"/>
    <n v="1222"/>
    <x v="16"/>
    <s v="si"/>
    <s v="si"/>
    <s v="si"/>
    <s v="no"/>
    <s v="si"/>
    <m/>
    <s v="si"/>
    <m/>
    <s v="no"/>
    <s v="no"/>
    <s v="si"/>
    <m/>
    <n v="91"/>
    <s v="UBILLOS, JOANA MIRTA SOLEDAD"/>
    <m/>
    <m/>
    <s v="si"/>
    <s v="si"/>
    <s v="si"/>
    <s v="si"/>
    <s v="no"/>
    <s v="no"/>
    <s v="si"/>
    <s v="si"/>
    <s v="no"/>
    <s v="no"/>
    <s v="si"/>
    <s v="no"/>
    <s v="si"/>
    <s v="22/04/16 La unidad llega 14:48hs a plataforma. La unidad 43 no tiene cartelería que indique que es refuerzo. Chofer (Tapia) va a boletería y luego acompaña a la azafata. No se vigila la bodega en ninguna oportunidad, ya que al llegar a TSR va hacia boletería. Chofer ayuda a subir a una Sra. que anda en silla de ruedas, la carga por las piernas mientras que un familiar por la espalda (al llegar a SR azafata va en busca de la silla de ruedas en la bodega). Speech por la doble vía y luego en Azcuénaga suben pasajeros. Reparte y sirve catering correctamente, como agua mineral a quien se lo pide. V. Institucional sin volumen y la película al inicio, cuando va a retirar el catering pasajeros le indican que por los altavoces se escucha la radio de cabina, por lo que inmediatamente avisa al chofer y lo arreglan. Perfuma solo una vez, aunque recorre en otra oportunidad. Algunas pasajeras comentan que hay &quot;olor a baño&quot;. Viaje tranquilo. Se adjuntan elementos encontrados detrás de los elásticos (porta revistas) que hay detrás de las butacas (papel de chicle, papel de café y servilleta de papel). "/>
  </r>
  <r>
    <n v="172"/>
    <s v="NG"/>
    <m/>
    <d v="2016-04-23T00:00:00"/>
    <n v="43"/>
    <s v="SR MZA"/>
    <d v="1899-12-30T10:00:00"/>
    <d v="1899-12-30T10:03:00"/>
    <n v="1190"/>
    <x v="4"/>
    <s v="si"/>
    <s v="si"/>
    <s v="si"/>
    <s v="no"/>
    <s v="si"/>
    <m/>
    <s v="si"/>
    <m/>
    <s v="no"/>
    <s v="no"/>
    <s v="si"/>
    <m/>
    <n v="1143"/>
    <s v="FORTE, MARIO LUIS"/>
    <m/>
    <m/>
    <s v="si"/>
    <m/>
    <s v="si"/>
    <s v="si"/>
    <s v="no"/>
    <s v="no"/>
    <s v="si"/>
    <s v="si"/>
    <s v="si"/>
    <s v="si"/>
    <s v="si"/>
    <s v="si"/>
    <s v="si"/>
    <s v="23/04/16 Coche 9:45hs en plataforma, guarda corta boletos y chofer acomoda la cabina, el coche esta muy limpio, hay alcohol y jabón, baño limpio. Pantallas arriba. En Mendoza se reproduce el audio, 10:25 se sirve el café, correctamente, el video se ve bien a la altura del Cristo, accidente por Paso las Carretas, en Eugenio Bustos cambio de choferes. Llegamos 13:20hs. Perfumo dos veces la unidad. "/>
  </r>
  <r>
    <n v="173"/>
    <s v="NG"/>
    <m/>
    <d v="2016-04-23T00:00:00"/>
    <n v="56"/>
    <s v="MZA SR"/>
    <d v="1899-12-30T20:15:00"/>
    <d v="1899-12-30T21:00:00"/>
    <n v="1208"/>
    <x v="9"/>
    <s v="si"/>
    <s v="si"/>
    <s v="si"/>
    <s v="si"/>
    <s v="si"/>
    <m/>
    <s v="si"/>
    <m/>
    <s v="no"/>
    <s v="no"/>
    <s v="si"/>
    <m/>
    <n v="1312"/>
    <s v="ALANIZ, FERNANDO PABLO"/>
    <m/>
    <m/>
    <s v="si"/>
    <s v="no"/>
    <s v="si"/>
    <s v="si"/>
    <s v="no"/>
    <s v="no"/>
    <s v="si"/>
    <s v="si"/>
    <s v="si"/>
    <s v="si"/>
    <s v="si"/>
    <s v="si"/>
    <s v="si"/>
    <s v="23/04/16 El chofer se presenta 20:50hs, tubo un retraso por el accidente de paso las carretas. Chofer revisa la bodega y el guarda corta los boletos, salimos rápidamente 21:00hs salimos de terminal, cuando entramos al acceso sur comienza el video y se sirve el café, no hay jabón en el baño, el viaje es placentero. No frenamos en Eugenio Bustos y llegamos 00:00hs Perfumo la unidad una vez en Eugenio Bustos. "/>
  </r>
  <r>
    <n v="174"/>
    <s v="JG"/>
    <m/>
    <d v="2016-04-25T00:00:00"/>
    <n v="47"/>
    <s v="SR MZA"/>
    <d v="1899-12-30T10:00:00"/>
    <d v="1899-12-30T10:01:00"/>
    <n v="1167"/>
    <x v="11"/>
    <s v="si"/>
    <s v="si"/>
    <s v="si"/>
    <s v="si"/>
    <s v="si"/>
    <m/>
    <s v="si"/>
    <m/>
    <s v="no"/>
    <s v="si"/>
    <s v="si"/>
    <m/>
    <n v="115"/>
    <s v="ORTEGA, CLAUDIO DAVID"/>
    <m/>
    <m/>
    <s v="si"/>
    <m/>
    <s v="si"/>
    <s v="si"/>
    <s v="no"/>
    <s v="si"/>
    <s v="si"/>
    <s v="si"/>
    <s v="si"/>
    <s v="si"/>
    <s v="si"/>
    <s v="no"/>
    <s v="si"/>
    <s v="25/04/16 La unidad esta 15 min antes. El piso superior tiene manchas de agua en el piso. Pasajeros comentan que utilizan Iselin porque son muy puntuales y de la técnica que debe tener el chofer para regular la velocidad para llegar con la hora exacta. En parada de Toledano (10:15hs) la unidad llega y espera por 2 minutos (supongo que espera a pasajeros, como nadie apareció retoma viaje). Speech colocado correctamente. La primera parte del video institucional sin sonido. Baja y sube los Tvs al terminal las reproducciones, dejando al pasillo para una mejor circulación.  Utiliza alcohol en gel. A las 10:52hs llega agua caliente a cabina, acto que repite a las 12:15hs cuando se va ingresando a la doble vía. Perfuma dos veces. Despide desde cabina, no abre la puerta para hacerlo. Llama la atención a la joven sentada en butaca 14 que tenia colocado sus pies sobre el bar. Baño sin agua para el inodoro, si hay agua en el lavamanos. "/>
  </r>
  <r>
    <n v="175"/>
    <s v="JG"/>
    <m/>
    <d v="2016-04-25T00:00:00"/>
    <n v="56"/>
    <s v="MZA SR"/>
    <d v="1899-12-30T18:00:00"/>
    <d v="1899-12-30T18:00:00"/>
    <n v="1171"/>
    <x v="15"/>
    <s v="si"/>
    <s v="si"/>
    <s v="si"/>
    <s v="no"/>
    <s v="si"/>
    <m/>
    <s v="no"/>
    <m/>
    <s v="no"/>
    <s v="si"/>
    <s v="si"/>
    <m/>
    <n v="1285"/>
    <s v="CORREA, SERGIO ANTONIO"/>
    <m/>
    <m/>
    <s v="si"/>
    <s v="si"/>
    <s v="si"/>
    <s v="si"/>
    <s v="no"/>
    <s v="si"/>
    <s v="si"/>
    <s v="si"/>
    <s v="si"/>
    <s v="si"/>
    <s v="si"/>
    <s v="si"/>
    <s v="si"/>
    <s v="25/04/16 La unidad esta 15 min antes. Azafata recibe a pasajeros, chofer a boletería, no se vigila la bodega en ninguna oportunidad. El cartel luminoso de destino se encuentra apagado. El speech se coloca correctamente. Se ofrece y se sirve el catering respetando el instructivo. Utiliza alcohol en gel. Video Institucional y película con volúmenes verificados, aunque la película se corta varias veces (imagen congelada). A las 19:46hs la azafata llena dos vasos con agua caliente de la cafetera del piso inferior y se los lleva a cabina. Perfuma dos veces. Bajo los Tvs para las reproducciones pero luego no los subió al terminal al película. La chicharra suena en unas 10 oportunidades, suena por unos segundos y se nota que el chofer disminuye la velocidad para que deje de sonar."/>
  </r>
  <r>
    <n v="176"/>
    <s v="NG"/>
    <m/>
    <d v="2016-04-26T00:00:00"/>
    <n v="44"/>
    <s v="SR MGUE"/>
    <d v="1899-12-30T20:00:00"/>
    <d v="1899-12-30T20:00:00"/>
    <n v="1169"/>
    <x v="6"/>
    <s v="si"/>
    <s v="si"/>
    <s v="si"/>
    <s v="si"/>
    <s v="si"/>
    <m/>
    <s v="si"/>
    <m/>
    <s v="no"/>
    <s v="no"/>
    <s v="si"/>
    <m/>
    <n v="1239"/>
    <s v="BENSI, ENZO PEDRO"/>
    <m/>
    <m/>
    <s v="si"/>
    <s v="no"/>
    <s v="si"/>
    <s v="si"/>
    <s v="no"/>
    <s v="no"/>
    <s v="si"/>
    <s v="si"/>
    <s v="si"/>
    <s v="si"/>
    <s v="si"/>
    <s v="si"/>
    <s v="si"/>
    <s v="26/04/16 El coche llega 10 minutos tarde a terminal, chofer se para en la bodega y el guarda corta los boletos es muy atento, el coche esta limpio, hay jabón y alcohol. En Amapola baja una Sra. La temperatura es agradable, en estación YPF sube un pasajero y comienza el video, se sirve el café correctamente. Perfumo la unidad 1 vez. Las pantallas estaban abajo. Llegamos 22:40hs a terminal Malargüe. "/>
  </r>
  <r>
    <n v="177"/>
    <s v="NG"/>
    <m/>
    <d v="2016-04-26T00:00:00"/>
    <n v="44"/>
    <s v="MGUE SR"/>
    <d v="1899-12-30T07:45:00"/>
    <d v="1899-12-30T08:00:00"/>
    <n v="1169"/>
    <x v="6"/>
    <s v="si"/>
    <s v="si"/>
    <s v="si"/>
    <s v="si"/>
    <s v="si"/>
    <m/>
    <s v="si"/>
    <m/>
    <s v="no"/>
    <s v="no"/>
    <s v="si"/>
    <m/>
    <n v="1239"/>
    <s v="BENSI, ENZO PEDRO"/>
    <m/>
    <m/>
    <s v="si"/>
    <m/>
    <s v="si"/>
    <s v="si"/>
    <s v="no"/>
    <s v="no"/>
    <s v="si"/>
    <s v="si"/>
    <s v="si"/>
    <s v="si"/>
    <s v="si"/>
    <s v="si"/>
    <s v="si"/>
    <s v="27/04/16 El chofer llega a plataforma 7:45hs el guarda (de bigote) abre la bodega y empieza a cargar el equipaje, el chofer corta boletos, subimos todos, salimos 7:58hs de la terminal. Las pantallas estaban abajo. A las 8:05hs sirve el café, muy amablemente, perfumo dos veces preguntando por la temperatura (hace mucho frio -5°).  Baja gente en el Sosneado, los parlamentos y en un puesto. Llegamos 10:40hs a terminal. "/>
  </r>
  <r>
    <n v="178"/>
    <s v="NG"/>
    <m/>
    <d v="2016-04-29T00:00:00"/>
    <n v="46"/>
    <s v="SR MZA"/>
    <d v="1899-12-30T07:00:00"/>
    <d v="1899-12-30T07:01:00"/>
    <n v="1123"/>
    <x v="17"/>
    <s v="si"/>
    <s v="si"/>
    <s v="si"/>
    <s v="si"/>
    <s v="si"/>
    <m/>
    <s v="si"/>
    <m/>
    <s v="no"/>
    <s v="no"/>
    <s v="si"/>
    <m/>
    <n v="54"/>
    <s v="BIBANCO, CYNTHIA DANIELA"/>
    <m/>
    <m/>
    <s v="si"/>
    <s v="si"/>
    <s v="si"/>
    <s v="si"/>
    <s v="no"/>
    <s v="no"/>
    <s v="si"/>
    <s v="si"/>
    <s v="si"/>
    <s v="si"/>
    <m/>
    <s v="si"/>
    <s v="si"/>
    <s v="29/04/16 Coche limpio. 6:45hs en plataforma, azafata morocha, hay alcohol y jabón, baño limpio. Chofer y azafata en la puerta del coche, corta boleto. Suben dos policías. Salimos 7:01hs. El audio comienza en Montoya pero se corta. 8:45hs en Eugenio Bustos. Calefacción muy fuerte, hace mucho calor en el coche. Perfumo dos veces. Llegamos 10:04hs. Sirve muy atentamente el café. "/>
  </r>
  <r>
    <n v="179"/>
    <s v="NG"/>
    <m/>
    <d v="2016-04-29T00:00:00"/>
    <n v="42"/>
    <s v="MZA SR"/>
    <d v="1899-12-30T15:00:00"/>
    <d v="1899-12-30T15:03:00"/>
    <n v="1028"/>
    <x v="8"/>
    <s v="si"/>
    <s v="si"/>
    <s v="si"/>
    <s v="si"/>
    <s v="si"/>
    <m/>
    <s v="si"/>
    <m/>
    <s v="no"/>
    <s v="no"/>
    <s v="si"/>
    <m/>
    <n v="1222"/>
    <s v="TAPIA, CLAUDIO CESAR"/>
    <m/>
    <m/>
    <s v="si"/>
    <m/>
    <s v="si"/>
    <s v="si"/>
    <s v="no"/>
    <s v="no"/>
    <s v="si"/>
    <s v="si"/>
    <s v="si"/>
    <s v="si"/>
    <s v="si"/>
    <s v="si"/>
    <s v="si"/>
    <s v="29/04/16 Coche ni plataforma 14:48hs chofer pelado y guarda hombre mayor y gordito. En la puerta el guarda cortando boletos y el chofer charla con un chico. Coche limpio, buen aroma, baño limpio con jabón. Chofer revisa la bodega y salimos, las pantallas están abajo. Audio y video bien. Guarda sirve bien, perfuma tres veces. Llegamos 18:12hs. "/>
  </r>
  <r>
    <n v="180"/>
    <s v="JG"/>
    <m/>
    <d v="2016-05-02T00:00:00"/>
    <n v="46"/>
    <s v="SR MZA"/>
    <d v="1899-12-30T07:00:00"/>
    <d v="1899-12-30T07:03:00"/>
    <n v="1123"/>
    <x v="17"/>
    <s v="si"/>
    <s v="si"/>
    <s v="si"/>
    <s v="si"/>
    <s v="si"/>
    <m/>
    <s v="si"/>
    <m/>
    <s v="si"/>
    <s v="no"/>
    <s v="si"/>
    <m/>
    <n v="1137"/>
    <s v="MARTINEZ, GONZALO ALFREDO"/>
    <m/>
    <m/>
    <s v="si"/>
    <m/>
    <s v="si"/>
    <s v="si"/>
    <s v="no"/>
    <s v="no"/>
    <s v="si"/>
    <s v="si"/>
    <s v="si"/>
    <s v="si"/>
    <m/>
    <s v="si"/>
    <s v="si"/>
    <s v="02/05/16 La unidad esta 15 min antes. El coche 109 tiene cartelería indicando refuerzo. Chofer (Martínez) y guarda (Bravo) reciben juntos, atentos saludan, comunican numero de butaca y piso. Apuran a algunos pasajeros a subir, aparentemente estaban fumando. Speech colocado correctamente y el audio es verificado. El catering es ofrecido y servido de manera atenta y siguiendo el instructivo. A las 8:15hs aprox. la unidad se hace a un costado de la ruta por 1 min aprox. Guarda perfuma dos veces y sirve agua mineral frente al pasajero. No utiliza alcohol en gel. Al llegar a San Carlos un pasajero pide bajar frente a la YPF el guarda le dice que no es parada pero lo dejan bajar alli. En TSC cambian de lugar, el nuevo guarda (Martínez) agarra unos paquetes de galletas y se los da a alguien fuera de la unidad en la terminal que no alcanzo a ver. No perfuma. Habla por teléfono en una ocasión. Despide amable. Al llegar a TMza se vigila la bodega. Baño en condiciones. "/>
  </r>
  <r>
    <n v="181"/>
    <s v="NG"/>
    <m/>
    <d v="2016-05-02T00:00:00"/>
    <n v="44"/>
    <s v="SR MZA"/>
    <d v="1899-12-30T10:00:00"/>
    <d v="1899-12-30T10:06:00"/>
    <n v="1187"/>
    <x v="23"/>
    <s v="si"/>
    <s v="si"/>
    <s v="si"/>
    <s v="si"/>
    <s v="si"/>
    <m/>
    <s v="si"/>
    <m/>
    <s v="no"/>
    <s v="no"/>
    <s v="si"/>
    <m/>
    <n v="54"/>
    <s v="BIBANCO, CYNTHIA DANIELA"/>
    <m/>
    <m/>
    <s v="si"/>
    <s v="no"/>
    <s v="si"/>
    <s v="no"/>
    <s v="no"/>
    <s v="si"/>
    <s v="si"/>
    <s v="si"/>
    <s v="si"/>
    <s v="si"/>
    <s v="si"/>
    <s v="si"/>
    <s v="si"/>
    <s v="02/05/16 Coche 9:45hs en plataforma. Chofer y azafata en la puerta cortan boletos e indican el lugar, coche limpio. Con jabón y alcohol. El coche va lleno. El audio se escucha bien y comienza en las paredes. El café se sirve después del Cristo. Pregunta por la temperatura. El viaje agradable. Llegamos 11:45hs a E. Bustos. Perfumo dos veces. 13:15hs en terminal. "/>
  </r>
  <r>
    <n v="182"/>
    <s v="JG"/>
    <m/>
    <d v="2016-05-02T00:00:00"/>
    <n v="44"/>
    <s v="MZA SR"/>
    <d v="1899-12-30T15:00:00"/>
    <d v="1899-12-30T15:00:00"/>
    <n v="1187"/>
    <x v="23"/>
    <s v="si"/>
    <s v="si"/>
    <s v="si"/>
    <s v="no"/>
    <s v="si"/>
    <m/>
    <s v="si"/>
    <m/>
    <s v="no"/>
    <s v="si"/>
    <s v="si"/>
    <m/>
    <n v="54"/>
    <s v="BIBANCO, CYNTHIA DANIELA"/>
    <m/>
    <m/>
    <s v="si"/>
    <s v="si"/>
    <s v="si"/>
    <s v="si"/>
    <s v="si"/>
    <s v="si"/>
    <s v="si"/>
    <s v="si"/>
    <s v="si"/>
    <s v="no"/>
    <s v="si"/>
    <s v="si"/>
    <s v="si"/>
    <s v="02/05/16 La unidad llega 15 min antes. La azafata recibe a pasajeros, chofer va hacia boletería y luego la acompaña, no vigila la bodega en ninguna oportunidad. Deja en cabina tres alfajores. Speech ingresando a la doble vía, luego azafata reparte el catering y en Azcuénaga suben pasajeros. Sirve el refrigerio según instructivo. Les sirve el catering a todos los que suben en Tunuyán y San Carlos. Consumen algo, no alcanzo a ver que pero al subir las escalera luego de visualizar el baño y corroborar que no hay agua disponible para el inodoro, azafata tira algo dentro de la bolsa de residuos que lleva abierta a su lado., luego de llegar a TSC veo al chofer con un equipo de mate. Viaje agradable con la excepción de la subida en TSC de la entrada hacia la dársena fue muy brusca. haciendo mecer bastante a la unidad. V. Institucional y película con sonidos verificados. Luego de reproducir el speech de llegada por la YPF y la ruta 143 se comienza a escuchar la radio por altavoz. "/>
  </r>
  <r>
    <n v="183"/>
    <s v="NG"/>
    <m/>
    <d v="2016-05-02T00:00:00"/>
    <n v="43"/>
    <s v="MZA SR"/>
    <d v="1899-12-30T20:15:00"/>
    <d v="1899-12-30T20:17:00"/>
    <n v="1190"/>
    <x v="4"/>
    <s v="si"/>
    <s v="si"/>
    <s v="si"/>
    <s v="no"/>
    <s v="si"/>
    <m/>
    <s v="si"/>
    <m/>
    <s v="no"/>
    <s v="no"/>
    <s v="si"/>
    <m/>
    <n v="91"/>
    <s v="UBILLOS, JOANA MIRTA SOLEDAD"/>
    <m/>
    <m/>
    <s v="si"/>
    <s v="no"/>
    <s v="si"/>
    <s v="si"/>
    <s v="no"/>
    <s v="no"/>
    <s v="si"/>
    <s v="si"/>
    <s v="si"/>
    <s v="si"/>
    <s v="si"/>
    <s v="si"/>
    <s v="si"/>
    <s v="02/05/16 Coche en plataforma 20:00  azafata de anteojos revisa los pasajes y corta boletos sola, el chofer aparece antes de salir. El coche esta limpio y de buen aroma. El audio empieza en la terminal, se escucho bien. Película sin sonido. Azafata sirve muy bien el café, perfumo dos veces, viaje tranquilo. Llegamos 23:25 a terminal. "/>
  </r>
  <r>
    <n v="184"/>
    <s v="JG"/>
    <m/>
    <d v="2016-05-03T00:00:00"/>
    <n v="47"/>
    <s v="SR MZA"/>
    <d v="1899-12-30T13:00:00"/>
    <d v="1899-12-30T13:01:00"/>
    <n v="1147"/>
    <x v="20"/>
    <s v="si"/>
    <s v="si"/>
    <s v="si"/>
    <s v="si"/>
    <s v="si"/>
    <m/>
    <s v="si"/>
    <m/>
    <s v="no"/>
    <s v="si"/>
    <s v="si"/>
    <m/>
    <n v="1155"/>
    <s v="CASTILLA, ANDRES ANGEL"/>
    <m/>
    <m/>
    <s v="si"/>
    <m/>
    <s v="si"/>
    <s v="si"/>
    <s v="si"/>
    <s v="si"/>
    <s v="si"/>
    <s v="si"/>
    <s v="no"/>
    <s v="si"/>
    <s v="si"/>
    <s v="si"/>
    <s v="si"/>
    <s v="03/05/16 La unidad llega 10 min antes del horario de salida. El guarda (Castilla Andrés) se encarga de los elementos del catering mientras que el chofer (Valenzuela Mario) recibe a los pasajeros saluda y comunica numero de butaca no así el piso. Speech colocado correctamente; V, Institucional y película con audios verificados. El catering se ofreció y sirvió de forma correcta, siendo amable, respondiendo a consultas sobre paradas. Saliendo de TSR por calle BS As guarda llena un vaso con agua caliente y lo lleva a cabina; a las 14:10hs se puede oír que comen (hablan con la boca llena) y abren una gaseosa. En uno de los Zanjones antes de llegar a la Tosca aprox, un camión con manzanas a volcado parte de sus cajones sobre la ruta, deben frenar para sacar algunos de la ruta y pasar. A las 15:07hs ocurre un incidente en Tunuyán al parecer cuando el chofer salió de la parada de la Plaza, encerró a un Corsa blanco, los ocupantes enojados luego encierran al colectivo, frenan y se bajan, golpean en varias oportunidades el parabrisas rompiéndolo (veo trizaduras y rosita) guarda (Castilla) inmediatamente va a buscar a un policía que iba al fondo de del piso superior, cuando el mismo llego a cabina estas personas (dos alcanzo a ver, personas corpulentas) se fueron, guarda (Castilla) llamo por teléfono informando lo ocurrido (no se a quien llama, si policía y empresa o solo policía) pero al llegar a Zapata policías sabían del hecho, el Corsa no había pasado por allí según la policía, choferes dicen que lo vieron desviarse por Cordón del Plata, en Zapata el policía que venia en la unidad le pasa los datos del vehículo a los uniformados de Zapata y le toman los datos  al chofer de la unidad (Valenzuela), el cual dijo que al llegar a Mza pensaba hacer la denuncia correspondiente ya que no podían demorarse porque tenían un horario de llegada a Mza que respetar. "/>
  </r>
  <r>
    <n v="185"/>
    <s v="JG"/>
    <m/>
    <d v="2016-05-03T00:00:00"/>
    <n v="45"/>
    <s v="MZA SR"/>
    <d v="1899-12-30T20:15:00"/>
    <d v="1899-12-30T20:17:00"/>
    <n v="1163"/>
    <x v="24"/>
    <s v="si"/>
    <s v="si"/>
    <s v="si"/>
    <s v="no"/>
    <s v="si"/>
    <m/>
    <s v="si"/>
    <m/>
    <s v="si"/>
    <s v="no"/>
    <s v="si"/>
    <m/>
    <n v="91"/>
    <s v="UBILLOS, JOANA MIRTA SOLEDAD"/>
    <m/>
    <m/>
    <s v="si"/>
    <s v="si"/>
    <s v="si"/>
    <s v="si"/>
    <s v="si"/>
    <s v="no"/>
    <s v="si"/>
    <s v="si"/>
    <s v="si"/>
    <s v="si"/>
    <s v="si"/>
    <s v="no"/>
    <s v="si"/>
    <s v="03/05/16 La unidad llega 15 min antes. Chofer se baja y se va hacia el baño, luego a boletería. No se vigila la bodega en ninguna oportunidad. Azafata saluda amable. Se observa una mamadera en un escalón del lado de cabina. Unidad en condiciones. Cuatro policías ingresan a la unidad, a ninguno le veo pasaje. Speech colocado correctamente con volumen verificado. catering ofrecido y servido según instructivo, sirve agua mineral a quien se lo pide frente al pasajero. Luego se siente en cabina ruido a los elementos del catering como si se estuviera preparando café. Al reproducir la película se escucha una interferencia continua por los altavoces que es muy molesto. En TSC hay una espera de 10 min aprox nadie sube o baja. A las 22:47hsel chofer hace a un lado el coche, no se el motivo pero luego apagan la calefacción y azafata le pregunta cargo sobre si esta recalentando. "/>
  </r>
  <r>
    <n v="188"/>
    <s v="N/A"/>
    <s v="N/A"/>
    <s v="N/A"/>
    <s v="N/A"/>
    <s v="N/A"/>
    <s v="N/A"/>
    <s v="N/A"/>
    <n v="1276"/>
    <x v="25"/>
    <s v="N/A"/>
    <s v="N/A"/>
    <s v="N/A"/>
    <s v="N/A"/>
    <s v="N/A"/>
    <s v="N/A"/>
    <s v="N/A"/>
    <s v="N/A"/>
    <s v="N/A"/>
    <s v="N/A"/>
    <s v="N/A"/>
    <s v="N/A"/>
    <n v="1276"/>
    <s v="ABALLAY, SERGIO GUSTAVO JAVIER"/>
    <m/>
    <m/>
    <s v="N/A"/>
    <s v="N/A"/>
    <s v="N/A"/>
    <s v="N/A"/>
    <s v="N/A"/>
    <s v="N/A"/>
    <s v="N/A"/>
    <s v="N/A"/>
    <s v="N/A"/>
    <s v="N/A"/>
    <s v="N/A"/>
    <s v="N/A"/>
    <s v="N/A"/>
    <s v="N/A"/>
  </r>
  <r>
    <s v="N/A"/>
    <s v="N/A"/>
    <s v="N/A"/>
    <s v="N/A"/>
    <s v="N/A"/>
    <s v="N/A"/>
    <s v="N/A"/>
    <s v="N/A"/>
    <n v="1312"/>
    <x v="26"/>
    <s v="N/A"/>
    <s v="N/A"/>
    <s v="N/A"/>
    <s v="N/A"/>
    <s v="N/A"/>
    <s v="N/A"/>
    <s v="N/A"/>
    <s v="N/A"/>
    <s v="N/A"/>
    <s v="N/A"/>
    <s v="N/A"/>
    <s v="N/A"/>
    <n v="1312"/>
    <s v="ALANIZ, FERNANDO PABLO"/>
    <m/>
    <m/>
    <s v="N/A"/>
    <s v="N/A"/>
    <s v="N/A"/>
    <s v="N/A"/>
    <s v="N/A"/>
    <s v="N/A"/>
    <s v="N/A"/>
    <s v="N/A"/>
    <s v="N/A"/>
    <s v="N/A"/>
    <s v="N/A"/>
    <s v="N/A"/>
    <s v="N/A"/>
    <s v="N/A"/>
  </r>
  <r>
    <s v="N/A"/>
    <s v="N/A"/>
    <s v="N/A"/>
    <s v="N/A"/>
    <s v="N/A"/>
    <s v="N/A"/>
    <s v="N/A"/>
    <s v="N/A"/>
    <n v="1281"/>
    <x v="2"/>
    <s v="N/A"/>
    <s v="N/A"/>
    <s v="N/A"/>
    <s v="N/A"/>
    <s v="N/A"/>
    <s v="N/A"/>
    <s v="N/A"/>
    <s v="N/A"/>
    <s v="N/A"/>
    <s v="N/A"/>
    <s v="N/A"/>
    <s v="N/A"/>
    <n v="1281"/>
    <s v="ALBORNOZ, OSCAR PEDRO"/>
    <m/>
    <m/>
    <s v="N/A"/>
    <s v="N/A"/>
    <s v="N/A"/>
    <s v="N/A"/>
    <s v="N/A"/>
    <s v="N/A"/>
    <s v="N/A"/>
    <s v="N/A"/>
    <s v="N/A"/>
    <s v="N/A"/>
    <s v="N/A"/>
    <s v="N/A"/>
    <s v="N/A"/>
    <s v="N/A"/>
  </r>
  <r>
    <s v="N/A"/>
    <s v="N/A"/>
    <s v="N/A"/>
    <s v="N/A"/>
    <s v="N/A"/>
    <s v="N/A"/>
    <s v="N/A"/>
    <s v="N/A"/>
    <n v="1149"/>
    <x v="27"/>
    <s v="N/A"/>
    <s v="N/A"/>
    <s v="N/A"/>
    <s v="N/A"/>
    <s v="N/A"/>
    <s v="N/A"/>
    <s v="N/A"/>
    <s v="N/A"/>
    <s v="N/A"/>
    <s v="N/A"/>
    <s v="N/A"/>
    <s v="N/A"/>
    <n v="1149"/>
    <s v="ALDAVE, RAUL IGNACIO"/>
    <m/>
    <m/>
    <s v="N/A"/>
    <s v="N/A"/>
    <s v="N/A"/>
    <s v="N/A"/>
    <s v="N/A"/>
    <s v="N/A"/>
    <s v="N/A"/>
    <s v="N/A"/>
    <s v="N/A"/>
    <s v="N/A"/>
    <s v="N/A"/>
    <s v="N/A"/>
    <s v="N/A"/>
    <s v="N/A"/>
  </r>
  <r>
    <s v="N/A"/>
    <s v="N/A"/>
    <s v="N/A"/>
    <s v="N/A"/>
    <s v="N/A"/>
    <s v="N/A"/>
    <s v="N/A"/>
    <s v="N/A"/>
    <n v="36"/>
    <x v="28"/>
    <s v="N/A"/>
    <s v="N/A"/>
    <s v="N/A"/>
    <s v="N/A"/>
    <s v="N/A"/>
    <s v="N/A"/>
    <s v="N/A"/>
    <s v="N/A"/>
    <s v="N/A"/>
    <s v="N/A"/>
    <s v="N/A"/>
    <s v="N/A"/>
    <n v="36"/>
    <s v="ARAYA, MONICA BEATRIZ"/>
    <m/>
    <m/>
    <s v="N/A"/>
    <s v="N/A"/>
    <s v="N/A"/>
    <s v="N/A"/>
    <s v="N/A"/>
    <s v="N/A"/>
    <s v="N/A"/>
    <s v="N/A"/>
    <s v="N/A"/>
    <s v="N/A"/>
    <s v="N/A"/>
    <s v="N/A"/>
    <s v="N/A"/>
    <s v="N/A"/>
  </r>
  <r>
    <s v="N/A"/>
    <s v="N/A"/>
    <s v="N/A"/>
    <s v="N/A"/>
    <s v="N/A"/>
    <s v="N/A"/>
    <s v="N/A"/>
    <s v="N/A"/>
    <n v="1239"/>
    <x v="5"/>
    <s v="N/A"/>
    <s v="N/A"/>
    <s v="N/A"/>
    <s v="N/A"/>
    <s v="N/A"/>
    <s v="N/A"/>
    <s v="N/A"/>
    <s v="N/A"/>
    <s v="N/A"/>
    <s v="N/A"/>
    <s v="N/A"/>
    <s v="N/A"/>
    <n v="1239"/>
    <s v="BENSI, ENZO PEDRO"/>
    <m/>
    <m/>
    <s v="N/A"/>
    <s v="N/A"/>
    <s v="N/A"/>
    <s v="N/A"/>
    <s v="N/A"/>
    <s v="N/A"/>
    <s v="N/A"/>
    <s v="N/A"/>
    <s v="N/A"/>
    <s v="N/A"/>
    <s v="N/A"/>
    <s v="N/A"/>
    <s v="N/A"/>
    <s v="N/A"/>
  </r>
  <r>
    <s v="N/A"/>
    <s v="N/A"/>
    <s v="N/A"/>
    <s v="N/A"/>
    <s v="N/A"/>
    <s v="N/A"/>
    <s v="N/A"/>
    <s v="N/A"/>
    <n v="54"/>
    <x v="29"/>
    <s v="N/A"/>
    <s v="N/A"/>
    <s v="N/A"/>
    <s v="N/A"/>
    <s v="N/A"/>
    <s v="N/A"/>
    <s v="N/A"/>
    <s v="N/A"/>
    <s v="N/A"/>
    <s v="N/A"/>
    <s v="N/A"/>
    <s v="N/A"/>
    <n v="54"/>
    <s v="BIBANCO, CYNTHIA DANIELA"/>
    <m/>
    <m/>
    <s v="N/A"/>
    <s v="N/A"/>
    <s v="N/A"/>
    <s v="N/A"/>
    <s v="N/A"/>
    <s v="N/A"/>
    <s v="N/A"/>
    <s v="N/A"/>
    <s v="N/A"/>
    <s v="N/A"/>
    <s v="N/A"/>
    <s v="N/A"/>
    <s v="N/A"/>
    <s v="N/A"/>
  </r>
  <r>
    <s v="N/A"/>
    <s v="N/A"/>
    <s v="N/A"/>
    <s v="N/A"/>
    <s v="N/A"/>
    <s v="N/A"/>
    <s v="N/A"/>
    <s v="N/A"/>
    <n v="53"/>
    <x v="30"/>
    <s v="N/A"/>
    <s v="N/A"/>
    <s v="N/A"/>
    <s v="N/A"/>
    <s v="N/A"/>
    <s v="N/A"/>
    <s v="N/A"/>
    <s v="N/A"/>
    <s v="N/A"/>
    <s v="N/A"/>
    <s v="N/A"/>
    <s v="N/A"/>
    <n v="53"/>
    <s v="BIELLI, ELINA"/>
    <m/>
    <m/>
    <s v="N/A"/>
    <s v="N/A"/>
    <s v="N/A"/>
    <s v="N/A"/>
    <s v="N/A"/>
    <s v="N/A"/>
    <s v="N/A"/>
    <s v="N/A"/>
    <s v="N/A"/>
    <s v="N/A"/>
    <s v="N/A"/>
    <s v="N/A"/>
    <s v="N/A"/>
    <s v="N/A"/>
  </r>
  <r>
    <s v="N/A"/>
    <s v="N/A"/>
    <s v="N/A"/>
    <s v="N/A"/>
    <s v="N/A"/>
    <s v="N/A"/>
    <s v="N/A"/>
    <s v="N/A"/>
    <n v="1123"/>
    <x v="17"/>
    <s v="N/A"/>
    <s v="N/A"/>
    <s v="N/A"/>
    <s v="N/A"/>
    <s v="N/A"/>
    <s v="N/A"/>
    <s v="N/A"/>
    <s v="N/A"/>
    <s v="N/A"/>
    <s v="N/A"/>
    <s v="N/A"/>
    <s v="N/A"/>
    <n v="1123"/>
    <s v="BRAVO, MARCELO CONRADO"/>
    <m/>
    <m/>
    <s v="N/A"/>
    <s v="N/A"/>
    <s v="N/A"/>
    <s v="N/A"/>
    <s v="N/A"/>
    <s v="N/A"/>
    <s v="N/A"/>
    <s v="N/A"/>
    <s v="N/A"/>
    <s v="N/A"/>
    <s v="N/A"/>
    <s v="N/A"/>
    <s v="N/A"/>
    <s v="N/A"/>
  </r>
  <r>
    <s v="N/A"/>
    <s v="N/A"/>
    <s v="N/A"/>
    <s v="N/A"/>
    <s v="N/A"/>
    <s v="N/A"/>
    <s v="N/A"/>
    <s v="N/A"/>
    <n v="1293"/>
    <x v="12"/>
    <s v="N/A"/>
    <s v="N/A"/>
    <s v="N/A"/>
    <s v="N/A"/>
    <s v="N/A"/>
    <s v="N/A"/>
    <s v="N/A"/>
    <s v="N/A"/>
    <s v="N/A"/>
    <s v="N/A"/>
    <s v="N/A"/>
    <s v="N/A"/>
    <n v="1293"/>
    <s v="BUTTINI, JOSE LUIS"/>
    <m/>
    <m/>
    <s v="N/A"/>
    <s v="N/A"/>
    <s v="N/A"/>
    <s v="N/A"/>
    <s v="N/A"/>
    <s v="N/A"/>
    <s v="N/A"/>
    <s v="N/A"/>
    <s v="N/A"/>
    <s v="N/A"/>
    <s v="N/A"/>
    <s v="N/A"/>
    <s v="N/A"/>
    <s v="N/A"/>
  </r>
  <r>
    <s v="N/A"/>
    <s v="N/A"/>
    <s v="N/A"/>
    <s v="N/A"/>
    <s v="N/A"/>
    <s v="N/A"/>
    <s v="N/A"/>
    <s v="N/A"/>
    <n v="1248"/>
    <x v="31"/>
    <s v="N/A"/>
    <s v="N/A"/>
    <s v="N/A"/>
    <s v="N/A"/>
    <s v="N/A"/>
    <s v="N/A"/>
    <s v="N/A"/>
    <s v="N/A"/>
    <s v="N/A"/>
    <s v="N/A"/>
    <s v="N/A"/>
    <s v="N/A"/>
    <n v="1248"/>
    <s v="CAMPOS, GABRIEL MARCELO"/>
    <m/>
    <m/>
    <s v="N/A"/>
    <s v="N/A"/>
    <s v="N/A"/>
    <s v="N/A"/>
    <s v="N/A"/>
    <s v="N/A"/>
    <s v="N/A"/>
    <s v="N/A"/>
    <s v="N/A"/>
    <s v="N/A"/>
    <s v="N/A"/>
    <s v="N/A"/>
    <s v="N/A"/>
    <s v="N/A"/>
  </r>
  <r>
    <s v="N/A"/>
    <s v="N/A"/>
    <s v="N/A"/>
    <s v="N/A"/>
    <s v="N/A"/>
    <s v="N/A"/>
    <s v="N/A"/>
    <s v="N/A"/>
    <n v="1155"/>
    <x v="0"/>
    <s v="N/A"/>
    <s v="N/A"/>
    <s v="N/A"/>
    <s v="N/A"/>
    <s v="N/A"/>
    <s v="N/A"/>
    <s v="N/A"/>
    <s v="N/A"/>
    <s v="N/A"/>
    <s v="N/A"/>
    <s v="N/A"/>
    <s v="N/A"/>
    <n v="1155"/>
    <s v="CASTILLA, ANDRES ANGEL"/>
    <m/>
    <m/>
    <s v="N/A"/>
    <s v="N/A"/>
    <s v="N/A"/>
    <s v="N/A"/>
    <s v="N/A"/>
    <s v="N/A"/>
    <s v="N/A"/>
    <s v="N/A"/>
    <s v="N/A"/>
    <s v="N/A"/>
    <s v="N/A"/>
    <s v="N/A"/>
    <s v="N/A"/>
    <s v="N/A"/>
  </r>
  <r>
    <s v="N/A"/>
    <s v="N/A"/>
    <s v="N/A"/>
    <s v="N/A"/>
    <s v="N/A"/>
    <s v="N/A"/>
    <s v="N/A"/>
    <s v="N/A"/>
    <n v="78"/>
    <x v="32"/>
    <s v="N/A"/>
    <s v="N/A"/>
    <s v="N/A"/>
    <s v="N/A"/>
    <s v="N/A"/>
    <s v="N/A"/>
    <s v="N/A"/>
    <s v="N/A"/>
    <s v="N/A"/>
    <s v="N/A"/>
    <s v="N/A"/>
    <s v="N/A"/>
    <n v="78"/>
    <s v="CORNEJO, MARIA SOLEDAD"/>
    <m/>
    <m/>
    <s v="N/A"/>
    <s v="N/A"/>
    <s v="N/A"/>
    <s v="N/A"/>
    <s v="N/A"/>
    <s v="N/A"/>
    <s v="N/A"/>
    <s v="N/A"/>
    <s v="N/A"/>
    <s v="N/A"/>
    <s v="N/A"/>
    <s v="N/A"/>
    <s v="N/A"/>
    <s v="N/A"/>
  </r>
  <r>
    <s v="N/A"/>
    <s v="N/A"/>
    <s v="N/A"/>
    <s v="N/A"/>
    <s v="N/A"/>
    <s v="N/A"/>
    <s v="N/A"/>
    <s v="N/A"/>
    <n v="1288"/>
    <x v="18"/>
    <s v="N/A"/>
    <s v="N/A"/>
    <s v="N/A"/>
    <s v="N/A"/>
    <s v="N/A"/>
    <s v="N/A"/>
    <s v="N/A"/>
    <s v="N/A"/>
    <s v="N/A"/>
    <s v="N/A"/>
    <s v="N/A"/>
    <s v="N/A"/>
    <n v="1288"/>
    <s v="CORREA, MARIO ERNESTO"/>
    <m/>
    <m/>
    <s v="N/A"/>
    <s v="N/A"/>
    <s v="N/A"/>
    <s v="N/A"/>
    <s v="N/A"/>
    <s v="N/A"/>
    <s v="N/A"/>
    <s v="N/A"/>
    <s v="N/A"/>
    <s v="N/A"/>
    <s v="N/A"/>
    <s v="N/A"/>
    <s v="N/A"/>
    <s v="N/A"/>
  </r>
  <r>
    <s v="N/A"/>
    <s v="N/A"/>
    <s v="N/A"/>
    <s v="N/A"/>
    <s v="N/A"/>
    <s v="N/A"/>
    <s v="N/A"/>
    <s v="N/A"/>
    <n v="1285"/>
    <x v="19"/>
    <s v="N/A"/>
    <s v="N/A"/>
    <s v="N/A"/>
    <s v="N/A"/>
    <s v="N/A"/>
    <s v="N/A"/>
    <s v="N/A"/>
    <s v="N/A"/>
    <s v="N/A"/>
    <s v="N/A"/>
    <s v="N/A"/>
    <s v="N/A"/>
    <n v="1285"/>
    <s v="CORREA, SERGIO ANTONIO"/>
    <m/>
    <m/>
    <s v="N/A"/>
    <s v="N/A"/>
    <s v="N/A"/>
    <s v="N/A"/>
    <s v="N/A"/>
    <s v="N/A"/>
    <s v="N/A"/>
    <s v="N/A"/>
    <s v="N/A"/>
    <s v="N/A"/>
    <s v="N/A"/>
    <s v="N/A"/>
    <s v="N/A"/>
    <s v="N/A"/>
  </r>
  <r>
    <s v="N/A"/>
    <s v="N/A"/>
    <s v="N/A"/>
    <s v="N/A"/>
    <s v="N/A"/>
    <s v="N/A"/>
    <s v="N/A"/>
    <s v="N/A"/>
    <n v="1282"/>
    <x v="33"/>
    <s v="N/A"/>
    <s v="N/A"/>
    <s v="N/A"/>
    <s v="N/A"/>
    <s v="N/A"/>
    <s v="N/A"/>
    <s v="N/A"/>
    <s v="N/A"/>
    <s v="N/A"/>
    <s v="N/A"/>
    <s v="N/A"/>
    <s v="N/A"/>
    <n v="1282"/>
    <s v="CRUZATE, SERGIO SEBASTIAN"/>
    <m/>
    <m/>
    <s v="N/A"/>
    <s v="N/A"/>
    <s v="N/A"/>
    <s v="N/A"/>
    <s v="N/A"/>
    <s v="N/A"/>
    <s v="N/A"/>
    <s v="N/A"/>
    <s v="N/A"/>
    <s v="N/A"/>
    <s v="N/A"/>
    <s v="N/A"/>
    <s v="N/A"/>
    <s v="N/A"/>
  </r>
  <r>
    <s v="N/A"/>
    <s v="N/A"/>
    <s v="N/A"/>
    <s v="N/A"/>
    <s v="N/A"/>
    <s v="N/A"/>
    <s v="N/A"/>
    <s v="N/A"/>
    <n v="1028"/>
    <x v="8"/>
    <s v="N/A"/>
    <s v="N/A"/>
    <s v="N/A"/>
    <s v="N/A"/>
    <s v="N/A"/>
    <s v="N/A"/>
    <s v="N/A"/>
    <s v="N/A"/>
    <s v="N/A"/>
    <s v="N/A"/>
    <s v="N/A"/>
    <s v="N/A"/>
    <n v="1028"/>
    <s v="ESPASANDIN, ISAIAS PEDRO"/>
    <m/>
    <m/>
    <s v="N/A"/>
    <s v="N/A"/>
    <s v="N/A"/>
    <s v="N/A"/>
    <s v="N/A"/>
    <s v="N/A"/>
    <s v="N/A"/>
    <s v="N/A"/>
    <s v="N/A"/>
    <s v="N/A"/>
    <s v="N/A"/>
    <s v="N/A"/>
    <s v="N/A"/>
    <s v="N/A"/>
  </r>
  <r>
    <s v="N/A"/>
    <s v="N/A"/>
    <s v="N/A"/>
    <s v="N/A"/>
    <s v="N/A"/>
    <s v="N/A"/>
    <s v="N/A"/>
    <s v="N/A"/>
    <n v="1143"/>
    <x v="21"/>
    <s v="N/A"/>
    <s v="N/A"/>
    <s v="N/A"/>
    <s v="N/A"/>
    <s v="N/A"/>
    <s v="N/A"/>
    <s v="N/A"/>
    <s v="N/A"/>
    <s v="N/A"/>
    <s v="N/A"/>
    <s v="N/A"/>
    <s v="N/A"/>
    <n v="1143"/>
    <s v="FORTE, MARIO LUIS"/>
    <m/>
    <m/>
    <s v="N/A"/>
    <s v="N/A"/>
    <s v="N/A"/>
    <s v="N/A"/>
    <s v="N/A"/>
    <s v="N/A"/>
    <s v="N/A"/>
    <s v="N/A"/>
    <s v="N/A"/>
    <s v="N/A"/>
    <s v="N/A"/>
    <s v="N/A"/>
    <s v="N/A"/>
    <s v="N/A"/>
  </r>
  <r>
    <s v="N/A"/>
    <s v="N/A"/>
    <s v="N/A"/>
    <s v="N/A"/>
    <s v="N/A"/>
    <s v="N/A"/>
    <s v="N/A"/>
    <s v="N/A"/>
    <n v="1045"/>
    <x v="10"/>
    <s v="N/A"/>
    <s v="N/A"/>
    <s v="N/A"/>
    <s v="N/A"/>
    <s v="N/A"/>
    <s v="N/A"/>
    <s v="N/A"/>
    <s v="N/A"/>
    <s v="N/A"/>
    <s v="N/A"/>
    <s v="N/A"/>
    <s v="N/A"/>
    <n v="1045"/>
    <s v="FUNCIA, ALBERTO RODOLFO"/>
    <m/>
    <m/>
    <s v="N/A"/>
    <s v="N/A"/>
    <s v="N/A"/>
    <s v="N/A"/>
    <s v="N/A"/>
    <s v="N/A"/>
    <s v="N/A"/>
    <s v="N/A"/>
    <s v="N/A"/>
    <s v="N/A"/>
    <s v="N/A"/>
    <s v="N/A"/>
    <s v="N/A"/>
    <s v="N/A"/>
  </r>
  <r>
    <s v="N/A"/>
    <s v="N/A"/>
    <s v="N/A"/>
    <s v="N/A"/>
    <s v="N/A"/>
    <s v="N/A"/>
    <s v="N/A"/>
    <s v="N/A"/>
    <n v="1145"/>
    <x v="34"/>
    <s v="N/A"/>
    <s v="N/A"/>
    <s v="N/A"/>
    <s v="N/A"/>
    <s v="N/A"/>
    <s v="N/A"/>
    <s v="N/A"/>
    <s v="N/A"/>
    <s v="N/A"/>
    <s v="N/A"/>
    <s v="N/A"/>
    <s v="N/A"/>
    <n v="1145"/>
    <s v="GALDEANO, CESAR EDGARDO"/>
    <m/>
    <m/>
    <s v="N/A"/>
    <s v="N/A"/>
    <s v="N/A"/>
    <s v="N/A"/>
    <s v="N/A"/>
    <s v="N/A"/>
    <s v="N/A"/>
    <s v="N/A"/>
    <s v="N/A"/>
    <s v="N/A"/>
    <s v="N/A"/>
    <s v="N/A"/>
    <s v="N/A"/>
    <s v="N/A"/>
  </r>
  <r>
    <s v="N/A"/>
    <s v="N/A"/>
    <s v="N/A"/>
    <s v="N/A"/>
    <s v="N/A"/>
    <s v="N/A"/>
    <s v="N/A"/>
    <s v="N/A"/>
    <n v="1175"/>
    <x v="3"/>
    <s v="N/A"/>
    <s v="N/A"/>
    <s v="N/A"/>
    <s v="N/A"/>
    <s v="N/A"/>
    <s v="N/A"/>
    <s v="N/A"/>
    <s v="N/A"/>
    <s v="N/A"/>
    <s v="N/A"/>
    <s v="N/A"/>
    <s v="N/A"/>
    <n v="1175"/>
    <s v="GARRIDO, JOSE ALBERTO"/>
    <m/>
    <m/>
    <s v="N/A"/>
    <s v="N/A"/>
    <s v="N/A"/>
    <s v="N/A"/>
    <s v="N/A"/>
    <s v="N/A"/>
    <s v="N/A"/>
    <s v="N/A"/>
    <s v="N/A"/>
    <s v="N/A"/>
    <s v="N/A"/>
    <s v="N/A"/>
    <s v="N/A"/>
    <s v="N/A"/>
  </r>
  <r>
    <s v="N/A"/>
    <s v="N/A"/>
    <s v="N/A"/>
    <s v="N/A"/>
    <s v="N/A"/>
    <s v="N/A"/>
    <s v="N/A"/>
    <s v="N/A"/>
    <n v="1232"/>
    <x v="14"/>
    <s v="N/A"/>
    <s v="N/A"/>
    <s v="N/A"/>
    <s v="N/A"/>
    <s v="N/A"/>
    <s v="N/A"/>
    <s v="N/A"/>
    <s v="N/A"/>
    <s v="N/A"/>
    <s v="N/A"/>
    <s v="N/A"/>
    <s v="N/A"/>
    <n v="1232"/>
    <s v="GONZALEZ, JORGE DAVID"/>
    <m/>
    <m/>
    <s v="N/A"/>
    <s v="N/A"/>
    <s v="N/A"/>
    <s v="N/A"/>
    <s v="N/A"/>
    <s v="N/A"/>
    <s v="N/A"/>
    <s v="N/A"/>
    <s v="N/A"/>
    <s v="N/A"/>
    <s v="N/A"/>
    <s v="N/A"/>
    <s v="N/A"/>
    <s v="N/A"/>
  </r>
  <r>
    <s v="N/A"/>
    <s v="N/A"/>
    <s v="N/A"/>
    <s v="N/A"/>
    <s v="N/A"/>
    <s v="N/A"/>
    <s v="N/A"/>
    <s v="N/A"/>
    <n v="1190"/>
    <x v="4"/>
    <s v="N/A"/>
    <s v="N/A"/>
    <s v="N/A"/>
    <s v="N/A"/>
    <s v="N/A"/>
    <s v="N/A"/>
    <s v="N/A"/>
    <s v="N/A"/>
    <s v="N/A"/>
    <s v="N/A"/>
    <s v="N/A"/>
    <s v="N/A"/>
    <n v="1190"/>
    <s v="JOVIC, FERNANDO JAVIER"/>
    <m/>
    <m/>
    <s v="N/A"/>
    <s v="N/A"/>
    <s v="N/A"/>
    <s v="N/A"/>
    <s v="N/A"/>
    <s v="N/A"/>
    <s v="N/A"/>
    <s v="N/A"/>
    <s v="N/A"/>
    <s v="N/A"/>
    <s v="N/A"/>
    <s v="N/A"/>
    <s v="N/A"/>
    <s v="N/A"/>
  </r>
  <r>
    <s v="N/A"/>
    <s v="N/A"/>
    <s v="N/A"/>
    <s v="N/A"/>
    <s v="N/A"/>
    <s v="N/A"/>
    <s v="N/A"/>
    <s v="N/A"/>
    <n v="57"/>
    <x v="35"/>
    <s v="N/A"/>
    <s v="N/A"/>
    <s v="N/A"/>
    <s v="N/A"/>
    <s v="N/A"/>
    <s v="N/A"/>
    <s v="N/A"/>
    <s v="N/A"/>
    <s v="N/A"/>
    <s v="N/A"/>
    <s v="N/A"/>
    <s v="N/A"/>
    <n v="57"/>
    <s v="JUAREZ, NANCY ELIZABETH"/>
    <m/>
    <m/>
    <s v="N/A"/>
    <s v="N/A"/>
    <s v="N/A"/>
    <s v="N/A"/>
    <s v="N/A"/>
    <s v="N/A"/>
    <s v="N/A"/>
    <s v="N/A"/>
    <s v="N/A"/>
    <s v="N/A"/>
    <s v="N/A"/>
    <s v="N/A"/>
    <s v="N/A"/>
    <s v="N/A"/>
  </r>
  <r>
    <s v="N/A"/>
    <s v="N/A"/>
    <s v="N/A"/>
    <s v="N/A"/>
    <s v="N/A"/>
    <s v="N/A"/>
    <s v="N/A"/>
    <s v="N/A"/>
    <n v="1294"/>
    <x v="22"/>
    <s v="N/A"/>
    <s v="N/A"/>
    <s v="N/A"/>
    <s v="N/A"/>
    <s v="N/A"/>
    <s v="N/A"/>
    <s v="N/A"/>
    <s v="N/A"/>
    <s v="N/A"/>
    <s v="N/A"/>
    <s v="N/A"/>
    <s v="N/A"/>
    <n v="1294"/>
    <s v="MARIN, LUIS ALBERTO"/>
    <m/>
    <m/>
    <s v="N/A"/>
    <s v="N/A"/>
    <s v="N/A"/>
    <s v="N/A"/>
    <s v="N/A"/>
    <s v="N/A"/>
    <s v="N/A"/>
    <s v="N/A"/>
    <s v="N/A"/>
    <s v="N/A"/>
    <s v="N/A"/>
    <s v="N/A"/>
    <s v="N/A"/>
    <s v="N/A"/>
  </r>
  <r>
    <s v="N/A"/>
    <s v="N/A"/>
    <s v="N/A"/>
    <s v="N/A"/>
    <s v="N/A"/>
    <s v="N/A"/>
    <s v="N/A"/>
    <s v="N/A"/>
    <n v="1120"/>
    <x v="1"/>
    <s v="N/A"/>
    <s v="N/A"/>
    <s v="N/A"/>
    <s v="N/A"/>
    <s v="N/A"/>
    <s v="N/A"/>
    <s v="N/A"/>
    <s v="N/A"/>
    <s v="N/A"/>
    <s v="N/A"/>
    <s v="N/A"/>
    <s v="N/A"/>
    <n v="1120"/>
    <s v="MARIN, NESTOR"/>
    <m/>
    <m/>
    <s v="N/A"/>
    <s v="N/A"/>
    <s v="N/A"/>
    <s v="N/A"/>
    <s v="N/A"/>
    <s v="N/A"/>
    <s v="N/A"/>
    <s v="N/A"/>
    <s v="N/A"/>
    <s v="N/A"/>
    <s v="N/A"/>
    <s v="N/A"/>
    <s v="N/A"/>
    <s v="N/A"/>
  </r>
  <r>
    <s v="N/A"/>
    <s v="N/A"/>
    <s v="N/A"/>
    <s v="N/A"/>
    <s v="N/A"/>
    <s v="N/A"/>
    <s v="N/A"/>
    <s v="N/A"/>
    <n v="1137"/>
    <x v="13"/>
    <s v="N/A"/>
    <s v="N/A"/>
    <s v="N/A"/>
    <s v="N/A"/>
    <s v="N/A"/>
    <s v="N/A"/>
    <s v="N/A"/>
    <s v="N/A"/>
    <s v="N/A"/>
    <s v="N/A"/>
    <s v="N/A"/>
    <s v="N/A"/>
    <n v="1137"/>
    <s v="MARTINEZ, GONZALO ALFREDO"/>
    <m/>
    <m/>
    <s v="N/A"/>
    <s v="N/A"/>
    <s v="N/A"/>
    <s v="N/A"/>
    <s v="N/A"/>
    <s v="N/A"/>
    <s v="N/A"/>
    <s v="N/A"/>
    <s v="N/A"/>
    <s v="N/A"/>
    <s v="N/A"/>
    <s v="N/A"/>
    <s v="N/A"/>
    <s v="N/A"/>
  </r>
  <r>
    <s v="N/A"/>
    <s v="N/A"/>
    <s v="N/A"/>
    <s v="N/A"/>
    <s v="N/A"/>
    <s v="N/A"/>
    <s v="N/A"/>
    <s v="N/A"/>
    <n v="1163"/>
    <x v="24"/>
    <s v="N/A"/>
    <s v="N/A"/>
    <s v="N/A"/>
    <s v="N/A"/>
    <s v="N/A"/>
    <s v="N/A"/>
    <s v="N/A"/>
    <s v="N/A"/>
    <s v="N/A"/>
    <s v="N/A"/>
    <s v="N/A"/>
    <s v="N/A"/>
    <n v="1163"/>
    <s v="MARTINEZ, PABLO RODOLFO"/>
    <m/>
    <m/>
    <s v="N/A"/>
    <s v="N/A"/>
    <s v="N/A"/>
    <s v="N/A"/>
    <s v="N/A"/>
    <s v="N/A"/>
    <s v="N/A"/>
    <s v="N/A"/>
    <s v="N/A"/>
    <s v="N/A"/>
    <s v="N/A"/>
    <s v="N/A"/>
    <s v="N/A"/>
    <s v="N/A"/>
  </r>
  <r>
    <s v="N/A"/>
    <s v="N/A"/>
    <s v="N/A"/>
    <s v="N/A"/>
    <s v="N/A"/>
    <s v="N/A"/>
    <s v="N/A"/>
    <s v="N/A"/>
    <n v="1290"/>
    <x v="36"/>
    <s v="N/A"/>
    <s v="N/A"/>
    <s v="N/A"/>
    <s v="N/A"/>
    <s v="N/A"/>
    <s v="N/A"/>
    <s v="N/A"/>
    <s v="N/A"/>
    <s v="N/A"/>
    <s v="N/A"/>
    <s v="N/A"/>
    <s v="N/A"/>
    <n v="1290"/>
    <s v="MORALES, VICTOR HUGO"/>
    <m/>
    <m/>
    <s v="N/A"/>
    <s v="N/A"/>
    <s v="N/A"/>
    <s v="N/A"/>
    <s v="N/A"/>
    <s v="N/A"/>
    <s v="N/A"/>
    <s v="N/A"/>
    <s v="N/A"/>
    <s v="N/A"/>
    <s v="N/A"/>
    <s v="N/A"/>
    <s v="N/A"/>
    <s v="N/A"/>
  </r>
  <r>
    <s v="N/A"/>
    <s v="N/A"/>
    <s v="N/A"/>
    <s v="N/A"/>
    <s v="N/A"/>
    <s v="N/A"/>
    <s v="N/A"/>
    <s v="N/A"/>
    <n v="115"/>
    <x v="37"/>
    <s v="N/A"/>
    <s v="N/A"/>
    <s v="N/A"/>
    <s v="N/A"/>
    <s v="N/A"/>
    <s v="N/A"/>
    <s v="N/A"/>
    <s v="N/A"/>
    <s v="N/A"/>
    <s v="N/A"/>
    <s v="N/A"/>
    <s v="N/A"/>
    <n v="115"/>
    <s v="ORTEGA, CLAUDIO DAVID"/>
    <m/>
    <m/>
    <s v="N/A"/>
    <s v="N/A"/>
    <s v="N/A"/>
    <s v="N/A"/>
    <s v="N/A"/>
    <s v="N/A"/>
    <s v="N/A"/>
    <s v="N/A"/>
    <s v="N/A"/>
    <s v="N/A"/>
    <s v="N/A"/>
    <s v="N/A"/>
    <s v="N/A"/>
    <s v="N/A"/>
  </r>
  <r>
    <s v="N/A"/>
    <s v="N/A"/>
    <s v="N/A"/>
    <s v="N/A"/>
    <s v="N/A"/>
    <s v="N/A"/>
    <s v="N/A"/>
    <s v="N/A"/>
    <n v="1258"/>
    <x v="38"/>
    <s v="N/A"/>
    <s v="N/A"/>
    <s v="N/A"/>
    <s v="N/A"/>
    <s v="N/A"/>
    <s v="N/A"/>
    <s v="N/A"/>
    <s v="N/A"/>
    <s v="N/A"/>
    <s v="N/A"/>
    <s v="N/A"/>
    <s v="N/A"/>
    <n v="1258"/>
    <s v="ORTIZ, HECTOR HERNAN"/>
    <m/>
    <m/>
    <s v="N/A"/>
    <s v="N/A"/>
    <s v="N/A"/>
    <s v="N/A"/>
    <s v="N/A"/>
    <s v="N/A"/>
    <s v="N/A"/>
    <s v="N/A"/>
    <s v="N/A"/>
    <s v="N/A"/>
    <s v="N/A"/>
    <s v="N/A"/>
    <s v="N/A"/>
    <s v="N/A"/>
  </r>
  <r>
    <s v="N/A"/>
    <s v="N/A"/>
    <s v="N/A"/>
    <s v="N/A"/>
    <s v="N/A"/>
    <s v="N/A"/>
    <s v="N/A"/>
    <s v="N/A"/>
    <n v="1253"/>
    <x v="39"/>
    <s v="N/A"/>
    <s v="N/A"/>
    <s v="N/A"/>
    <s v="N/A"/>
    <s v="N/A"/>
    <s v="N/A"/>
    <s v="N/A"/>
    <s v="N/A"/>
    <s v="N/A"/>
    <s v="N/A"/>
    <s v="N/A"/>
    <s v="N/A"/>
    <n v="1253"/>
    <s v="QUISPE, CARLOS SEBASTIAN"/>
    <m/>
    <m/>
    <s v="N/A"/>
    <s v="N/A"/>
    <s v="N/A"/>
    <s v="N/A"/>
    <s v="N/A"/>
    <s v="N/A"/>
    <s v="N/A"/>
    <s v="N/A"/>
    <s v="N/A"/>
    <s v="N/A"/>
    <s v="N/A"/>
    <s v="N/A"/>
    <s v="N/A"/>
    <s v="N/A"/>
  </r>
  <r>
    <s v="N/A"/>
    <s v="N/A"/>
    <s v="N/A"/>
    <s v="N/A"/>
    <s v="N/A"/>
    <s v="N/A"/>
    <s v="N/A"/>
    <s v="N/A"/>
    <n v="1166"/>
    <x v="40"/>
    <s v="N/A"/>
    <s v="N/A"/>
    <s v="N/A"/>
    <s v="N/A"/>
    <s v="N/A"/>
    <s v="N/A"/>
    <s v="N/A"/>
    <s v="N/A"/>
    <s v="N/A"/>
    <s v="N/A"/>
    <s v="N/A"/>
    <s v="N/A"/>
    <n v="1166"/>
    <s v="REY, RAUL DAVID"/>
    <m/>
    <m/>
    <s v="N/A"/>
    <s v="N/A"/>
    <s v="N/A"/>
    <s v="N/A"/>
    <s v="N/A"/>
    <s v="N/A"/>
    <s v="N/A"/>
    <s v="N/A"/>
    <s v="N/A"/>
    <s v="N/A"/>
    <s v="N/A"/>
    <s v="N/A"/>
    <s v="N/A"/>
    <s v="N/A"/>
  </r>
  <r>
    <s v="N/A"/>
    <s v="N/A"/>
    <s v="N/A"/>
    <s v="N/A"/>
    <s v="N/A"/>
    <s v="N/A"/>
    <s v="N/A"/>
    <s v="N/A"/>
    <n v="1167"/>
    <x v="11"/>
    <s v="N/A"/>
    <s v="N/A"/>
    <s v="N/A"/>
    <s v="N/A"/>
    <s v="N/A"/>
    <s v="N/A"/>
    <s v="N/A"/>
    <s v="N/A"/>
    <s v="N/A"/>
    <s v="N/A"/>
    <s v="N/A"/>
    <s v="N/A"/>
    <n v="1167"/>
    <s v="REYES, ALEJANDRO"/>
    <m/>
    <m/>
    <s v="N/A"/>
    <s v="N/A"/>
    <s v="N/A"/>
    <s v="N/A"/>
    <s v="N/A"/>
    <s v="N/A"/>
    <s v="N/A"/>
    <s v="N/A"/>
    <s v="N/A"/>
    <s v="N/A"/>
    <s v="N/A"/>
    <s v="N/A"/>
    <s v="N/A"/>
    <s v="N/A"/>
  </r>
  <r>
    <s v="N/A"/>
    <s v="N/A"/>
    <s v="N/A"/>
    <s v="N/A"/>
    <s v="N/A"/>
    <s v="N/A"/>
    <s v="N/A"/>
    <s v="N/A"/>
    <n v="1208"/>
    <x v="9"/>
    <s v="N/A"/>
    <s v="N/A"/>
    <s v="N/A"/>
    <s v="N/A"/>
    <s v="N/A"/>
    <s v="N/A"/>
    <s v="N/A"/>
    <s v="N/A"/>
    <s v="N/A"/>
    <s v="N/A"/>
    <s v="N/A"/>
    <s v="N/A"/>
    <n v="1208"/>
    <s v="RIVAS, CESAR ADRIAN"/>
    <m/>
    <m/>
    <s v="N/A"/>
    <s v="N/A"/>
    <s v="N/A"/>
    <s v="N/A"/>
    <s v="N/A"/>
    <s v="N/A"/>
    <s v="N/A"/>
    <s v="N/A"/>
    <s v="N/A"/>
    <s v="N/A"/>
    <s v="N/A"/>
    <s v="N/A"/>
    <s v="N/A"/>
    <s v="N/A"/>
  </r>
  <r>
    <s v="N/A"/>
    <s v="N/A"/>
    <s v="N/A"/>
    <s v="N/A"/>
    <s v="N/A"/>
    <s v="N/A"/>
    <s v="N/A"/>
    <s v="N/A"/>
    <n v="1314"/>
    <x v="41"/>
    <s v="N/A"/>
    <s v="N/A"/>
    <s v="N/A"/>
    <s v="N/A"/>
    <s v="N/A"/>
    <s v="N/A"/>
    <s v="N/A"/>
    <s v="N/A"/>
    <s v="N/A"/>
    <s v="N/A"/>
    <s v="N/A"/>
    <s v="N/A"/>
    <n v="1314"/>
    <s v="RODRIGUEZ, FRANCO ANDRES"/>
    <m/>
    <m/>
    <s v="N/A"/>
    <s v="N/A"/>
    <s v="N/A"/>
    <s v="N/A"/>
    <s v="N/A"/>
    <s v="N/A"/>
    <s v="N/A"/>
    <s v="N/A"/>
    <s v="N/A"/>
    <s v="N/A"/>
    <s v="N/A"/>
    <s v="N/A"/>
    <s v="N/A"/>
    <s v="N/A"/>
  </r>
  <r>
    <s v="N/A"/>
    <s v="N/A"/>
    <s v="N/A"/>
    <s v="N/A"/>
    <s v="N/A"/>
    <s v="N/A"/>
    <s v="N/A"/>
    <s v="N/A"/>
    <n v="1308"/>
    <x v="42"/>
    <s v="N/A"/>
    <s v="N/A"/>
    <s v="N/A"/>
    <s v="N/A"/>
    <s v="N/A"/>
    <s v="N/A"/>
    <s v="N/A"/>
    <s v="N/A"/>
    <s v="N/A"/>
    <s v="N/A"/>
    <s v="N/A"/>
    <s v="N/A"/>
    <n v="1308"/>
    <s v="SANCHEZ, CARLOS MAURICIO"/>
    <m/>
    <m/>
    <s v="N/A"/>
    <s v="N/A"/>
    <s v="N/A"/>
    <s v="N/A"/>
    <s v="N/A"/>
    <s v="N/A"/>
    <s v="N/A"/>
    <s v="N/A"/>
    <s v="N/A"/>
    <s v="N/A"/>
    <s v="N/A"/>
    <s v="N/A"/>
    <s v="N/A"/>
    <s v="N/A"/>
  </r>
  <r>
    <s v="N/A"/>
    <s v="N/A"/>
    <s v="N/A"/>
    <s v="N/A"/>
    <s v="N/A"/>
    <s v="N/A"/>
    <s v="N/A"/>
    <s v="N/A"/>
    <n v="1169"/>
    <x v="6"/>
    <s v="N/A"/>
    <s v="N/A"/>
    <s v="N/A"/>
    <s v="N/A"/>
    <s v="N/A"/>
    <s v="N/A"/>
    <s v="N/A"/>
    <s v="N/A"/>
    <s v="N/A"/>
    <s v="N/A"/>
    <s v="N/A"/>
    <s v="N/A"/>
    <n v="1169"/>
    <s v="SANCHEZ, JUAN CARLOS"/>
    <m/>
    <m/>
    <s v="N/A"/>
    <s v="N/A"/>
    <s v="N/A"/>
    <s v="N/A"/>
    <s v="N/A"/>
    <s v="N/A"/>
    <s v="N/A"/>
    <s v="N/A"/>
    <s v="N/A"/>
    <s v="N/A"/>
    <s v="N/A"/>
    <s v="N/A"/>
    <s v="N/A"/>
    <s v="N/A"/>
  </r>
  <r>
    <s v="N/A"/>
    <s v="N/A"/>
    <s v="N/A"/>
    <s v="N/A"/>
    <s v="N/A"/>
    <s v="N/A"/>
    <s v="N/A"/>
    <s v="N/A"/>
    <n v="1171"/>
    <x v="15"/>
    <s v="N/A"/>
    <s v="N/A"/>
    <s v="N/A"/>
    <s v="N/A"/>
    <s v="N/A"/>
    <s v="N/A"/>
    <s v="N/A"/>
    <s v="N/A"/>
    <s v="N/A"/>
    <s v="N/A"/>
    <s v="N/A"/>
    <s v="N/A"/>
    <n v="1171"/>
    <s v="STILO, CESAR ARIEL"/>
    <m/>
    <m/>
    <s v="N/A"/>
    <s v="N/A"/>
    <s v="N/A"/>
    <s v="N/A"/>
    <s v="N/A"/>
    <s v="N/A"/>
    <s v="N/A"/>
    <s v="N/A"/>
    <s v="N/A"/>
    <s v="N/A"/>
    <s v="N/A"/>
    <s v="N/A"/>
    <s v="N/A"/>
    <s v="N/A"/>
  </r>
  <r>
    <s v="N/A"/>
    <s v="N/A"/>
    <s v="N/A"/>
    <s v="N/A"/>
    <s v="N/A"/>
    <s v="N/A"/>
    <s v="N/A"/>
    <s v="N/A"/>
    <n v="1222"/>
    <x v="16"/>
    <s v="N/A"/>
    <s v="N/A"/>
    <s v="N/A"/>
    <s v="N/A"/>
    <s v="N/A"/>
    <s v="N/A"/>
    <s v="N/A"/>
    <s v="N/A"/>
    <s v="N/A"/>
    <s v="N/A"/>
    <s v="N/A"/>
    <s v="N/A"/>
    <n v="1222"/>
    <s v="TAPIA, CLAUDIO CESAR"/>
    <m/>
    <m/>
    <s v="N/A"/>
    <s v="N/A"/>
    <s v="N/A"/>
    <s v="N/A"/>
    <s v="N/A"/>
    <s v="N/A"/>
    <s v="N/A"/>
    <s v="N/A"/>
    <s v="N/A"/>
    <s v="N/A"/>
    <s v="N/A"/>
    <s v="N/A"/>
    <s v="N/A"/>
    <s v="N/A"/>
  </r>
  <r>
    <s v="N/A"/>
    <s v="N/A"/>
    <s v="N/A"/>
    <s v="N/A"/>
    <s v="N/A"/>
    <s v="N/A"/>
    <s v="N/A"/>
    <s v="N/A"/>
    <n v="1061"/>
    <x v="43"/>
    <s v="N/A"/>
    <s v="N/A"/>
    <s v="N/A"/>
    <s v="N/A"/>
    <s v="N/A"/>
    <s v="N/A"/>
    <s v="N/A"/>
    <s v="N/A"/>
    <s v="N/A"/>
    <s v="N/A"/>
    <s v="N/A"/>
    <s v="N/A"/>
    <n v="1061"/>
    <s v="TORRES, FERNANDO OMAR"/>
    <m/>
    <m/>
    <s v="N/A"/>
    <s v="N/A"/>
    <s v="N/A"/>
    <s v="N/A"/>
    <s v="N/A"/>
    <s v="N/A"/>
    <s v="N/A"/>
    <s v="N/A"/>
    <s v="N/A"/>
    <s v="N/A"/>
    <s v="N/A"/>
    <s v="N/A"/>
    <s v="N/A"/>
    <s v="N/A"/>
  </r>
  <r>
    <s v="N/A"/>
    <s v="N/A"/>
    <s v="N/A"/>
    <s v="N/A"/>
    <s v="N/A"/>
    <s v="N/A"/>
    <s v="N/A"/>
    <s v="N/A"/>
    <n v="91"/>
    <x v="44"/>
    <s v="N/A"/>
    <s v="N/A"/>
    <s v="N/A"/>
    <s v="N/A"/>
    <s v="N/A"/>
    <s v="N/A"/>
    <s v="N/A"/>
    <s v="N/A"/>
    <s v="N/A"/>
    <s v="N/A"/>
    <s v="N/A"/>
    <s v="N/A"/>
    <n v="91"/>
    <s v="UBILLOS, JOANA MIRTA SOLEDAD"/>
    <m/>
    <m/>
    <s v="N/A"/>
    <s v="N/A"/>
    <s v="N/A"/>
    <s v="N/A"/>
    <s v="N/A"/>
    <s v="N/A"/>
    <s v="N/A"/>
    <s v="N/A"/>
    <s v="N/A"/>
    <s v="N/A"/>
    <s v="N/A"/>
    <s v="N/A"/>
    <s v="N/A"/>
    <s v="N/A"/>
  </r>
  <r>
    <s v="N/A"/>
    <s v="N/A"/>
    <s v="N/A"/>
    <s v="N/A"/>
    <s v="N/A"/>
    <s v="N/A"/>
    <s v="N/A"/>
    <s v="N/A"/>
    <n v="1147"/>
    <x v="20"/>
    <s v="N/A"/>
    <s v="N/A"/>
    <s v="N/A"/>
    <s v="N/A"/>
    <s v="N/A"/>
    <s v="N/A"/>
    <s v="N/A"/>
    <s v="N/A"/>
    <s v="N/A"/>
    <s v="N/A"/>
    <s v="N/A"/>
    <s v="N/A"/>
    <n v="1147"/>
    <s v="VALENZUELA, MARIO ORLANDO"/>
    <m/>
    <m/>
    <s v="N/A"/>
    <s v="N/A"/>
    <s v="N/A"/>
    <s v="N/A"/>
    <s v="N/A"/>
    <s v="N/A"/>
    <s v="N/A"/>
    <s v="N/A"/>
    <s v="N/A"/>
    <s v="N/A"/>
    <s v="N/A"/>
    <s v="N/A"/>
    <s v="N/A"/>
    <s v="N/A"/>
  </r>
  <r>
    <s v="N/A"/>
    <s v="N/A"/>
    <s v="N/A"/>
    <s v="N/A"/>
    <s v="N/A"/>
    <s v="N/A"/>
    <s v="N/A"/>
    <s v="N/A"/>
    <n v="1187"/>
    <x v="23"/>
    <s v="N/A"/>
    <s v="N/A"/>
    <s v="N/A"/>
    <s v="N/A"/>
    <s v="N/A"/>
    <s v="N/A"/>
    <s v="N/A"/>
    <s v="N/A"/>
    <s v="N/A"/>
    <s v="N/A"/>
    <s v="N/A"/>
    <s v="N/A"/>
    <n v="1187"/>
    <s v="VARGAS, FLAVIO FRANCISCO"/>
    <m/>
    <m/>
    <s v="N/A"/>
    <s v="N/A"/>
    <s v="N/A"/>
    <s v="N/A"/>
    <s v="N/A"/>
    <s v="N/A"/>
    <s v="N/A"/>
    <s v="N/A"/>
    <s v="N/A"/>
    <s v="N/A"/>
    <s v="N/A"/>
    <s v="N/A"/>
    <s v="N/A"/>
    <s v="N/A"/>
  </r>
  <r>
    <s v="N/A"/>
    <s v="N/A"/>
    <s v="N/A"/>
    <s v="N/A"/>
    <s v="N/A"/>
    <s v="N/A"/>
    <s v="N/A"/>
    <s v="N/A"/>
    <n v="1206"/>
    <x v="7"/>
    <s v="N/A"/>
    <s v="N/A"/>
    <s v="N/A"/>
    <s v="N/A"/>
    <s v="N/A"/>
    <s v="N/A"/>
    <s v="N/A"/>
    <s v="N/A"/>
    <s v="N/A"/>
    <s v="N/A"/>
    <s v="N/A"/>
    <s v="N/A"/>
    <n v="1206"/>
    <s v="ZALLOCCO, FLAVIO"/>
    <m/>
    <m/>
    <s v="N/A"/>
    <s v="N/A"/>
    <s v="N/A"/>
    <s v="N/A"/>
    <s v="N/A"/>
    <s v="N/A"/>
    <s v="N/A"/>
    <s v="N/A"/>
    <s v="N/A"/>
    <s v="N/A"/>
    <s v="N/A"/>
    <s v="N/A"/>
    <s v="N/A"/>
    <s v="N/A"/>
  </r>
  <r>
    <n v="186"/>
    <s v="NG"/>
    <m/>
    <d v="2016-05-04T00:00:00"/>
    <n v="56"/>
    <s v="SR MZA"/>
    <d v="1899-12-30T07:00:00"/>
    <d v="1899-12-30T07:02:00"/>
    <n v="1208"/>
    <x v="9"/>
    <s v="si"/>
    <s v="si"/>
    <s v="si"/>
    <s v="si"/>
    <s v="si"/>
    <m/>
    <s v="si"/>
    <m/>
    <s v="no"/>
    <s v="no"/>
    <s v="si"/>
    <m/>
    <n v="78"/>
    <s v="CORNEJO, MARIA SOLEDAD"/>
    <m/>
    <m/>
    <s v="si"/>
    <s v="no"/>
    <s v="si"/>
    <s v="si"/>
    <s v="no"/>
    <s v="no"/>
    <s v="si"/>
    <s v="si"/>
    <s v="si"/>
    <s v="si"/>
    <s v="si"/>
    <s v="si"/>
    <s v="si"/>
    <s v="04/05/16  El coche se presenta 6:45hs esta limpio por fuera y también por dentro. Azafata corta boletos e indica la ubicación. Salimos 7:02hs suben pasajeros en Las Paredes, la azafata les cobro el boleto. El audio en Montoya, el catering en el Cristo. Muy amable en servir. Perfuma 3 veces. Llegamos 10:05hs"/>
  </r>
  <r>
    <n v="187"/>
    <s v="NG"/>
    <m/>
    <d v="2016-05-04T00:00:00"/>
    <n v="46"/>
    <s v="MZA SR"/>
    <d v="1899-12-30T15:00:00"/>
    <d v="1899-12-30T15:03:00"/>
    <n v="1294"/>
    <x v="22"/>
    <s v="si"/>
    <s v="si"/>
    <s v="si"/>
    <s v="si"/>
    <s v="si"/>
    <m/>
    <s v="si"/>
    <m/>
    <s v="no"/>
    <s v="no"/>
    <s v="si"/>
    <m/>
    <n v="54"/>
    <s v="BIBANCO, CYNTHIA DANIELA"/>
    <m/>
    <m/>
    <s v="si"/>
    <s v="no"/>
    <s v="si"/>
    <s v="si"/>
    <s v="no"/>
    <s v="no"/>
    <s v="si"/>
    <s v="si"/>
    <s v="si"/>
    <s v="si"/>
    <s v="si"/>
    <s v="si"/>
    <s v="si"/>
    <s v="04/05/16 El coche se presenta 14:45hs, esta limpio. La azafata (Morocha petiza) corta boleto y le canta al chofer que esta junto a ella, indica el lugar. El coche esta limpio de buen aroma, hay jabón en el baño y alcohol. Salimos 15:03hs, el audio en terminal, el servicio después del Cóndor. Excelente, muy amable. No funciona el aire acondicionado de la parte superior. Perfuma tres veces. El video se ve bien. La película no se ve ni se escucha. Llegamos 18:15hs. El viaje fue muy agradable. "/>
  </r>
  <r>
    <n v="186"/>
    <s v="JG"/>
    <m/>
    <d v="2016-05-06T00:00:00"/>
    <n v="43"/>
    <s v="SR MZA"/>
    <d v="1899-12-30T07:00:00"/>
    <d v="1899-12-30T07:01:00"/>
    <n v="1143"/>
    <x v="21"/>
    <s v="si"/>
    <s v="si"/>
    <s v="si"/>
    <s v="si"/>
    <s v="si"/>
    <m/>
    <s v="si"/>
    <m/>
    <s v="no"/>
    <s v="si"/>
    <s v="si"/>
    <m/>
    <n v="78"/>
    <s v="CORNEJO, MARIA SOLEDAD"/>
    <m/>
    <m/>
    <s v="si"/>
    <s v="si"/>
    <s v="si"/>
    <s v="si"/>
    <s v="si"/>
    <s v="si"/>
    <s v="si"/>
    <s v="si"/>
    <s v="si"/>
    <s v="no"/>
    <m/>
    <s v="si"/>
    <s v="si"/>
    <s v="06/05/16 La unidad llega con horario correcto. Azafata recibe sola a los pasajeros. El chofer permanece parado frente a la unidad. El coche 48 posee cartel que lo indica como refuerzo. Suben tres policías, uno de ellos con pasaje. Por Av. Rivadavia azafata habla por teléfono. Speech en rotonda del mapa, luego suben pasajeros. En Toledano el chofer al parecer no orilla correctamente la unidad, azafata indica a todos los que esperan que ingresen rápido porque están mal parados, varios pasajeros se amontonan con sus equipajes, a través de la escalera azafata (Cornejo) pide los pasajes y le indica al chofer que había puesto en movimiento la unidad que frenara porque capaz alguno iba en el refuerzo, lo que fue así, debió decirle a uno que bajara, que el coche estaba detrás de este. Momento muy incomodo y todos amontonados, parecían ganado. Azafata no recibió a nadie fuera de la unidad, mañana lluviosa. Cuando al fin sale el colectivo recibe muchos bocinazos de automovilistas que iban por la ruta.  Azafata empieza a repartir el catering y luego en aeropuerto suben mas pasajeros. Sirve siguiendo el instructivo, ingresa varias veces a cabina con la jarra.  Luego en TSC le pregunta al chofer si quiere un te con leche y se escucha la manipulación de elementos del catering. Habla con la boca llena. Despide a todos los pasajeros desde la cabina (dentro de la unidad, no abre la puerta ni baja). Perfuma tres veces. Acomoda butacas luego que bajan pasajeros por la ruta. Todos los TVs están bajos (posición abierta). Laterales con migas. Antes de llegar a TMza lee noticias. Se vigila la bodega solo en la TMza. "/>
  </r>
  <r>
    <n v="187"/>
    <s v="JM"/>
    <m/>
    <d v="2016-05-06T00:00:00"/>
    <n v="56"/>
    <s v="SR MZA"/>
    <d v="1899-12-30T10:00:00"/>
    <d v="1899-12-30T10:02:00"/>
    <n v="1208"/>
    <x v="9"/>
    <s v="si"/>
    <s v="si"/>
    <s v="si"/>
    <s v="si"/>
    <s v="si"/>
    <m/>
    <s v="si"/>
    <m/>
    <s v="no"/>
    <s v="no"/>
    <s v="si"/>
    <m/>
    <n v="54"/>
    <s v="BIBANCO, CYNTHIA DANIELA"/>
    <m/>
    <m/>
    <s v="si"/>
    <m/>
    <s v="si"/>
    <s v="si"/>
    <s v="no"/>
    <s v="no"/>
    <s v="si"/>
    <s v="si"/>
    <s v="si"/>
    <s v="si"/>
    <s v="si"/>
    <s v="no"/>
    <s v="si"/>
    <s v="06/05/16 Tanto chofer y azafata realizan correctamente sus tareas. "/>
  </r>
  <r>
    <n v="188"/>
    <s v="NG"/>
    <m/>
    <d v="2016-05-06T00:00:00"/>
    <n v="45"/>
    <s v="SR MZA"/>
    <d v="1899-12-30T13:00:00"/>
    <d v="1899-12-30T13:10:00"/>
    <n v="1232"/>
    <x v="14"/>
    <s v="si"/>
    <s v="si"/>
    <s v="si"/>
    <s v="no"/>
    <s v="si"/>
    <m/>
    <s v="si"/>
    <m/>
    <s v="no"/>
    <s v="no"/>
    <s v="si"/>
    <m/>
    <n v="1171"/>
    <s v="STILO, CESAR ARIEL"/>
    <m/>
    <m/>
    <s v="si"/>
    <s v="no"/>
    <s v="si"/>
    <s v="si"/>
    <s v="no"/>
    <s v="no"/>
    <s v="si"/>
    <s v="si"/>
    <s v="si"/>
    <s v="si"/>
    <s v="si"/>
    <s v="si"/>
    <s v="si"/>
    <s v="06/05/2016  El coche llega 13:00hs a plataforma, el refuerzo llego 12:50hs a plataforma, el exterior se ve limpio y en buen estado. En el interior el techo de cuero se ve manchado y roto por partes. El guarda pelado, joven corto los boletos en la puerta e indica el lugar. El baño esta limpio, hay alcohol en gel. El chofer acomoda la cabina. subimos rápido y salimos 13:10. las pantallas están bajas. El audio comienza desde de la rotonda y el video en Montoya, nadie sube después, el catering se sirve a partir del Cristo, correctamente. El viaje placentero. El guarda  perfumo la unidad 2 veces. 14:50hs Eugenio bustos. Llegamos 16:18 a Terminal de Mendoza"/>
  </r>
  <r>
    <n v="189"/>
    <s v="JG"/>
    <m/>
    <d v="2016-05-06T00:00:00"/>
    <n v="56"/>
    <s v="MZA SR"/>
    <d v="1899-12-30T15:00:00"/>
    <d v="1899-12-30T15:02:00"/>
    <n v="1208"/>
    <x v="9"/>
    <s v="si"/>
    <s v="no"/>
    <s v="si"/>
    <s v="no"/>
    <s v="si"/>
    <m/>
    <s v="si"/>
    <m/>
    <s v="no"/>
    <s v="no"/>
    <s v="si"/>
    <m/>
    <n v="54"/>
    <s v="BIBANCO, CYNTHIA DANIELA"/>
    <m/>
    <m/>
    <s v="si"/>
    <s v="si"/>
    <s v="si"/>
    <s v="si"/>
    <s v="si"/>
    <s v="si"/>
    <s v="si"/>
    <s v="si"/>
    <s v="no"/>
    <s v="no"/>
    <s v="si"/>
    <s v="si"/>
    <s v="si"/>
    <s v="06/15/16 Unidad llega a plataforma 14:47hs. El refuerzo numero 42 no posee cartelería que lo indique como tal.  Azafata recibe atenta. Chofer a boletería. La unidad tiene los pisos húmedos, los TVs están bajos y encendidos. Viajan dos policías con pasaje. Speech saliendo de la dársena; el audio es verificado y se da cuenta que no se escucha por ningún lado, el principio y el final del speech no es apreciado. V. Institucional y película reproducidos correctamente. A pasajeros que suben en Tunuyán les ofrece catering junto con los que suben en TSC. No se perfuma la unidad. Se ve a azafata en TSC con una muñequera por eso supongo que el chofer se encarga de bajar los bolsos por la ruta en S.R. Pasajero sentado en butaca 4 colocan su pies sobre el caño que esta en el parabrisas (periférico) y el de butaca 48  sus zapatillas sobre la pared el baño, no se les llama la atención."/>
  </r>
  <r>
    <n v="190"/>
    <s v="JM"/>
    <m/>
    <d v="2016-05-06T00:00:00"/>
    <n v="44"/>
    <s v="MZA SR"/>
    <d v="1899-12-30T18:00:00"/>
    <d v="1899-12-30T18:02:00"/>
    <n v="1175"/>
    <x v="3"/>
    <s v="si"/>
    <s v="si"/>
    <s v="si"/>
    <s v="si"/>
    <s v="si"/>
    <m/>
    <s v="si"/>
    <m/>
    <s v="no"/>
    <s v="no"/>
    <s v="si"/>
    <m/>
    <n v="1061"/>
    <s v="TORRES, FERNANDO OMAR"/>
    <m/>
    <m/>
    <s v="si"/>
    <m/>
    <s v="si"/>
    <s v="si"/>
    <s v="no"/>
    <s v="no"/>
    <s v="si"/>
    <s v="si"/>
    <s v="si"/>
    <s v="si"/>
    <s v="si"/>
    <s v="no"/>
    <s v="si"/>
    <s v="06/05/16 Al subir los pasajeros el guarda recibe con buena intención y chofer se encuentra en la bodega controlando los equipajes. Al reproducir el speech el volumen es bajo y al reproducir película directamente no hay volumen. "/>
  </r>
  <r>
    <n v="191"/>
    <s v="NG"/>
    <m/>
    <d v="2016-05-06T00:00:00"/>
    <n v="47"/>
    <s v="MZA SR"/>
    <d v="1899-12-30T20:15:00"/>
    <d v="1899-12-30T20:17:00"/>
    <n v="1147"/>
    <x v="20"/>
    <s v="si"/>
    <s v="si"/>
    <s v="si"/>
    <s v="si"/>
    <s v="si"/>
    <m/>
    <s v="si"/>
    <m/>
    <s v="no"/>
    <s v="no"/>
    <s v="si"/>
    <m/>
    <n v="1206"/>
    <s v="ZALLOCCO, FLAVIO"/>
    <m/>
    <m/>
    <s v="si"/>
    <s v="no"/>
    <s v="si"/>
    <s v="si"/>
    <s v="no"/>
    <s v="no"/>
    <s v="si"/>
    <s v="si"/>
    <s v="si"/>
    <s v="si"/>
    <s v="si"/>
    <s v="si"/>
    <s v="si"/>
    <s v="06/05/16 El coche 47 llega  a plataforma a las 20:05hs. Se ve limpio y en buen estado. El guarda controla los boletos e indica la ubicación, el chofer no se baja de la cabina hasta antes de salir que vigila la bodega y la cierra, el baño esta limpio sin jabón, el interior es aceptable y esta limpio. Salimos 20:18hs el audio se escucha bien y empieza en el cóndor, nadie sube después. El guarda sirve el café correctamente, pregunta y agradece a todos. En Zapata gendarmería sube al colectivo y pide documentos a todos, incomoda a los pasajeros, revisa bolsos de adentro, sin ningún motivo, demoramos 15 minutos. Seguimos viaje 21:30 entramos a Tunuyán, 21:55 pasamos por Eugenio Bustos, el guarda perfumo la unidad. Llegamos a San Rafael 23:43hs. "/>
  </r>
  <r>
    <n v="192"/>
    <s v="NG"/>
    <m/>
    <d v="2016-05-07T00:00:00"/>
    <n v="56"/>
    <s v="SR MZA"/>
    <d v="1899-12-30T13:00:00"/>
    <d v="1899-12-30T13:04:00"/>
    <n v="1208"/>
    <x v="9"/>
    <m/>
    <m/>
    <s v="si"/>
    <s v="si"/>
    <s v="si"/>
    <m/>
    <s v="si"/>
    <m/>
    <s v="no"/>
    <s v="no"/>
    <s v="si"/>
    <m/>
    <n v="1232"/>
    <s v="GONZALEZ, JORGE DAVID"/>
    <m/>
    <m/>
    <s v="si"/>
    <s v="no"/>
    <s v="si"/>
    <s v="si"/>
    <s v="no"/>
    <s v="no"/>
    <s v="si"/>
    <s v="si"/>
    <s v="si"/>
    <s v="si"/>
    <s v="si"/>
    <s v="si"/>
    <s v="si"/>
    <s v="07/06/2016  El coche 56 se presenta 12:45 en plataforma, el chofer y el guarda se paran en la puerta, guarda corta el boleto e indica el lugar. El coche se ve limpio. El baño esta limpio, tiene jabón y alcohol. Las pantallas están arriba. Chofer revisa la bodega y salimos 13:05hs. Pasando el toledano se escucha el audio y después el video, nadie sube después. El guarda (González) sirve el café, después del Cristo , lo hace correctamente. Pasamos por Eugenio Bustos 14:45 el guarda perfuma y cambio de posición con el chofer en la terminal. 15:15 pasamos por Tunuyán el guarda perfuma y llegamos a Mza 16:13hs. El audio de llegada se escucha en el Cóndor. "/>
  </r>
  <r>
    <n v="193"/>
    <s v="NG"/>
    <m/>
    <d v="2016-05-07T00:00:00"/>
    <n v="116"/>
    <s v="MZA SR"/>
    <d v="1899-12-30T20:15:00"/>
    <d v="1899-12-30T20:17:00"/>
    <n v="1163"/>
    <x v="24"/>
    <s v="si"/>
    <s v="si"/>
    <s v="si"/>
    <s v="si"/>
    <s v="si"/>
    <m/>
    <s v="si"/>
    <m/>
    <s v="no"/>
    <s v="no"/>
    <s v="si"/>
    <m/>
    <n v="91"/>
    <s v="UBILLOS, JOANA MIRTA SOLEDAD"/>
    <m/>
    <m/>
    <s v="si"/>
    <s v="no"/>
    <s v="si"/>
    <s v="si"/>
    <s v="no"/>
    <s v="no"/>
    <s v="si"/>
    <s v="si"/>
    <s v="si"/>
    <s v="si"/>
    <s v="si"/>
    <s v="si"/>
    <s v="si"/>
    <s v="07/05/2016  El coche esta en plataforma 20:00 la azafata (gordita de lentes) corta boletos en la puerta del coche, e indica el lugar, el chofer esta en la cabina. El chofer cierra la bodega y salimos. Baño esta limpio. Tiene jabón y alcohol. Salimos 20:17hs. El audio se escucha en el Cóndor. El café se sirve correctamente a partir del carril Sarmiento. El Video se ve bien. En Zapata suben Gendarmes y piden documentos. y revisan los bolsos del interior, molestando a los pasajeros, revisan bolsos de la bodega, seguimos rápidamente. la azafata perfuma la unidad tres veces. No entra en Tunuyán, 21:50 entramos en Eugenio Bustos, seguimos, la azafata perfuma dos veces mas. El viaje es placentero. Llegamos 23:22hs. el audio se escucha en la rotonda del mapa. "/>
  </r>
  <r>
    <n v="194"/>
    <s v="JM"/>
    <m/>
    <d v="2016-05-09T00:00:00"/>
    <n v="44"/>
    <s v="SR MZA"/>
    <d v="1899-12-30T07:00:00"/>
    <d v="1899-12-30T07:01:00"/>
    <n v="1294"/>
    <x v="22"/>
    <s v="si"/>
    <s v="si"/>
    <s v="si"/>
    <s v="si"/>
    <s v="si"/>
    <m/>
    <s v="si"/>
    <m/>
    <s v="no"/>
    <s v="no"/>
    <s v="si"/>
    <m/>
    <n v="91"/>
    <s v="UBILLOS, JOANA MIRTA SOLEDAD"/>
    <m/>
    <m/>
    <s v="si"/>
    <s v="si"/>
    <s v="si"/>
    <s v="si"/>
    <s v="no"/>
    <s v="no"/>
    <s v="si"/>
    <s v="si"/>
    <s v="si"/>
    <s v="si"/>
    <s v="si"/>
    <s v="si"/>
    <s v="si"/>
    <s v="09/05/16 Salida normal, azafata reproduce el speech pasando el Cristo con todos los pasajeros a bordo, al llegar a terminal de Mza, azafata despide a todos los pasajeros. Chofer se encuentra en la bodega controlando los equipajes. "/>
  </r>
  <r>
    <n v="195"/>
    <s v="JM"/>
    <m/>
    <d v="2016-05-09T00:00:00"/>
    <n v="56"/>
    <s v="MZA SR"/>
    <d v="1899-12-30T15:00:00"/>
    <d v="1899-12-30T15:06:00"/>
    <n v="1208"/>
    <x v="9"/>
    <s v="si"/>
    <s v="si"/>
    <s v="si"/>
    <s v="si"/>
    <s v="si"/>
    <m/>
    <s v="si"/>
    <m/>
    <s v="no"/>
    <s v="no"/>
    <s v="si"/>
    <m/>
    <n v="78"/>
    <s v="CORNEJO, MARIA SOLEDAD"/>
    <m/>
    <m/>
    <s v="si"/>
    <s v="si"/>
    <s v="si"/>
    <s v="si"/>
    <s v="no"/>
    <s v="no"/>
    <s v="si"/>
    <s v="si"/>
    <s v="si"/>
    <s v="si"/>
    <s v="si"/>
    <s v="si"/>
    <s v="si"/>
    <s v="09/05/16 En terminal de Mza se retrasa la salida por la espera de una pasajera de edad mayor. Salida 15:06hs, azafata reproduce speech, video y película correctamente con buen volumen. La butaca 8 no queda firme al ponerla correctamente. Chofer realiza sus tareas correctamente. "/>
  </r>
  <r>
    <n v="196"/>
    <s v="NG"/>
    <m/>
    <d v="2016-05-10T00:00:00"/>
    <n v="46"/>
    <s v="SR MZA"/>
    <d v="1899-12-30T04:30:00"/>
    <d v="1899-12-30T04:32:00"/>
    <n v="1123"/>
    <x v="17"/>
    <s v="si"/>
    <s v="si"/>
    <s v="si"/>
    <s v="no"/>
    <s v="si"/>
    <m/>
    <s v="si"/>
    <m/>
    <s v="no"/>
    <s v="no"/>
    <s v="si"/>
    <m/>
    <n v="1143"/>
    <s v="FORTE, MARIO LUIS"/>
    <m/>
    <m/>
    <s v="si"/>
    <s v="no"/>
    <s v="si"/>
    <s v="si"/>
    <s v="no"/>
    <s v="no"/>
    <s v="si"/>
    <s v="si"/>
    <s v="si"/>
    <s v="no"/>
    <s v="no"/>
    <s v="si"/>
    <s v="si"/>
    <s v="10/05/16 El coche se presenta 4:15, esta limpio, el guarda se para en la puerta mientras el chofer acomoda la cabina, suben rápido los pasajeros, el coche va lleno, 4 policías pagan el pasaje. El baño esta limpio pero sin jabón. Salimos 4:32hs. El chofer no reviso la bodega. En calle Rivadavia apagan las luces de adentro. No reproducen speech. Perfuma la unidad y no vuelve a salir de la cabina hasta Tunuyán, cambian de posición el chofer y el guarda. Al salir de Tunuyán prenden las luces y sirven el café correctamente. Perfuma luego de retirar los vasos y llegamos 7:45hs a terminal de Mendoza. "/>
  </r>
  <r>
    <n v="197"/>
    <s v="JG"/>
    <m/>
    <d v="2016-05-10T00:00:00"/>
    <n v="42"/>
    <s v="SR MZA"/>
    <d v="1899-12-30T10:00:00"/>
    <d v="1899-12-30T10:03:00"/>
    <n v="1028"/>
    <x v="8"/>
    <s v="si"/>
    <s v="si"/>
    <s v="si"/>
    <s v="si"/>
    <s v="si"/>
    <m/>
    <s v="si"/>
    <m/>
    <s v="no"/>
    <s v="si"/>
    <s v="si"/>
    <m/>
    <n v="78"/>
    <s v="CORNEJO, MARIA SOLEDAD"/>
    <m/>
    <m/>
    <s v="si"/>
    <s v="si"/>
    <s v="si"/>
    <s v="si"/>
    <s v="si"/>
    <s v="si"/>
    <s v="si"/>
    <s v="si"/>
    <s v="si"/>
    <s v="no"/>
    <s v="no"/>
    <s v="si"/>
    <s v="si"/>
    <s v="10/05/16 La unidad llego a plataforma 7 min antes del horario de salida. A los minutos azafata recibe a pasajeros, chofer va a boletería y luego acompaña a azafata. Solo se vigila la bodega al llegar a Tmza. Azafata indica el uso del cinturón al subir pasajeros (butacas panorámicas). Luego al servir catering se los recuerda nuevamente. Speech reproducido en aeropuerto, luego en Montoya subieron otros pasajeros. Mientras ofrece catering reproducen V. Institucional el cual no es visualizado por los TVs, azafata baja y le comunica al chofer, por lo que deciden no reproducirlo, luego de buscar los restos del catering la azafata intenta solucionar el inconveniente, destornilla una carcasa cerca al primer Tv y verifica los cables, en eso se le cae el elemento destornillador y supongo que recordó que ambos pasajeros (butaca 5 y 6) le habían pedido agua cuando ofreció el catering, por lo que interrumpió el &quot;arreglo&quot; y sirve el agua mineral. Igualmente no pudo solucionarlo. Por lo que no fue reproducida la película tampoco. La puerta de acceso no cierra completamente a las 12:30hs la azafata se da cuenta que esta mal cerrada, (ultima parada fue en Tunuyán) y se puede verificar ya que por la lluvia y la velocidad d ella unidad ingresa agua por debajo. A las 11:08hs antes de Paso las Carretas. azafata llena dos vasos con catering y en agua caliente y los lleva a cabina. Se filtra por los altavoces el sonido de radio de cabina. Se adjunta  papel film hecho una bolita encontrado en lateral. BOLETERIA: Hay una sola cola pero en vos alta una vendedora pregunta si alguien necesita pasaje(cola de unas 10 personas)."/>
  </r>
  <r>
    <n v="198"/>
    <s v="NG"/>
    <m/>
    <d v="2016-05-10T00:00:00"/>
    <n v="43"/>
    <s v="MZA SR"/>
    <d v="1899-12-30T13:00:00"/>
    <d v="1899-12-30T13:01:00"/>
    <n v="1190"/>
    <x v="4"/>
    <s v="si"/>
    <s v="si"/>
    <s v="si"/>
    <s v="si"/>
    <s v="si"/>
    <m/>
    <s v="si"/>
    <m/>
    <s v="no"/>
    <s v="no"/>
    <s v="si"/>
    <m/>
    <n v="91"/>
    <s v="UBILLOS, JOANA MIRTA SOLEDAD"/>
    <m/>
    <m/>
    <s v="si"/>
    <s v="no"/>
    <s v="si"/>
    <s v="si"/>
    <s v="no"/>
    <s v="no"/>
    <s v="si"/>
    <s v="si"/>
    <s v="si"/>
    <s v="si"/>
    <s v="si"/>
    <s v="si"/>
    <s v="si"/>
    <s v="10/05/16 El coche se presenta 12:42hs en plataforma, el chofer se queda en la cabina, la azafata (gordita de lentes) corta los boletos e indica el lugar. El coche esta limpio, con buen aroma, el baño esta limpio y con jabón. Viaja un ´policía que no paga boleto. Salimos 13:01hs el chofer no revisa la bodega. En el Cóndor se reproduce el audio y luego el video. Luego sirven el café correctamente, perfuma cuando va a buscar la jarra de agua caliente  Estornuda dos veces sobre la jarra y no se limpia, sirve muy amablemente. En Tunuyán suben pasajeros y les sirve el café, lo mismo en Eugenio Bustos. Perfuma tres veces, al llegar a las paredes reproduce el speech, llegamos 14:05hs a plataforma."/>
  </r>
  <r>
    <n v="199"/>
    <s v="JG"/>
    <m/>
    <d v="2016-05-10T00:00:00"/>
    <n v="47"/>
    <s v="MZA SR"/>
    <d v="1899-12-30T18:00:00"/>
    <d v="1899-12-30T18:00:00"/>
    <n v="1147"/>
    <x v="20"/>
    <s v="si"/>
    <s v="si"/>
    <s v="si"/>
    <s v="no"/>
    <s v="si"/>
    <m/>
    <s v="si"/>
    <m/>
    <s v="no"/>
    <s v="no"/>
    <s v="si"/>
    <m/>
    <n v="54"/>
    <s v="BIBANCO, CYNTHIA DANIELA"/>
    <m/>
    <m/>
    <s v="si"/>
    <s v="si"/>
    <s v="si"/>
    <s v="si"/>
    <s v="no"/>
    <s v="si"/>
    <s v="si"/>
    <s v="si"/>
    <s v="no"/>
    <s v="si"/>
    <s v="si"/>
    <s v="no"/>
    <s v="si"/>
    <s v="10/05/16 Llega 15 min antes. Chofer a boletería, luego acompaña a la azafata al recibimiento, pasajeros han extraviado sus pasajes, mientras azafata les cobra el seguro,  chofer se encarga muy amable, diciendo el numero de butaca y olvidando el piso. Unidad en condiciones. Migas en laterales y húmedo el piso inferior entre baño y puerta de ingreso (día lluvioso). Speech y V. Institucional con sonidos verificados, la película no se escucha. Pasajeros ubicados a  mitad de la unidad colocan música en altavoz, muy molesto, al parecer es para entretener a un niño que luego llora la mitad del viaje. Sube pasajero en Tunuyán no vi que se le ofrezca catering. En TSC 15 minutos parados, nadie subió. Luego se circula con velocidad muy alta, se mece mucho el colectivo, aceleración y frenadas bruscas, varios intentos para hacer sobrepasos. Entra en la zona de desvió de puente con velocidad algo elevada para la zona de tierra. Baño con pisos sucios, tasa toda mojada. Al ingresar no se enciende la luz, solo hay una pequeña luz roja muy tenue, la luz hay que encenderla manualmente. No se vigila la bodega en ninguna oportunidad. Consumen catering por le camino. Azafata sirve agua a quien se lo pide. "/>
  </r>
  <r>
    <n v="200"/>
    <s v="NG"/>
    <m/>
    <d v="2016-05-12T00:00:00"/>
    <n v="42"/>
    <s v="SR MZA"/>
    <d v="1899-12-30T13:00:00"/>
    <d v="1899-12-30T13:02:00"/>
    <n v="1028"/>
    <x v="8"/>
    <s v="si"/>
    <s v="si"/>
    <s v="si"/>
    <s v="no"/>
    <s v="si"/>
    <m/>
    <s v="si"/>
    <m/>
    <s v="no"/>
    <s v="no"/>
    <s v="si"/>
    <m/>
    <n v="54"/>
    <s v="BIBANCO, CYNTHIA DANIELA"/>
    <m/>
    <m/>
    <s v="si"/>
    <s v="no"/>
    <s v="si"/>
    <s v="si"/>
    <s v="no"/>
    <s v="no"/>
    <s v="si"/>
    <s v="si"/>
    <s v="si"/>
    <s v="si"/>
    <s v="si"/>
    <s v="si"/>
    <s v="si"/>
    <s v="12/05/16 Coche 42 se presenta 12:45 en plataforma, el chofer entra en la terminal y deja a la azafata sola, corta boletos e indica el lugar, el coche esta limpio, las pantallas abajo, el baño limpio y con jabón, salimos 13:02hs, sube gente en Montoya, luego ponen el audio, sirve el catering bien, después el video y retira los vasos. Perfuma una sola vez, bajan pasajeros en Eugenio Bustos y llegamos a Mendoza 16:12 al llegar al Cóndor reproduce el audio. "/>
  </r>
  <r>
    <n v="201"/>
    <s v="NG"/>
    <m/>
    <d v="2016-05-13T00:00:00"/>
    <n v="48"/>
    <s v="MZA SR"/>
    <d v="1899-12-30T13:00:00"/>
    <d v="1899-12-30T13:04:00"/>
    <n v="1167"/>
    <x v="11"/>
    <s v="si"/>
    <s v="si"/>
    <s v="si"/>
    <s v="si"/>
    <s v="si"/>
    <m/>
    <s v="si"/>
    <m/>
    <s v="no"/>
    <s v="no"/>
    <s v="si"/>
    <m/>
    <n v="1061"/>
    <s v="TORRES, FERNANDO OMAR"/>
    <m/>
    <m/>
    <s v="si"/>
    <s v="no"/>
    <s v="si"/>
    <s v="si"/>
    <s v="no"/>
    <s v="no"/>
    <s v="si"/>
    <s v="si"/>
    <s v="si"/>
    <s v="si"/>
    <s v="si"/>
    <s v="si"/>
    <s v="si"/>
    <s v="13/05/16 Coche 48 se presenta 12:50 en plataforma, el chofer y el guarda (canoso mayor) se paran en la puerta d ela unidad y cortan boletos, el coche se ve limpio, el baño limpio, tiene jabón, el chofer cierra la bodega y salimos. El audio se escucha en la terminal , luego ponen el video y sirven el café, todo muy rápido, vuelve de dejar los vasos y va perfumando, es amable al servir, retira los vasos, perfumaron una vez mas y baja a la cabina. En Eugenio Bustos cambio con el chofer y este perfuma la unidad. Llegamos 16:20hs a terminal. Colocan el audio en la rotonda. "/>
  </r>
  <r>
    <n v="202"/>
    <s v="NG"/>
    <m/>
    <d v="2016-05-16T00:00:00"/>
    <n v="42"/>
    <s v="SR MZA"/>
    <d v="1899-12-30T13:00:00"/>
    <d v="1899-12-30T13:04:00"/>
    <n v="1028"/>
    <x v="8"/>
    <s v="si"/>
    <s v="si"/>
    <s v="si"/>
    <s v="si"/>
    <s v="si"/>
    <m/>
    <s v="si"/>
    <m/>
    <s v="no"/>
    <s v="no"/>
    <s v="si"/>
    <m/>
    <n v="1222"/>
    <s v="TAPIA, CLAUDIO CESAR"/>
    <m/>
    <m/>
    <s v="si"/>
    <s v="no"/>
    <s v="si"/>
    <s v="si"/>
    <s v="no"/>
    <s v="no"/>
    <s v="si"/>
    <s v="si"/>
    <s v="si"/>
    <s v="si"/>
    <s v="si"/>
    <s v="si"/>
    <s v="si"/>
    <s v="16/05/16 El coche 42 llega a plataforma 12:42hs, se ve limpio pero mojado porque llueve, azafata morocha flaquita pelo corto, corta boletos en la puerta sola, el chofer aparece sobre la hora, el coche esta limpio, tiene alcohol y jabón. Salimos 13:04hs, suben pasajeros en Montoya y decide ahí colocar el audio y video, se ve y escucha bien, la tercer pantalla se ve azul. Sirve el café, lo hace correctamente, al retirar perfuma la unidad. 14:35 e3stamos en Eugenio Bustos. Al salió la azafata perfuma la unidad y sirve café a los nuevos pasajeros, el viaje sigue normalmente, pasamos por Tunuyán 15:05hs y llegamos a Mendoza 16:17hs. "/>
  </r>
  <r>
    <n v="203"/>
    <s v="NG"/>
    <m/>
    <d v="2016-05-16T00:00:00"/>
    <n v="109"/>
    <s v="MZA SR"/>
    <d v="1899-12-30T20:15:00"/>
    <d v="1899-12-30T20:19:00"/>
    <n v="1281"/>
    <x v="2"/>
    <s v="si"/>
    <s v="si"/>
    <s v="si"/>
    <s v="si"/>
    <s v="si"/>
    <m/>
    <s v="si"/>
    <m/>
    <s v="no"/>
    <s v="no"/>
    <s v="si"/>
    <m/>
    <n v="54"/>
    <s v="BIBANCO, CYNTHIA DANIELA"/>
    <m/>
    <m/>
    <s v="si"/>
    <s v="no"/>
    <s v="si"/>
    <s v="si"/>
    <s v="no"/>
    <s v="no"/>
    <s v="si"/>
    <s v="si"/>
    <s v="no"/>
    <s v="si"/>
    <s v="si"/>
    <s v="si"/>
    <s v="si"/>
    <s v="16/05/16  Coche 109 en plataforma 20:00, azafata morocha flaquita petiza, el coche esta limpio, con marcas de pisadas por la lluvia, tiene jabón y alcohol, las pantallas están abajo, el chofer revisa la bodega, se sube y salimos. Esta lloviendo, vamos a baja velocidad, en el Cóndor se reproduce el audio y luego sirve el café lo hace correctamente, al retirar el servicio perfuma la unidad, 21:25hs estamos en Tunuyán y salimos, la azafata no vuelve a perfumar la unidad, ni sale de la cabina hasta llegar a San Rafael a las 23:32hs. "/>
  </r>
  <r>
    <n v="204"/>
    <s v="JG"/>
    <m/>
    <d v="2016-05-20T00:00:00"/>
    <n v="48"/>
    <s v="SR MZA"/>
    <d v="1899-12-30T07:00:00"/>
    <d v="1899-12-30T07:06:00"/>
    <n v="1167"/>
    <x v="11"/>
    <s v="si"/>
    <s v="si"/>
    <s v="si"/>
    <s v="si"/>
    <s v="si"/>
    <m/>
    <s v="si"/>
    <m/>
    <s v="no"/>
    <s v="si"/>
    <s v="si"/>
    <m/>
    <n v="1061"/>
    <s v="TORRES, FERNANDO OMAR"/>
    <m/>
    <m/>
    <s v="si"/>
    <m/>
    <s v="si"/>
    <s v="si"/>
    <s v="no"/>
    <s v="si"/>
    <s v="si"/>
    <s v="si"/>
    <s v="no"/>
    <s v="si"/>
    <m/>
    <s v="si"/>
    <s v="si"/>
    <s v="20/05/16 La unidad llega a plataforma 20 min antes del horario de salida. No hay cartelería que lo indique como refuerzo y el cartel luminoso dice San Rafael (no Mendoza). Suben tres policías y uno de ellos con pasaje. Sectores del piso inferior con agua por filtraciones. A las 7:04hs comienza la unidad a salir de la dársena pero se orilla nuevamente al ver con dos jóvenes con bolsos (acababan de llegar a tsc en otra empresa de transporte) y sin pasajes, el guarda (Torres) los recibe muy amable y es atento con los pasajeros. Speech reproducido correctamente, reparte y sirve catering en el piso superior y luego reparte y sirve catering en el piso inferior (se ofrece a prepararles el café con leche a Sres. mayores). Se lleva agua a cabina y le pregunta al chofer si quiere café, leche y una de azúcar. En TSC lleva agua caliente en vasos a cabina. Cambio de chofer. No se perfuma la unidad en ningún momento. En Tunuyán dejan bajar a un policía una cuadra antes de la parada de la Plaza. Vigilan la bodega al llegar a TMza."/>
  </r>
  <r>
    <n v="205"/>
    <s v="JG"/>
    <m/>
    <d v="2016-05-20T00:00:00"/>
    <n v="46"/>
    <s v="MZA SR"/>
    <d v="1899-12-30T15:00:00"/>
    <d v="1899-12-30T15:03:00"/>
    <n v="1120"/>
    <x v="1"/>
    <s v="si"/>
    <s v="si"/>
    <s v="si"/>
    <s v="no"/>
    <s v="si"/>
    <m/>
    <s v="si"/>
    <m/>
    <s v="no"/>
    <s v="no"/>
    <s v="si"/>
    <m/>
    <n v="1123"/>
    <s v="BRAVO, MARCELO CONRADO"/>
    <m/>
    <m/>
    <s v="si"/>
    <m/>
    <s v="si"/>
    <s v="si"/>
    <s v="no"/>
    <s v="no"/>
    <s v="si"/>
    <s v="si"/>
    <s v="si"/>
    <s v="si"/>
    <s v="si"/>
    <s v="si"/>
    <s v="si"/>
    <s v="20/05/16 La unidad llega 15 min antes. No posee cartelería que indique que es refuerzo. Se ha cortado la electricidad por lo que no pusieron imprimir la lista de pasajeros. Antes de salir el guarda (Bravo) recorre la unidad revisando butacas disponibles. Speech con volumen correcto, guarda reparte y sirve el catering según instructivo, muy amable con pasajeros. A las 15:42hs se hace la unidad a un costado y apagan el motor a los 2 min guarda comunica en ambos pisos: &quot;se salió la correa del motor, se cambia rápido, en 5 minutos salimos&quot; A las 15:55hs sale, antes apagaron la electricidad, por lo que luego el guarda debe encender todos los Tvs y reiniciar la película. La unidad no ingresa a Term. Tunuyán ni a la Term de San Carlos, cambio de choferes en Chilecito. El nuevo guarda (Marín) ingresa al baño con un bidón negro, creería que es desinfectante. ´Perfumo una vez cada uno la unidad  y el baño también. "/>
  </r>
  <r>
    <n v="206"/>
    <s v="NG"/>
    <m/>
    <d v="2016-05-21T00:00:00"/>
    <n v="45"/>
    <s v="SR MZA"/>
    <d v="1899-12-30T10:00:00"/>
    <d v="1899-12-30T10:05:00"/>
    <n v="1169"/>
    <x v="6"/>
    <s v="si"/>
    <s v="si"/>
    <s v="si"/>
    <s v="si"/>
    <s v="si"/>
    <m/>
    <s v="si"/>
    <m/>
    <s v="no"/>
    <s v="no"/>
    <s v="si"/>
    <m/>
    <n v="91"/>
    <s v="UBILLOS, JOANA MIRTA SOLEDAD"/>
    <m/>
    <m/>
    <s v="si"/>
    <s v="no"/>
    <s v="si"/>
    <s v="si"/>
    <s v="no"/>
    <s v="no"/>
    <s v="si"/>
    <s v="si"/>
    <s v="si"/>
    <s v="si"/>
    <s v="si"/>
    <s v="si"/>
    <s v="si"/>
    <s v="21/05/2016 Coche 9:45hs en plataforma, esta mojado por la lluvia, azafata corta boleo en la puerta, hay agua en el interior, sobre todo en el piso de arriba, hay alcohol. Salimos 10:05hs sube gente en Montoya y luego reproducen el audio y video. La azafata sirve el café correctamente, la tercer pantalla de arriba se ve azul. El coche se llueve en las butacas 14 Y 36 por las escotillas. La azafata perfuma tres veces.  11:38hs Eugenio Bustos. Secan el piso por el agua. 12:05 pasamos por Tunuyán. 13:18hs llegamos a Terminal Mza.   "/>
  </r>
  <r>
    <n v="207"/>
    <s v="NG"/>
    <m/>
    <d v="2016-05-21T00:00:00"/>
    <n v="56"/>
    <s v="MZA SR"/>
    <d v="1899-12-30T18:00:00"/>
    <d v="1899-12-30T18:05:00"/>
    <n v="1312"/>
    <x v="26"/>
    <s v="si"/>
    <s v="si"/>
    <s v="si"/>
    <s v="si"/>
    <s v="si"/>
    <m/>
    <s v="si"/>
    <m/>
    <s v="no"/>
    <s v="no"/>
    <s v="si"/>
    <m/>
    <n v="54"/>
    <s v="BIBANCO, CYNTHIA DANIELA"/>
    <m/>
    <m/>
    <s v="si"/>
    <s v="no"/>
    <s v="si"/>
    <s v="si"/>
    <s v="no"/>
    <s v="no"/>
    <s v="si"/>
    <s v="si"/>
    <s v="si"/>
    <s v="si"/>
    <s v="si"/>
    <s v="si"/>
    <s v="si"/>
    <s v="21/06/2016 Coche 56 sale en plataforma 17:45hs coche limpio, tiene alcohol y jabón. Azafata morocha flaquita, corto e indico el lugar, nos informo que no pararan en el Toledano. El audio se escucha pasando el Cóndor y sirve el café amablemente  perfuma la unidad la unidad 3 veces, 19:15 control de Gendarmería, seguimos viaje , 19:38hs entra a Eugenio Bustos, perfuma y pregunta por la temperatura interior. 21:15hs llegamos a San Rafael. Reproduce el audio en la Rotonda. "/>
  </r>
  <r>
    <n v="208"/>
    <s v="JG"/>
    <m/>
    <d v="2016-05-26T00:00:00"/>
    <n v="56"/>
    <s v="SR MZA"/>
    <d v="1899-12-30T07:00:00"/>
    <d v="1899-12-30T07:00:00"/>
    <n v="1208"/>
    <x v="9"/>
    <s v="si"/>
    <s v="no"/>
    <s v="si"/>
    <s v="no"/>
    <s v="si"/>
    <m/>
    <s v="si"/>
    <m/>
    <s v="no"/>
    <s v="si"/>
    <s v="si"/>
    <m/>
    <n v="54"/>
    <s v="BIBANCO, CYNTHIA DANIELA"/>
    <m/>
    <m/>
    <s v="si"/>
    <s v="si"/>
    <s v="si"/>
    <s v="si"/>
    <s v="si"/>
    <s v="si"/>
    <s v="si"/>
    <s v="si"/>
    <s v="si"/>
    <s v="si"/>
    <m/>
    <s v="si"/>
    <s v="si"/>
    <s v="26/05/16 A las 6:27hs se observa a la unidad 56 frenar frente a la terminal (entrada y salida de personas) y bajar de la misma a un hombre ajeno a la empresa, el mismo porta chaleco luminiscente naranja y suele abrir las puertas de los taxis (vive en Rama caída). Azafata recibe atenta a pasajeros, chofer en bodega luego se va hacia el refuerzo (Unidad 45). Verifican la ubicación de un pasajero que venia de Calle Larga y tiene la misma butaca que otra pasajera. Cuando la unidad va por Champanera la azafata recibe una llamada, al parecer es el guarda del refuerzo (Vargas), parece que en Toledano dejaron a un pasajero que iba en esta unidad, no en el refuerzo, por lo que quedan que en Montoya harán el intercambio. Speech reproducido correctamente. Ofrece y sirve el catering según instructivo y de manera amable. Por Paso las Carretas se lleva agua caliente en la cafetera a cabina. Perfuma dos veces. En ocasiones despide desde arriba de la unidad. Baño en condiciones, pero sin tapa (sentadera) muy antihigiénico, ya que el mismo siempre tiene gotas de orina."/>
  </r>
  <r>
    <n v="209"/>
    <s v="JG"/>
    <m/>
    <d v="2016-05-26T00:00:00"/>
    <n v="108"/>
    <s v="MZA SR"/>
    <d v="1899-12-30T15:00:00"/>
    <d v="1899-12-30T15:06:00"/>
    <n v="1190"/>
    <x v="4"/>
    <s v="si"/>
    <s v="si"/>
    <s v="si"/>
    <s v="no"/>
    <s v="si"/>
    <m/>
    <s v="si"/>
    <m/>
    <s v="no"/>
    <s v="si"/>
    <s v="si"/>
    <m/>
    <n v="1140"/>
    <s v="ORTEGA, PABLO ANDRES"/>
    <m/>
    <m/>
    <s v="si"/>
    <m/>
    <s v="si"/>
    <s v="si"/>
    <s v="no"/>
    <s v="si"/>
    <s v="si"/>
    <s v="si"/>
    <s v="si"/>
    <s v="si"/>
    <s v="si"/>
    <s v="no"/>
    <s v="si"/>
    <s v="26/05/16 La unidad llega a plataforma 14:54hs (llega a terminal ya que no se encontraba en encomiendas), llega a alta velocidad; el chofer se mantiene  dentro de la cabina (Jovic), el azafato (Ortega) recibe atento a pasajeros. Cuando va saliendo se frena antes de la boca de salida de la terminal y se hace a un costado, el chofer se baja y cargan encomiendas, allí una pasajera decide bajar y azafato la ayuda con sus cosas. Desde este lugar de terminal se sale a las 15:11hs. Speech con sonido muy malo, lo verifica pero no se escucha bien, muy variable. Catering ofrecido y servido correctamente. Se comienza a reproducir el V. Institucional y al verificar sonido baja los Tvs del pasillo. Ofrece catering a todos los que suben en el camino. Antes de Tunuyán lleva a cabina un vaso con saquito y agua caliente que saca de  la cafetera del bar. En ocasiones la película se escucha con volumen muy elevado, incomoda a pasajeros que quieren dormir. Perfuma dos veces. La bodega no es vigilada. "/>
  </r>
  <r>
    <n v="210"/>
    <s v="NG"/>
    <m/>
    <d v="2016-05-26T00:00:00"/>
    <n v="109"/>
    <s v="SR MZA"/>
    <d v="1899-12-30T16:30:00"/>
    <d v="1899-12-30T16:30:00"/>
    <n v="1281"/>
    <x v="2"/>
    <s v="si"/>
    <s v="si"/>
    <s v="si"/>
    <s v="si"/>
    <s v="si"/>
    <m/>
    <s v="si"/>
    <m/>
    <s v="no"/>
    <s v="no"/>
    <s v="si"/>
    <m/>
    <n v="78"/>
    <s v="CORNEJO, MARIA SOLEDAD"/>
    <m/>
    <m/>
    <s v="si"/>
    <s v="no"/>
    <s v="si"/>
    <s v="si"/>
    <s v="no"/>
    <s v="no"/>
    <s v="si"/>
    <s v="si"/>
    <s v="no"/>
    <s v="no"/>
    <s v="si"/>
    <s v="si"/>
    <s v="si"/>
    <s v="26/05/2016 Coche 109, chofer y azafata petiza flaquita, muy simpática y amable se para en la puerta de la coche y corta boleto sola, el chofer no esta en la unidad, aparece 16:55 y se sube al coche, el coche esta muy limpio, tiene jabón y alcohol, el diario del día sobre la hielera. El audio se escucha bien, empieza en Montoya y luego sube una Sra. en el Cristo, el video se ve bien y la película también. La azafata sirve bien el café muy amable, se lava con alcohol en gel frente a todos, la 3ra pantalla esta rota, se ve muy mal. 18:15hs Eugenio Bustos, la azafata perfuma una vez. En Tunuyán bajan pasajeros en la plaza18:45hs.  bajan pasajeros en Lujan y la azafata abre la bodega y entrega el equipaje. Colocan el audio en el Cóndor. Llegamos 19:45hs.   "/>
  </r>
  <r>
    <n v="211"/>
    <s v="NG"/>
    <m/>
    <d v="2016-05-27T00:00:00"/>
    <n v="47"/>
    <s v="MZA SR"/>
    <d v="1899-12-30T09:00:00"/>
    <d v="1899-12-30T09:01:00"/>
    <n v="1155"/>
    <x v="0"/>
    <s v="si"/>
    <s v="si"/>
    <s v="si"/>
    <s v="si"/>
    <s v="si"/>
    <m/>
    <s v="si"/>
    <m/>
    <s v="no"/>
    <s v="no"/>
    <s v="si"/>
    <m/>
    <n v="1147"/>
    <s v="VALENZUELA, MARIO ORLANDO"/>
    <m/>
    <m/>
    <s v="si"/>
    <m/>
    <s v="si"/>
    <s v="si"/>
    <s v="no"/>
    <s v="no"/>
    <s v="si"/>
    <s v="si"/>
    <s v="si"/>
    <s v="si"/>
    <s v="si"/>
    <s v="si"/>
    <s v="si"/>
    <s v="27/05/16 Coche 47, 8:45 en plataforma. Chofer y guarda en la puerta del colectivo, guarda mayor y canoso de lentes. Coche limpio con jabón y alcohol, salimos 9:01, diario sobre la hielera, en el Cóndor reproducen el audio y luego el video, se ve bien, luego sirve el café muy amablemente, retira los vasos y perfuma. 18:00hs pasamos por Tunuyán, el guarda perfuma otra vez, bajan pasajeros en la plaza y seguimos, 10:32hs entramos a Eugenio Bustos, el chofer y guarda NO cambiaron de posición, seguimos viaje. Llegamos A San Rafael 12:14hs. No reproducen el audio de llegada. "/>
  </r>
  <r>
    <n v="212"/>
    <s v="JG"/>
    <m/>
    <d v="2016-05-27T00:00:00"/>
    <n v="56"/>
    <s v="SR MZA"/>
    <d v="1899-12-30T10:00:00"/>
    <d v="1899-12-30T10:00:00"/>
    <n v="1208"/>
    <x v="9"/>
    <s v="si"/>
    <s v="no"/>
    <s v="si"/>
    <s v="no"/>
    <s v="si"/>
    <m/>
    <s v="si"/>
    <m/>
    <s v="no"/>
    <s v="no"/>
    <s v="si"/>
    <m/>
    <n v="115"/>
    <s v="ORTEGA, CLAUDIO DAVID"/>
    <m/>
    <m/>
    <s v="si"/>
    <m/>
    <s v="si"/>
    <s v="si"/>
    <s v="no"/>
    <s v="no"/>
    <s v="si"/>
    <s v="si"/>
    <s v="si"/>
    <s v="si"/>
    <s v="si"/>
    <s v="si"/>
    <s v="si"/>
    <s v="27/05/16 La unidad llega a horario. Azafato (Ortega) recibe solo a pasajeros, al chofer no se lo visualiza, por lo que no vigila la bodega y al llegar a Tmza se queda al lado del azafato. El palo del lampazo esta caído sobre las escaleras, el mismo molesta al subir hacia el piso superior. La unidad sale a horario de plataforma pero al circular por terminal debe frenar para que suba una Sra. que no tiene pasaje. Speech reproducido correctamente, el catering se ofreció y sirvió según el instructivo, utilizo alcohol en gel. El video institucional y película reproducidos con volumen aceptable. No se ingresa a la terminal de San Carlos. En Tunuyán se para en la plaza y el azafato debe ir a buscar a un pasajero que al parecer se ha quedado dormido, lo deben esperar bastante, el mismo agradece. Perfumo dos veces. "/>
  </r>
  <r>
    <n v="213"/>
    <s v="JG"/>
    <m/>
    <d v="2016-05-27T00:00:00"/>
    <n v="108"/>
    <s v="MZA SR"/>
    <d v="1899-12-30T18:00:00"/>
    <d v="1899-12-30T18:01:00"/>
    <n v="1045"/>
    <x v="10"/>
    <s v="si"/>
    <s v="si"/>
    <s v="no"/>
    <s v="si"/>
    <s v="si"/>
    <m/>
    <s v="si"/>
    <m/>
    <s v="no"/>
    <s v="si"/>
    <s v="si"/>
    <m/>
    <n v="91"/>
    <s v="UBILLOS, JOANA MIRTA SOLEDAD"/>
    <m/>
    <m/>
    <s v="si"/>
    <s v="si"/>
    <s v="si"/>
    <s v="si"/>
    <s v="si"/>
    <s v="si"/>
    <s v="si"/>
    <s v="si"/>
    <s v="si"/>
    <s v="no"/>
    <s v="si"/>
    <s v="si"/>
    <s v="si"/>
    <s v="27/05/16 La unidad llega 15 minutos antes. El refuerzo tiene cartelería que lo indica como tal. El chofer se va a boletería y luego regresa y acompaña a la azafata al recibimiento del pasajero. Speech reproducido al ingresar a la doble vía, azafata ofrece el catering y luego en Azcuénaga suben pasajeros. Sirve agua según el instructivo, sirve agua mineral a todos los pasajeros que se la piden. Video Institucional y película con volúmenes verificados. Por cordón del Plata llena dos vasos con agua caliente y los lleva a cabina, allí le pide al chofer que apague las luces azules, dice que son muy brillantes, así la unidad queda mas oscura pero pasajeros suben luego y no pueden ver los números de butacas. Cuando pasan por la ultima garita de Paso las Carretas el chofer alcanza a ver a una persona, por lo que frena bastante mas adelante, la azafata le pide disculpas, ofreció a todos catering (gente de Tunuyán y San Calos, no así al de Paso las Carretas). En Rivadavia (21:05hs) la policía federal para la unidad, un efectivo sube y observa a pasajeros desde el piso superior al lado de las escaleras y a los 2 minutos después seguimos viaje."/>
  </r>
  <r>
    <n v="214"/>
    <s v="NG"/>
    <m/>
    <d v="2016-05-28T00:00:00"/>
    <n v="110"/>
    <s v="SR MGUE"/>
    <d v="1899-12-30T14:00:00"/>
    <d v="1899-12-30T14:02:00"/>
    <n v="1293"/>
    <x v="12"/>
    <s v="si"/>
    <s v="si"/>
    <s v="si"/>
    <s v="si"/>
    <s v="si"/>
    <m/>
    <s v="si"/>
    <m/>
    <s v="no"/>
    <s v="no"/>
    <s v="si"/>
    <m/>
    <n v="1232"/>
    <s v="GONZALEZ, JORGE DAVID"/>
    <m/>
    <m/>
    <s v="si"/>
    <s v="no"/>
    <s v="si"/>
    <s v="si"/>
    <s v="no"/>
    <s v="no"/>
    <s v="si"/>
    <s v="si"/>
    <s v="si"/>
    <m/>
    <m/>
    <m/>
    <m/>
    <s v="28/05/16 Coche 110 en plataforma  a las 13:45hs, chofer acomoda los vasos en la cabina y el guarda corta boletos en la puerta. Coche limpio, tiene jabón y alcohol, el diario sobre la hielera. Viajan pocos pasajeros, salimos 14:01hs de terminal. Sube una chica en Moreno e Yrigoyen, el audio se escucha bien, comienza en Balloffet y Sarmiento, sube un pasajero en Balloffet y los Sauces y no vuelven a poner el audio. El guarda sirve bien el café, pregunta a todos, perfuma al retirar los vasos, cuatro chicos bajan en el cruce y otra baja en el Sosneado. El viaje es muy tranquilo, no cambian de posición el guarda con el chofer. Llegamos 16:30hs a terminal. "/>
  </r>
  <r>
    <n v="215"/>
    <s v="NG"/>
    <m/>
    <d v="2016-05-29T00:00:00"/>
    <n v="43"/>
    <s v="MGUE SR"/>
    <d v="1899-12-30T07:45:00"/>
    <d v="1899-12-30T07:47:00"/>
    <n v="1190"/>
    <x v="4"/>
    <s v="si"/>
    <s v="si"/>
    <s v="si"/>
    <s v="si"/>
    <s v="si"/>
    <m/>
    <s v="si"/>
    <m/>
    <s v="no"/>
    <s v="no"/>
    <s v="si"/>
    <m/>
    <n v="1143"/>
    <s v="FORTE, MARIO LUIS"/>
    <m/>
    <m/>
    <s v="si"/>
    <s v="no"/>
    <s v="si"/>
    <s v="si"/>
    <s v="no"/>
    <s v="no"/>
    <s v="si"/>
    <s v="si"/>
    <s v="si"/>
    <s v="no"/>
    <s v="no"/>
    <s v="si"/>
    <s v="si"/>
    <s v="29/05/16 Coche 43, 7:30 en plataforma, guarda pelado joven en la puerta corta boletos, chofer mayor en la cabina, salimos 7:47, un Sr pide que le abran para dejar unas llaves en la boletería, se baja mientras el coche retrocede y se sube al ratito, salimos 7:48hs el guarda y el chofer cambian antes de salir, el guarda tiene un pullover a rayas que no es de la empresa, sirve el café saliendo de la terminal, lo hace muy amablemente. Viajan 3 policías en la ESSO sube un pasajero, el guarda le sirve café (el audio y el video NO por el horario) El guarda perfuma dos veces. Sube un chico en la sgte parada que va al Sosneado, pasa su tarjeta pero no se la toma porque es domingo, así es que paga el boleto, en la sgte parada suben dos maestras, una paga hasta el Sosneado y la otra a los Parlamentos, baja gente en Cuadro Benegas, en el cruce y en la isla, en los filtros, en los sauces y en calle sarmiento. El viaje fue muy placentero y llegamos 10:21 a terminal. "/>
  </r>
  <r>
    <n v="216"/>
    <s v="JG"/>
    <m/>
    <d v="2016-05-30T00:00:00"/>
    <n v="43"/>
    <s v="SR MZA"/>
    <d v="1899-12-30T07:00:00"/>
    <d v="1899-12-30T07:01:00"/>
    <n v="1190"/>
    <x v="4"/>
    <s v="si"/>
    <s v="si"/>
    <s v="si"/>
    <s v="no"/>
    <s v="si"/>
    <m/>
    <s v="si"/>
    <m/>
    <s v="no"/>
    <s v="si"/>
    <s v="si"/>
    <m/>
    <n v="1143"/>
    <s v="FORTE, MARIO LUIS"/>
    <m/>
    <m/>
    <s v="si"/>
    <m/>
    <s v="no"/>
    <s v="si"/>
    <s v="no"/>
    <s v="si"/>
    <s v="no"/>
    <s v="no"/>
    <s v="no"/>
    <s v="si"/>
    <m/>
    <s v="si"/>
    <s v="si"/>
    <s v="30/05/16 La unidad llega en horarios, posee cartelería que lo indica como refuerzo. El chofer (Jovic) recibe a pasajeros, atento indica butaca y piso. El guarda se encuentra en cabina acomodando elementos del catering. Speech colocado correctamente. Cattering ofrecido de manera atenta pero lo sirve sin seguir el orden establecido (P-V). Se logra escuchar la radio con sonido elevado desde S.R. hasta S.C. aproximadamente, luego la apagan. En TSC hay cambio de chofer, el nuevo guarda (Jovic) limpia con lampazo la cabina y perfuma una vez la unidad. Despide desde arriba del coche (cabina), saliendo de Tunuyán prepara catering, lo llena con agua caliente y lleva dos vasos a cabina. Al llegar a TMza chofer estaciona la unidad e inmediatamente el chofer (Marín) de la unidad 46 ingresa a la cabina y se le abalanza al guarda (Jovic) este le dice que tiene que despedir a pasajeros pero cierra con la cortina que divide la escalera de a cabina. Se adjunta papel encontrado en lateral de butaca. "/>
  </r>
  <r>
    <n v="217"/>
    <s v="NG"/>
    <m/>
    <d v="2016-05-30T00:00:00"/>
    <n v="47"/>
    <s v="SR MZA"/>
    <d v="1899-12-30T10:00:00"/>
    <d v="1899-12-30T10:02:00"/>
    <n v="1147"/>
    <x v="20"/>
    <s v="si"/>
    <s v="si"/>
    <s v="si"/>
    <s v="si"/>
    <s v="si"/>
    <m/>
    <s v="si"/>
    <m/>
    <s v="no"/>
    <s v="no"/>
    <s v="si"/>
    <m/>
    <n v="54"/>
    <s v="BIBANCO, CYNTHIA DANIELA"/>
    <m/>
    <m/>
    <s v="si"/>
    <s v="no"/>
    <s v="si"/>
    <s v="si"/>
    <s v="no"/>
    <s v="no"/>
    <s v="si"/>
    <s v="si"/>
    <s v="si"/>
    <s v="si"/>
    <s v="si"/>
    <s v="si"/>
    <s v="si"/>
    <s v="30/05/16 Coche 47. 9:45hs en plataforma coche muy limpio y perfumado, azafata morocha petiza corta boletos en la puerta. Salimos 10:02hs el audio después del aeropuerto donde suben dos chicos. Sirve el café muy atentamente, se lavo con alcohol en gel, enjuaga la cafetera, sirve y cuando retira perfuma, el viaje es muy placentero, 11:40hs en Eugenio Bustos bajan pasajeros, la azafata perfuma otra vez, 12:05 Tunuyán, bajan pasajeros en la plaza. Llegamos 13:05hs a terminal. "/>
  </r>
  <r>
    <n v="218"/>
    <s v="JG"/>
    <m/>
    <d v="2016-05-30T00:00:00"/>
    <n v="47"/>
    <s v="MZA SR"/>
    <d v="1899-12-30T15:00:00"/>
    <d v="1899-12-30T14:59:00"/>
    <n v="1147"/>
    <x v="20"/>
    <s v="si"/>
    <s v="si"/>
    <s v="si"/>
    <s v="si"/>
    <s v="si"/>
    <m/>
    <s v="si"/>
    <m/>
    <s v="no"/>
    <s v="si"/>
    <s v="si"/>
    <m/>
    <n v="54"/>
    <s v="BIBANCO, CYNTHIA DANIELA"/>
    <m/>
    <m/>
    <s v="si"/>
    <s v="si"/>
    <s v="si"/>
    <s v="si"/>
    <s v="si"/>
    <s v="si"/>
    <s v="si"/>
    <s v="si"/>
    <s v="si"/>
    <s v="no"/>
    <s v="si"/>
    <s v="si"/>
    <s v="si"/>
    <s v="30/05/16 La unidad llega a plataforma en horario estimado, chofer va a boletería y luego acompaña a la azafata a recibir pasajeros, al llegar a TSR vigila la bodega. No hay cartel que indique destino, el mismo se encuentra apagado. Pasajeras de butacas 13 y 14 se quejan de los apoyacabezas, dicen que tienen feo olor, colocan una pashmina. A las 14:59hs la unidad empieza a salir de plataforma y llega una persona sin pasaje por lo que deben frenar. Speech saliendo d e terminal. En Azcuénaga se frena, la azafata esta en el piso superior repartiendo catering, luego el chofer arranca, se escuchan silbidos, por lo que frenan del otro lado del puente y el chofer llama la azafata, esperan a esta persona, al parecer tiene pasaje. Sirve el catering siguiendo el instructivo. Llegando a ISCAMEN llena vasos con agua caliente y los lleva a cabina. A las 17:48hs en el arco de ingreso Gendarmería detiene la unidad hasta las 17:00 hs."/>
  </r>
  <r>
    <n v="219"/>
    <s v="NG"/>
    <m/>
    <d v="2016-05-30T00:00:00"/>
    <n v="49"/>
    <s v="MZA SR"/>
    <d v="1899-12-30T18:00:00"/>
    <d v="1899-12-30T18:03:00"/>
    <n v="1137"/>
    <x v="13"/>
    <s v="si"/>
    <s v="si"/>
    <s v="si"/>
    <s v="si"/>
    <s v="si"/>
    <m/>
    <s v="si"/>
    <m/>
    <s v="no"/>
    <s v="no"/>
    <s v="si"/>
    <m/>
    <n v="115"/>
    <s v="ORTEGA, CLAUDIO DAVID"/>
    <m/>
    <m/>
    <s v="si"/>
    <s v="no"/>
    <s v="si"/>
    <s v="si"/>
    <s v="no"/>
    <s v="no"/>
    <s v="si"/>
    <s v="si"/>
    <s v="si"/>
    <s v="si"/>
    <s v="si"/>
    <s v="si"/>
    <s v="si"/>
    <s v="30/05/16 Coche 45 17:45hs plataforma, chofer morocho y guarda rubio, flaquito, muy atento. Corta boletos en la puerta. Coche limpio y perfumado. 18:03hs salimos, pasando el Cóndor reproducen el audio y video, sirve el café muy atentamente, perfuma la unidad después de retirar. 19:oo pasmaos por Tunuyán, 19:22hs entramos a Eugeni Bustos, sube una chica y el guarda sirve un café, perfuma la unidad, al terminar la película el guarda sube la pantallas, al llega a San Rafaela no reproducen el audio d e llegada. 21:16hs en Terminal."/>
  </r>
  <r>
    <n v="220"/>
    <s v="JG"/>
    <m/>
    <d v="2016-06-03T00:00:00"/>
    <n v="56"/>
    <s v="SR MZA"/>
    <d v="1899-12-30T07:00:00"/>
    <d v="1899-12-30T07:03:00"/>
    <n v="1206"/>
    <x v="7"/>
    <s v="si"/>
    <s v="si"/>
    <s v="si"/>
    <s v="no"/>
    <s v="si"/>
    <m/>
    <s v="si"/>
    <m/>
    <s v="no"/>
    <s v="no"/>
    <s v="si"/>
    <m/>
    <n v="1061"/>
    <s v="TORRES, FERNANDO OMAR"/>
    <m/>
    <m/>
    <s v="si"/>
    <m/>
    <s v="si"/>
    <s v="si"/>
    <s v="no"/>
    <s v="no"/>
    <s v="si"/>
    <s v="si"/>
    <s v="no"/>
    <s v="no"/>
    <s v="si"/>
    <s v="si"/>
    <s v="si"/>
    <s v="03/06/16 La unidad 44 no posee cartelería de refuerzo. Llega 20 min antes, chofer (Torres) recibe muy amable y el guarda (Zolloco) esta en cabina acomodando elementos del catering. Speech por Champanera y en Montoya y el Cristo suben varios pasajeros. Guarda reparte y sirve el catering correctamente. Tarda bastante en ir a retirar los restos. No perfuma. En TSC cambian de lugar, el nuevo guarda (Torres) le pregunta al nuevo chofer si vio subir a una mujer que bajo al baño (TSC) ya que la unidad iba saliendo, este no sabia sobre la pasajera, otra Sra. del piso inferior le avisa que esa mujer bajaba allí. Guarda llegando a Tunuyán recorre la unidad preguntando quien bajaba en ese sector; antes de Azcuénaga vuelve a recorrerla; nunca perfuma. El baño esta en condiciones, pero no tiene tapa, muy antihigiénico ya que la orilla siempre esta sucia. Torres despide amable. Zolloco se va al quiosco de revistas. "/>
  </r>
  <r>
    <n v="221"/>
    <s v="JG"/>
    <m/>
    <d v="2016-06-03T00:00:00"/>
    <n v="47"/>
    <s v="MZA SR"/>
    <d v="1899-12-30T15:00:00"/>
    <d v="1899-12-30T15:01:00"/>
    <n v="1147"/>
    <x v="20"/>
    <s v="si"/>
    <s v="si"/>
    <s v="si"/>
    <s v="no"/>
    <s v="si"/>
    <m/>
    <s v="si"/>
    <m/>
    <s v="no"/>
    <s v="no"/>
    <s v="si"/>
    <m/>
    <n v="54"/>
    <s v="BIBANCO, CYNTHIA DANIELA"/>
    <m/>
    <m/>
    <s v="si"/>
    <s v="si"/>
    <s v="si"/>
    <s v="si"/>
    <s v="no"/>
    <s v="si"/>
    <s v="si"/>
    <s v="si"/>
    <s v="no"/>
    <s v="si"/>
    <s v="si"/>
    <s v="si"/>
    <s v="si"/>
    <s v="03/06/16 La unidad llega 15 min antes a plataforma. La unidad 43 no posee cartelería que la indique como refuerzo. Azafata y chofer reciben a pasajeros, no se vigila la bodega en ninguna oportunidad. Cuando va saliendo de plataforma una pasajera le dice a la azafata que una amiga va llegando, si la pueden esperar, azafata le recuerda cual es el horario  de salida y que la esperan en Azcuénaga (lo que sucedió, se espero en Azcuénaga al refuerzo para que la joven subiera en esta unidad). Cuando la unidad llega a la boca de salida de la terminal, una joven que va llegado hace señas, azafata por la ventanilla de la cabina le pregunta si es la joven que estaba llegando y le había avisado a una amiga, esta joven le dice que no, azafata verifica el pasaje y le dice que va en el refuerzo que lo espere allí porque iba saliendo. Speech ingresando a la doble vía, ofrece y reparte catering de manera atenta. Se perfumo solo una vez. Viajan tres personas paradas con bolsos. Viajan en las escaleras. "/>
  </r>
  <r>
    <n v="222"/>
    <s v="GM"/>
    <m/>
    <d v="2016-06-04T00:00:00"/>
    <m/>
    <s v="SR MZA"/>
    <d v="1899-12-30T10:00:00"/>
    <d v="1899-12-30T10:00:00"/>
    <n v="1190"/>
    <x v="4"/>
    <s v="si"/>
    <s v="si"/>
    <s v="si"/>
    <s v="si"/>
    <s v="si"/>
    <m/>
    <s v="si"/>
    <m/>
    <s v="no"/>
    <s v="no"/>
    <s v="si"/>
    <m/>
    <n v="54"/>
    <s v="BIBANCO, CYNTHIA DANIELA"/>
    <m/>
    <m/>
    <s v="si"/>
    <s v="si"/>
    <s v="si"/>
    <s v="si"/>
    <s v="no"/>
    <s v="no"/>
    <s v="si"/>
    <s v="si"/>
    <s v="si"/>
    <s v="no"/>
    <s v="no"/>
    <s v="no"/>
    <s v="si"/>
    <s v="04/06/16 Tanto el chofer como la azafata simpáticos y amables, lo demás es correcto, en cuanto al baño limpio, con jabón y agua; las cortinas limpias y cerradas, un portavasos roto junto en mi parte 55-56. Se baja la azafata para recibir los pasajeros en el camino, buena temperatura, buena velocidad, el speech no se entiende nada y solo se escucha en ingles. El de bienvenida en cambio a las 13:05hs si es muy claro, al igual que el video, la película tampoco tiene buen sonido. Pasa roseando perfume solo una vez. Le entrega la azafata a los pasajeros que no desean café le da las galletas."/>
  </r>
  <r>
    <n v="223"/>
    <s v="GM"/>
    <m/>
    <d v="2016-06-04T00:00:00"/>
    <m/>
    <s v="MZA SR"/>
    <d v="1899-12-30T18:00:00"/>
    <d v="1899-12-30T18:00:00"/>
    <n v="1120"/>
    <x v="1"/>
    <s v="si"/>
    <s v="si"/>
    <s v="si"/>
    <s v="si"/>
    <s v="si"/>
    <m/>
    <s v="no"/>
    <m/>
    <s v="no"/>
    <s v="no"/>
    <s v="si"/>
    <m/>
    <n v="1294"/>
    <s v="MARIN, LUIS ALBERTO"/>
    <m/>
    <m/>
    <s v="si"/>
    <m/>
    <s v="si"/>
    <s v="no"/>
    <s v="no"/>
    <s v="si"/>
    <s v="si"/>
    <s v="si"/>
    <m/>
    <s v="si"/>
    <s v="si"/>
    <s v="si"/>
    <s v="si"/>
    <s v="04/06/16 Chofer y guarda reciben a los pasajeros, vestimenta y aspecto muy bueno y en condiciones, muy amable en trato, sirve bien el catering y cuando suben los pasajeros restantes en el camino, les ofrece el catering. Roces tres veces perfume, esta atento a la calefacción. Claro el speech y video, recién ahí los pasajeros se colocan el cinturón. Sonó la chicharra del limite de velocidad a una hora de llegar a San Rafael. Después de que termino la película se colgaron en sacar el DVD y se reproducía una  y otra vez la pantalla de inicio desde las y 35 hasta 50 (se oye charlar mucho), por lo demás correcto. "/>
  </r>
  <r>
    <n v="224"/>
    <s v="JG"/>
    <m/>
    <d v="2016-06-06T00:00:00"/>
    <n v="46"/>
    <s v="SR MZA"/>
    <d v="1899-12-30T07:00:00"/>
    <d v="1899-12-30T07:03:00"/>
    <n v="1147"/>
    <x v="20"/>
    <s v="si"/>
    <s v="si"/>
    <s v="si"/>
    <s v="no"/>
    <s v="si"/>
    <m/>
    <s v="si"/>
    <m/>
    <s v="no"/>
    <s v="si"/>
    <s v="si"/>
    <m/>
    <n v="36"/>
    <s v="ARAYA, MONICA BEATRIZ"/>
    <m/>
    <m/>
    <s v="si"/>
    <m/>
    <s v="si"/>
    <s v="si"/>
    <s v="no"/>
    <s v="si"/>
    <s v="si"/>
    <s v="si"/>
    <s v="si"/>
    <s v="no"/>
    <m/>
    <s v="si"/>
    <s v="si"/>
    <s v="06/06/16 La unidad esta 15 min antes, posee cartelería indicando refuerzo. Chofer (Bravo) y guarda (Marín N.) reciben juntos a pasajeros. No se vigila la bodega. Suben dos policías, los mismos se colocan en las escaleras, al llegar a Toledano uno de ellos se coloca en las escaleras del lado de cabina sentado, luego ingresa a cabina y viaja en ese sector hasta que se baja en Plaza Tunuyán. No hay speech de bienvenida (el de salida); Catering ofrecido y servido según instructivo, amable. Perfuma una vez. El agua del catering la saca de cabina, luego verifico que hay un bidón negro con tapa en las escaleras. En Paso las Carretas sube una persona y el guarda (Marín) le dice que como no tiene monedas de vuelto le da las galletas.  No se despide de personas que bajan en la ruta. TSC hay cambio de choferes, el nuevo guarda (Bravo) perfuma una vez y recorre otra antes de Azcuénaga verificando cuales pasajeros son los que bajan. En piso de la unidad, zona delantera, piso superior, tenia una mancha grande en el piso, como si hubiera caído algo dulce (te, gaseosa, etc. - hay foto) y también se observa una tutuca debajo de la butaca 4. "/>
  </r>
  <r>
    <n v="225"/>
    <s v="GM"/>
    <m/>
    <d v="2016-06-06T00:00:00"/>
    <n v="45"/>
    <s v="SR MZA"/>
    <d v="1899-12-30T13:00:00"/>
    <d v="1899-12-30T13:00:00"/>
    <n v="1163"/>
    <x v="24"/>
    <s v="si"/>
    <s v="si"/>
    <s v="si"/>
    <s v="si"/>
    <s v="si"/>
    <m/>
    <s v="si"/>
    <m/>
    <s v="no"/>
    <s v="si"/>
    <s v="si"/>
    <m/>
    <n v="54"/>
    <s v="BIBANCO, CYNTHIA DANIELA"/>
    <m/>
    <m/>
    <s v="si"/>
    <s v="si"/>
    <s v="si"/>
    <s v="si"/>
    <s v="si"/>
    <s v="si"/>
    <s v="si"/>
    <s v="si"/>
    <s v="si"/>
    <s v="si"/>
    <s v="no"/>
    <s v="si"/>
    <s v="si"/>
    <s v="06/06/16  El coche llego a las 12:40, el numero 45 con cartel indicador en condiciones, limpio en su exterior, por el interior se encuentra en buenas condiciones de limpieza, nada roto, baño con agua y jabón limpio. Cortinas limpias y portavasos bien. El conductor y azafata reciben a los pasajeros, indican su ubicación, tienen buena apariencia y vestimenta. El lugar que me toco fue arriba, pero con el reflejo del vidrio podía observar a ambos, mas la azafata (buena apariencia, amable, sirve el catering correcto, rocía perfume dos veces, el celular se observa que lo saca de vez en cuando , lo mira, manda un mensaje y lo guarda, en un momento mando un audio cortito o bien llamada cortita). Ingieren ambos café y un sándwiches parece o bien galletas no se observa buena que sacan de una bolsa. Llegada 16:10hs. El video o película no se vio. "/>
  </r>
  <r>
    <n v="227"/>
    <s v="GM"/>
    <m/>
    <d v="2016-06-06T00:00:00"/>
    <n v="56"/>
    <s v="MZA SR"/>
    <d v="1899-12-30T20:15:00"/>
    <d v="1899-12-30T20:15:00"/>
    <n v="1208"/>
    <x v="9"/>
    <s v="si"/>
    <s v="si"/>
    <s v="si"/>
    <s v="no"/>
    <s v="si"/>
    <m/>
    <s v="si"/>
    <m/>
    <s v="no"/>
    <s v="no"/>
    <s v="si"/>
    <m/>
    <n v="1247"/>
    <s v="CANOVAS, RAMON EDUARDO"/>
    <m/>
    <m/>
    <s v="si"/>
    <m/>
    <s v="si"/>
    <s v="si"/>
    <s v="no"/>
    <s v="no"/>
    <s v="si"/>
    <s v="si"/>
    <s v="si"/>
    <s v="no"/>
    <s v="no"/>
    <s v="no"/>
    <s v="si"/>
    <s v="06/06/16 El coche en plataforma a las 91:59, limpio y en buen estado por dentro y por fuera (vidrios un poco rayados) cortinas y portavasos en condiciones, baño limpio con agua y jabón. Chofer no recibe a lo pasajeros, solo el guarda, buenas vestimentas y apariencia, sirve bien el catering (un poco despistado, se olvida de entregar las galletas o el azúcar) rosea 2 veces perfume. El audio del speech es claro, no así el video no se escucha bien, luego lo arreglan. El de Bienvenida de regreso directamente no lo ponen. "/>
  </r>
  <r>
    <n v="226"/>
    <s v="JG"/>
    <m/>
    <d v="2016-06-06T00:00:00"/>
    <n v="47"/>
    <s v="MZA SR"/>
    <d v="1899-12-30T15:00:00"/>
    <d v="1899-12-30T15:00:00"/>
    <n v="1163"/>
    <x v="24"/>
    <s v="si"/>
    <s v="si"/>
    <s v="si"/>
    <s v="no"/>
    <s v="si"/>
    <m/>
    <s v="si"/>
    <m/>
    <s v="no"/>
    <s v="si"/>
    <s v="si"/>
    <m/>
    <n v="54"/>
    <s v="BIBANCO, CYNTHIA DANIELA"/>
    <m/>
    <m/>
    <s v="si"/>
    <s v="si"/>
    <s v="si"/>
    <s v="si"/>
    <s v="no"/>
    <s v="si"/>
    <s v="si"/>
    <s v="si"/>
    <s v="si"/>
    <s v="si"/>
    <s v="si"/>
    <s v="no"/>
    <s v="si"/>
    <s v="06/06/16 La unidad esta 15 min antes, chofer (Valenzuela) va en busca d ella lista de pasajeros, luego acompaña a la azafata al recibimiento de pasajeros. Unidad con temperatura muy elevada, aire muy pesado, todos los que suben al piso superior comentan lo mismo, luego de salir colocan la aireación y es mucho mas placentero. Algunos apoyabrazos están en posición baja. Speech colocado correctamente, con audio verificado y como el inicio fue con volumen muy bajo y casi no se escucho lo reproducen por segunda vez (supongo que por eso fue). Ofrece y sirve el catering correctamente, luego el video institucional con volumen muy elevado, Sras. de butaca 5 y 6 le comunican su descontento, ella dice que el informativo y publicidad deben reproducirse así (con volumen elevado), pero que la película tendrá un volumen mas bajo. Saliendo de la doble vía (Tunuyán) y por Paso las Carretas lleva a cabina vasos con agua caliente que llena de la cafetera del piso superior. Personas que suben en TSC les ofrece catering recién saliendo de paso las carretas. "/>
  </r>
  <r>
    <n v="228"/>
    <s v="JG"/>
    <m/>
    <d v="2016-06-07T00:00:00"/>
    <n v="49"/>
    <s v="SR MZA"/>
    <d v="1899-12-30T10:00:00"/>
    <d v="1899-12-30T10:01:00"/>
    <n v="1167"/>
    <x v="11"/>
    <s v="si"/>
    <s v="si"/>
    <s v="si"/>
    <s v="si"/>
    <s v="si"/>
    <m/>
    <s v="si"/>
    <m/>
    <s v="no"/>
    <s v="si"/>
    <s v="si"/>
    <m/>
    <n v="36"/>
    <s v="ARAYA, MONICA BEATRIZ"/>
    <m/>
    <m/>
    <s v="si"/>
    <s v="si"/>
    <s v="si"/>
    <s v="si"/>
    <s v="no"/>
    <s v="si"/>
    <s v="si"/>
    <s v="si"/>
    <s v="si"/>
    <s v="si"/>
    <s v="si"/>
    <s v="si"/>
    <s v="si"/>
    <s v="07/06/16 La unidad esta 15 min antes. Recién 9:50hs azafata junto al chofer que la acompaña con la lista d pasajeros, saludan, indican piso y butaca. Cuando llega a Mza chofer vigila la bodega. Al salir la unidad frena en cercanía a la boletería, azafata va hacia ese sector tardando 1 minutos. Speech colocado correctamente. Reparte y sirve el catering de manera atenta, luego le pregunta al chofer si quiere agua. Se encarga de visualizar el baño y la unidad cada vez que niños ingresan solos o con la madre, ya que han vomitado sectores del piso superior (azafata limpia) en una oportunidad azafata (supongo cansada de andar detrás de ellos) le pregunta que le ha dado a esos pequeños?! Por la Consulta llena un vaso con agua caliente y lo lleva a cabina. No se ingreso a TSC. No es repartido el diario del día. "/>
  </r>
  <r>
    <n v="229"/>
    <s v="JG"/>
    <m/>
    <d v="2016-06-07T00:00:00"/>
    <n v="46"/>
    <s v="MZA SR"/>
    <d v="1899-12-30T18:00:00"/>
    <d v="1899-12-30T18:03:00"/>
    <n v="1120"/>
    <x v="1"/>
    <s v="si"/>
    <s v="si"/>
    <s v="si"/>
    <s v="si"/>
    <s v="si"/>
    <m/>
    <s v="si"/>
    <m/>
    <s v="no"/>
    <s v="si"/>
    <s v="si"/>
    <m/>
    <n v="54"/>
    <s v="BIBANCO, CYNTHIA DANIELA"/>
    <m/>
    <m/>
    <s v="si"/>
    <s v="si"/>
    <s v="si"/>
    <s v="si"/>
    <s v="no"/>
    <s v="si"/>
    <s v="si"/>
    <s v="si"/>
    <s v="si"/>
    <s v="si"/>
    <s v="si"/>
    <s v="si"/>
    <s v="si"/>
    <s v="07/06/16 La unidad esta 10 min antes del horario, el chofer va a vigilar la bodega, mientras que C. Manía acompaña a la azafata (Bibanco) al recibimiento de pasajeros. La unidad esta en condiciones, el baño no tiene agua para el inodoro, si para el lavamanos. Antes de salir se escucha a la azafata decir a C. Manía que cualquier cosa diga que se acerquen hasta Azcuénaga, que el horario de salida es a las 18hs, si siguen así saldrán junto al Buttini. Speech reproducido correctamente, reparte y sirve el catering de manera atenta, una Sra. le avisa que su vaso pierde, por lo que inmediatamente busca otro vaso y se lo coloca debajo, luego llena un vaso con agua caliente y lo lleva a cabina. Perfuma dos veces el coche. Al llegar en TSR Policía Federal nos pidió que colocáramos nuestros bolsos en el piso incluidas las maletas y un perro olfateo todo. Viajan dos policias uno de ellos con pasaje. "/>
  </r>
  <r>
    <n v="230"/>
    <s v="GM"/>
    <m/>
    <d v="2016-06-09T00:00:00"/>
    <n v="49"/>
    <s v="SR MZA"/>
    <d v="1899-12-30T07:00:00"/>
    <d v="1899-12-30T07:00:00"/>
    <n v="1167"/>
    <x v="11"/>
    <s v="si"/>
    <s v="si"/>
    <s v="si"/>
    <s v="si"/>
    <s v="si"/>
    <m/>
    <s v="si"/>
    <m/>
    <s v="no"/>
    <s v="no"/>
    <s v="si"/>
    <m/>
    <n v="91"/>
    <s v="UBILLOS, JOANA MIRTA SOLEDAD"/>
    <m/>
    <m/>
    <s v="si"/>
    <s v="si"/>
    <s v="si"/>
    <s v="si"/>
    <s v="no"/>
    <s v="no"/>
    <s v="si"/>
    <s v="si"/>
    <s v="si"/>
    <s v="no"/>
    <s v="no"/>
    <s v="si"/>
    <s v="si"/>
    <s v="09/06/16 Coche esta limpio en san interior y exterior en condiciones aceptables (asientos, cortinas, apoyabrazos apoya vasos) y baño esta limpio posee agua y bajón. El coche estaba en plataforma a horario 6:44hs, con cartel indicador. El chofer (canoso con lentes) y la azafata reciben a pasajeros. Tanto chofer y azafata buena apariencia con uniforme a esta ultima le faltaba el corbatín (lo que le quita formalidad al traje a mi gusto) y no posee identificación. Sirve bien el catering, temperatura alta al principio luego se bajo. El speech tiene buen audio, pero no se repite, el video y la película no se reproduce. Rocía perfume dos veces pero no se baja a acompañar a los pasajeros que bajan en el camino (solo cuando tiene que entregar equipaje) Viajan 2 policías parados del lado del baño y buena parte del camino. Un Sr de civil que al desocuparse asiento subió arriba. No vigila la bodega el chofer."/>
  </r>
  <r>
    <n v="231"/>
    <s v="GM"/>
    <m/>
    <d v="2016-06-09T00:00:00"/>
    <n v="56"/>
    <s v="MZA SR"/>
    <d v="1899-12-30T15:00:00"/>
    <d v="1899-12-30T15:00:00"/>
    <n v="1208"/>
    <x v="9"/>
    <s v="si"/>
    <s v="si"/>
    <s v="si"/>
    <s v="no"/>
    <s v="si"/>
    <m/>
    <s v="si"/>
    <m/>
    <s v="no"/>
    <s v="no"/>
    <s v="si"/>
    <m/>
    <n v="36"/>
    <s v="ARAYA, MONICA BEATRIZ"/>
    <m/>
    <m/>
    <s v="si"/>
    <s v="si"/>
    <s v="si"/>
    <s v="si"/>
    <s v="no"/>
    <s v="no"/>
    <s v="si"/>
    <s v="si"/>
    <s v="si"/>
    <s v="no"/>
    <s v="si"/>
    <s v="si"/>
    <s v="si"/>
    <s v="09/06/16 Coche buenas condiciones aparentes a su exterior (vidrios carecería, ruedas) en el interior cortinas cerradas y en condiciones, al igual que los portavasos, apoyabrazos, asientos. Limpieza buena en si exterior (carrocería, vidrios) , baño limpio, agua y jabón y en su interior también (excepto papeles encontrados en la parte de adelante de mi asiento del catering anterior). Pisos y laterales limpio, buena temperatura. Speech de bienvenida calor, un poco bajo el de llegada. Video y película se ve y escucha bien. Azafata sirve bien el catering (en algunos casos pasillo-ventana). Es muy amable y posee buena apariencia. No se observa cuando usa alcohol en gel. Se baja a recoger y acompañar a los pasajeros. les recibe a la entrada. Chofer no esta en el momento ni para recibir a los pasajeros ni para controlar la bodega. Bien vestido en la 2da terminal (creo que San Carlos) alza unos pasajeros y el se baja a la terminal y habla por teléfono desde 16:25 hasta 16:37hs que vuelve a salir. Llegamos 18:10hs"/>
  </r>
  <r>
    <n v="232"/>
    <s v="JG"/>
    <m/>
    <d v="2016-06-10T00:00:00"/>
    <n v="49"/>
    <s v="SR MZA"/>
    <d v="1899-12-30T07:00:00"/>
    <d v="1899-12-30T07:03:00"/>
    <n v="1137"/>
    <x v="13"/>
    <s v="si"/>
    <s v="si"/>
    <s v="si"/>
    <s v="no"/>
    <s v="si"/>
    <m/>
    <s v="si"/>
    <m/>
    <s v="no"/>
    <s v="no"/>
    <s v="si"/>
    <m/>
    <n v="91"/>
    <s v="UBILLOS, JOANA MIRTA SOLEDAD"/>
    <m/>
    <m/>
    <s v="si"/>
    <s v="si"/>
    <s v="si"/>
    <s v="si"/>
    <s v="no"/>
    <s v="no"/>
    <s v="si"/>
    <s v="si"/>
    <s v="si"/>
    <s v="no"/>
    <m/>
    <s v="si"/>
    <s v="si"/>
    <s v="10/06/16 La unidad esta 15 min antes. El refuerzo tiene cartelería que lo indica como tal. Reciben recién a los pasajeros a las 6:53hs, azafata y chofer saludan atentos. Se reproduce speech en Champanera y luego en Montoya y en Cristo suben mas pasajeros. Azafata ofrece y sirve el catering muy atenta, siguiendo el instructivo. Perfuma en dos ocasiones. Pregunta a pasajeros sobre la temperatura en la unidad. Responde atenta a preguntas sobre horarios. Baño en condiciones. Al chofer no se lo observa vigilar la bodega, al llegar a Mza se queda dentro de la unidad. "/>
  </r>
  <r>
    <n v="233"/>
    <s v="GM"/>
    <m/>
    <d v="2016-06-10T00:00:00"/>
    <n v="109"/>
    <s v="SR MZA"/>
    <d v="1899-12-30T13:00:00"/>
    <d v="1899-12-30T13:00:00"/>
    <n v="1281"/>
    <x v="2"/>
    <s v="si"/>
    <s v="si"/>
    <s v="si"/>
    <s v="si"/>
    <s v="si"/>
    <m/>
    <s v="si"/>
    <m/>
    <s v="no"/>
    <s v="no"/>
    <s v="si"/>
    <m/>
    <n v="1293"/>
    <s v="BUTTINI, JOSE LUIS"/>
    <m/>
    <m/>
    <s v="si"/>
    <m/>
    <s v="si"/>
    <s v="si"/>
    <s v="si"/>
    <s v="no"/>
    <s v="si"/>
    <s v="si"/>
    <s v="si"/>
    <s v="no"/>
    <s v="si"/>
    <s v="si"/>
    <s v="si"/>
    <s v="10/06/16 Coche en buenas condiciones en su interior y exterior (carrocería, vidrios, etc.) en su interior también (cortinas, portavasos, apoyabrazos, asientos, bolsas en los compartimentos de basura, matafuegos). Buena temperatura, muy alta al principio. La limpieza es buena en su exterior e interior (excepto migas en los asientos, lo demás correcto, baño con agua y jabón) Guarda y chofer reciben a los pasajeros, guarda Albornoz; chofer pelo corto, delgado, alto ojos claros. pelo bien cortito. Buen aspecto los dos. Cortinas algunas abiertas. Se baja y recibe a los pasajeros. Speech de bienvenida fuerte y claro al igual que el video y película y de bienvenida alta. Rocía perfume. Sirve bien el catering (pero introduce los sobres dentro del vaso y luego los pasa a los vasos) Uno de ellos utiliza si celular para madar mensajes en la ultima parte del viaje. Conversan casi todo el camino pero con un tono fuerte, lo cual se escucha la conversación desde los lugares y al tener un tono tan cordial entre ellos se les escapa alguna que otra mala palabra, lo que quita formalidad y educación. Buena velocidad. Agua del catering hirviendo, se le había pasado la temperatura del agua lo que puede ocasionar alguna quemadura, sobre todo porque viajaban niños. "/>
  </r>
  <r>
    <n v="234"/>
    <s v="JG"/>
    <m/>
    <d v="2016-06-10T00:00:00"/>
    <n v="56"/>
    <s v="MZA SR"/>
    <d v="1899-12-30T15:00:00"/>
    <d v="1899-12-30T15:01:00"/>
    <n v="1208"/>
    <x v="9"/>
    <s v="si"/>
    <s v="si"/>
    <s v="si"/>
    <s v="no"/>
    <s v="si"/>
    <m/>
    <s v="si"/>
    <m/>
    <s v="no"/>
    <s v="no"/>
    <s v="si"/>
    <m/>
    <n v="36"/>
    <s v="ARAYA, MONICA BEATRIZ"/>
    <m/>
    <m/>
    <s v="si"/>
    <s v="si"/>
    <s v="si"/>
    <s v="si"/>
    <s v="no"/>
    <s v="no"/>
    <s v="si"/>
    <s v="si"/>
    <s v="si"/>
    <s v="si"/>
    <s v="si"/>
    <s v="si"/>
    <s v="si"/>
    <s v="10/06/16 La unidad esta 15 min antes, el refuerzo no poseía cartelería que lo indique como tal; el maletero lo dice en voz alta para que la gente lo sepa. Azafata recibe a pasajeros, saluda atenta; da las indicaciones correspondientes, el chofer va a boletería regresa con la lista y acompaña a la azafata. Speech reproducido al ingresar a la doble vía d manera correcta, orece y sirve el catering de manera amable y siguiendo instructivo. Algunos pasajeros le pidieron agua, supongo que se olvida porque recién entrando a Tunuyán lleva vasos a algunos (varios menos) pasajeros, porque otros ya se habían dormido.  Trae los vasos con agua de cabina, no los sirve frente al pasajero. Los Tvs se encontraban bajos (posición abierta) y algunos pasajeros se golpean con los mismos sus cabezas. En la terminal de Tunuyán una Sra. pide viajar a San Rafael, por alguna causa no tiene para pagarlo, dice que en la TSR estará el esposo, si la empresa puede hacerse cargo, azafata le indica que es ella quien se hace cargo y que por favor al llegar a SR le abone el pasaje. No se vigilo la bodega la bodega en ninguna oportunidad, cuando la unidad llego a TSR un inspector (Oscar Brega) se acerco inmediatamente a la puerta de cabina, luego que de bajara la azafata observo al inspector que se coloca al lado de la puerta y le dijo al chofer si lo ayudaba a a llevar las cosas, el le dijo que no que ya lo llevaba el. "/>
  </r>
  <r>
    <n v="235"/>
    <s v="GM"/>
    <m/>
    <d v="2016-06-10T00:00:00"/>
    <n v="42"/>
    <s v="MZA SR"/>
    <d v="1899-12-30T20:15:00"/>
    <d v="1899-12-30T20:15:00"/>
    <n v="1028"/>
    <x v="8"/>
    <s v="si"/>
    <s v="no"/>
    <s v="si"/>
    <s v="no"/>
    <s v="si"/>
    <m/>
    <s v="si"/>
    <m/>
    <s v="no"/>
    <s v="no"/>
    <s v="si"/>
    <m/>
    <n v="115"/>
    <s v="ORTEGA, CLAUDIO DAVID"/>
    <m/>
    <m/>
    <s v="si"/>
    <m/>
    <s v="si"/>
    <s v="si"/>
    <s v="no"/>
    <s v="no"/>
    <s v="si"/>
    <s v="si"/>
    <s v="si"/>
    <s v="si"/>
    <s v="si"/>
    <s v="no"/>
    <s v="si"/>
    <s v="10/06/16 Coche esta 40 min antes en plataforma, cortinas cerradas, en su interior y exterior la limpieza es buena (carrocería, vidrios, laterales y cortinas) bolsas en las compartimentos para residuos. En buenas condiciones cortinas, apoyabrazos, porta bazos, asientos; baño limpio con agua y jabón. Temperatura alta para mi gusto. Buena velocidad. Chofer no esta para recibir a los pasajeros y vigilar la bodega (hombre grande, canoso, gordito) lo vi al bajar recién. El guarda (Claudio) recibe a los pasajeros, indica el lugar e indico que es con cinturón. Sirve bien el catering, pero no ofrece, ni entrega las pepas a los que no quieren café o te. Rocía 2 veces perfume. Video  speech institucional un poco rayado, entre cortados, la ultima parte bien, se baya a recibir a los pasajeros. Es el único que se coloca alcohol en gel delante de los pasajeros. "/>
  </r>
  <r>
    <n v="236"/>
    <s v="JG"/>
    <m/>
    <d v="2016-06-13T00:00:00"/>
    <n v="47"/>
    <s v="SR MZA"/>
    <d v="1899-12-30T07:00:00"/>
    <d v="1899-12-30T07:03:00"/>
    <n v="1155"/>
    <x v="0"/>
    <s v="si"/>
    <s v="si"/>
    <s v="si"/>
    <s v="si"/>
    <s v="si"/>
    <m/>
    <s v="si"/>
    <m/>
    <s v="no"/>
    <s v="no"/>
    <s v="si"/>
    <m/>
    <n v="1222"/>
    <s v="TAPIA, CLAUDIO CESAR"/>
    <m/>
    <m/>
    <s v="si"/>
    <m/>
    <s v="si"/>
    <s v="si"/>
    <s v="no"/>
    <s v="no"/>
    <s v="si"/>
    <s v="si"/>
    <s v="no"/>
    <s v="no"/>
    <m/>
    <s v="si"/>
    <s v="si"/>
    <s v="13/06/16 La unidad esta 15 min antes, el refuerzo tiene cartería que lo indique. Chofer (Castilla) y guarda (Tapia) reciben juntos, atentos saludan e indican butaca y piso. La bodega se vigila al llegar a Tmza. Speech saliendo de Aeropuerto y luego en Montoya sube un joven sin pasaje (al que ubican luego de repartir el catering) y en Cristo suben mas pasajeros. Ofrece y sirve catering atento y siguiendo el instructivo, recién a las 8:00hs sube a buscar restos. En Paso las Carretas suben 5 pasajeros como no hay butacas disponibles 2 se colocan paradas al lado del bar (en el piso superior) y los demás en escaleras, mientras se fue descongestionando, las personas se fueron sentando. Una Sra. viajaba a Tunpungato y les pregunto tanto al 1er como al 2do guarda varias veces de donde hay paradas en Tunuyán, o si debía ir a la terminal de dicho lugar, muy amables y con paciencia le explicaron que una de las paradas donde Iselin frena (parada del semáforo, escuela) pasan todos los colectivo y allí mismo puede tomarse el que va a Tunpungato. En TSC cambian de lugar, el nuevo guarda Castilla perfuma una vez  y pregunta sobre la temperatura. BOLETERIA: a las 7:20hs aproximadamente me acerco a la boletería de Iselin, debo esperar 5 min aprox de espera y como no aparece nadie se golpea el vidrio, se aparece desde atrás G. Mansilla, poco a nada amable, no pide disculpas por la espera, se le dan los datos del pasaje y cuando voy saliendo me doy cuenta que el boleto no tenia el DNI correspondiente (ósea no había dato) y que la fecha de viaje era incorrecta, regreso, en este caso debo golpear dos veces la puerta y una vez el vidrio ya que la boletería nuevamente se encontraba vacía y tuve que esperar varios minutos, le comento el error de impresión y de mala manera me dice que me lo hará, se notaba la insatisfacción y me decía que yo me había equivocado. Muy mala actitud, y en ninguno de los casos estaba en su puesto de trabajo. "/>
  </r>
  <r>
    <n v="237"/>
    <s v="JG"/>
    <m/>
    <d v="2016-06-13T00:00:00"/>
    <n v="42"/>
    <s v="MZA SR"/>
    <d v="1899-12-30T15:00:00"/>
    <d v="1899-12-30T15:02:00"/>
    <n v="1028"/>
    <x v="8"/>
    <s v="si"/>
    <s v="no"/>
    <s v="si"/>
    <s v="no"/>
    <s v="no"/>
    <m/>
    <s v="si"/>
    <m/>
    <s v="no"/>
    <s v="no"/>
    <s v="si"/>
    <m/>
    <n v="91"/>
    <s v="UBILLOS, JOANA MIRTA SOLEDAD"/>
    <m/>
    <m/>
    <s v="si"/>
    <s v="si"/>
    <s v="si"/>
    <s v="si"/>
    <s v="no"/>
    <s v="no"/>
    <s v="si"/>
    <s v="si"/>
    <s v="si"/>
    <s v="si"/>
    <s v="no"/>
    <s v="si"/>
    <s v="si"/>
    <s v="13/06/16 La unidad esta 15 min antes. Chofer a boletería, la azafata recibe a pasajeros. No es vigilada la bodega en ninguna oportunidad. Speech reproducido correctamente, luego azafata reparte el catering, cuando llegamos a Azcuénaga chofer se coloca en banquina, pero no en la parada habitual sino del otro lado del puente, por alrededor de un  minuto, no suben pasajeros, luego la azafata sirve el catering según el instructivo. No es emitido el video institucional, directamente colocan la película, el primer televisor colgado del techo (arriba de butaca 6) emite una imagen muy oscura, desde ningún sector se logra ver la imagen, varios pasajeros descontentos, y la misma es emitida sin volumen prácticamente. Azafata perfumo dos veces la unidad y sirve agua frente al pasajero en muchas oportunidades. A las 17:47hs aproximadamente Gendarmería (arco de ingreso) sube a la unidad, recorre l misma y buscan a una mujer Gendarme para que converse con una pasajera, no se el motivo, se coloca en marcha a las 17:58hs. Se adjunta en planilla resto de catering (envoltorio de café) encontrado en el piso de la unidad debajo de la butaca 5. Se pasa en rojo el semaforo de Rivadavia y Castelli."/>
  </r>
  <r>
    <n v="238"/>
    <s v="JG"/>
    <m/>
    <d v="2016-06-14T00:00:00"/>
    <n v="45"/>
    <s v="SR MZA"/>
    <d v="1899-12-30T10:00:00"/>
    <d v="1899-12-30T10:04:00"/>
    <n v="1169"/>
    <x v="6"/>
    <s v="si"/>
    <s v="si"/>
    <s v="si"/>
    <s v="no"/>
    <s v="si"/>
    <m/>
    <s v="si"/>
    <m/>
    <s v="no"/>
    <s v="no"/>
    <s v="si"/>
    <m/>
    <n v="91"/>
    <s v="UBILLOS, JOANA MIRTA SOLEDAD"/>
    <m/>
    <m/>
    <s v="si"/>
    <s v="si"/>
    <s v="si"/>
    <s v="si"/>
    <s v="si"/>
    <s v="no"/>
    <s v="si"/>
    <s v="si"/>
    <s v="si"/>
    <s v="si"/>
    <s v="si"/>
    <s v="si"/>
    <s v="si"/>
    <s v="14/06/16 La unidad llega a plataforma a las 9:55hs, 5 min antes del horario de salida, azafata (Ubillos) y chofer (Sánchez) reciben juntos a pasajeros, en un momento azafata cobra los seguros porque pasajeras han extraviado sus pasajes y el chofer se hace cargo del recibimiento, muy amable. La unidad se encuentra en condiciones. Speech por aeropuerto con buen sonido. Catering ofrecido y servido muy amable y respetando el instructivo. Azafata habla por teléfono por Paso las Carretas y por Azcuénaga aprox por asuntos personales. En paso las Carretas Gendarmería para a la unidad a las 11:26hs y luego de 5 minutos salimos. Perfuma en dos ocasiones. Al llegar A TMza el chofer se queda dentro de la cabina, no vigilo la bodega en ninguna oportunidad. "/>
  </r>
  <r>
    <n v="239"/>
    <s v="JG"/>
    <m/>
    <d v="2016-06-14T00:00:00"/>
    <n v="43"/>
    <s v="MZA SR"/>
    <d v="1899-12-30T18:00:00"/>
    <d v="1899-12-30T18:46:00"/>
    <n v="1167"/>
    <x v="11"/>
    <s v="si"/>
    <s v="si"/>
    <s v="si"/>
    <s v="no"/>
    <s v="si"/>
    <m/>
    <s v="no"/>
    <m/>
    <s v="no"/>
    <s v="si"/>
    <s v="si"/>
    <m/>
    <n v="36"/>
    <s v="ARAYA, MONICA BEATRIZ"/>
    <m/>
    <m/>
    <s v="si"/>
    <s v="si"/>
    <s v="si"/>
    <s v="si"/>
    <s v="no"/>
    <s v="si"/>
    <s v="si"/>
    <s v="si"/>
    <s v="si"/>
    <s v="si"/>
    <s v="si"/>
    <s v="si"/>
    <s v="si"/>
    <s v="14/06/16 A las 17:46hs se ve a C. Manía que se acerca  la plataforma 36 y va hacia el grupo de maleteros que se hallaba charlando, algo les dice y luego se va para el lado de boletería. Como no observo la unidad a las 18:00hs decido acercarme a boletería, allí se encuentra S. Bianco, le pregunto por el coche y si se había roto, el con una sonrisa y muy amable me dijo que no se había roto, que la unidad venia por otro camino con pasajeros, que ellos se bajaban y subíamos nosotros y que el horario estimativo de llegada era a las 18:15hs. regreso al sector donde todos esperábamos y comunico esto a un grupo de mujeres, al hacerse las 18:25 aprox una de ellas decide acercase a boletería, luego regresa y comenta que le dijeron que el encargado se encontraba en la plataforma que le preguntáramos a el, pero nadie lo identifica (comentan que nadie de los que estaban allí parecía ser encargado de algo) y yo no logro ver a C. Manía entre la gente. A las 18:30hs llega la unidad 43, bajan pasajeros y muchas personas les preguntan que paso, pasajeros comentan que en E. Bustos el colectivo se había roto y costo mucho arreglarlo que pensaban que no iban a llegar directamente a Mza, que no mandaron otros colectivo, etc... en eso un Sr muy bien vestido escuchaba lo que decían las personas. Al bajar todos, C. Manía, la azafata (Araya) y el chofer recorren la unidad, ordenan y perfuman bastante; los tres reciben a pasajeros, cuando este hombre va a subir pregunta que paso, la azafata le comenta, el esta muy enojado indica la falta de respeto, que nadie se acerco a comunicar nada , que hacen puras propagandas y no respetan, azafata manteniendo el control se disculpa y le indica que llame al 0-800, que el mismo se encuentra al dorso del pasaje, otros pasajeros se dan cuenta que la culpa no es dele personal, pero se enojan por la mentira que dijeron el boletería y a la cual doy fe. A las 18:46hs se sale de plataforma. Speech reproducido correctamente, catering ofrecido y servido según instructivo, cuando va a buscar agua caliente a la cafetera del piso inferior se da cuenta que sale hirviendo, se dirige a la cabina y le comunica al chofer, le dice que la apague y coloca agua mineral cada vez que la llena para mermar la temperatura. El 2do TV tiene una imagen verdosa, rosada; no muestra bien la imagen, azafata le toca el cable de atrás pero la mayor parte de tiempo se ve muy mal, y en dos oportunidades la película se congelo y luego salto a varios minutos. perfumas dos veces. "/>
  </r>
  <r>
    <n v="240"/>
    <s v="GM"/>
    <m/>
    <d v="2016-06-14T00:00:00"/>
    <n v="46"/>
    <s v="SR MZA"/>
    <d v="1899-12-30T16:30:00"/>
    <d v="1899-12-30T16:35:00"/>
    <n v="1175"/>
    <x v="3"/>
    <s v="si"/>
    <s v="si"/>
    <s v="si"/>
    <s v="si"/>
    <s v="si"/>
    <m/>
    <s v="si"/>
    <m/>
    <s v="no"/>
    <s v="no"/>
    <s v="si"/>
    <m/>
    <n v="53"/>
    <s v="BIELLI, ELINA"/>
    <m/>
    <m/>
    <s v="si"/>
    <s v="si"/>
    <s v="si"/>
    <s v="si"/>
    <s v="no"/>
    <s v="no"/>
    <s v="si"/>
    <s v="si"/>
    <s v="si"/>
    <s v="no"/>
    <s v="si"/>
    <s v="si"/>
    <s v="si"/>
    <s v="14/06/16 Coche se observa en condiciones (carrocería, plotter, espejos) en su exterior como así también en su interior cortinas limpias, portavasos y apoyabrazos en condiciones, matafuegos luces, bolsas en los compartimentos de residuos, los asientos, piso y laterales limpios y en condiciones. Temperatura muy alta por momentos. Cortinas cerradas. Llega 15 min antes a  plataforma y sale 13:35hs baño limpio con agua y jabón. Chofer y azafata reciben ambos a los pasajeros con buena apariencia e identificación, ella indica el lugar. Sirve en forma correcta el catering (ventana-pasillo). Acompaña a los pasajeros en su descenso. El speech de bienvenida al principio no se escuchaba, luego si. El speech publicitario video, ti4ene el volumen bajo. Speech de bienvenida fuerte y claro. Llegamos 19:40hs. "/>
  </r>
  <r>
    <n v="241"/>
    <s v="JG"/>
    <m/>
    <d v="2016-06-16T00:00:00"/>
    <n v="56"/>
    <s v="SR MZA"/>
    <d v="1899-12-30T07:00:00"/>
    <d v="1899-12-30T07:04:00"/>
    <n v="1208"/>
    <x v="9"/>
    <s v="si"/>
    <s v="si"/>
    <s v="si"/>
    <s v="no"/>
    <s v="si"/>
    <m/>
    <s v="si"/>
    <m/>
    <s v="no"/>
    <s v="no"/>
    <s v="si"/>
    <m/>
    <n v="115"/>
    <s v="ORTEGA, CLAUDIO DAVID"/>
    <m/>
    <m/>
    <s v="si"/>
    <m/>
    <s v="si"/>
    <s v="si"/>
    <s v="no"/>
    <s v="no"/>
    <s v="si"/>
    <s v="si"/>
    <s v="si"/>
    <s v="si"/>
    <m/>
    <s v="si"/>
    <s v="si"/>
    <s v="16/06/16 La unidad llega 15 min antes. Ortega baja de la cabina y tira o se le cae un papel al piso (hecho una bola) luego queriendo o sin querer la patea debajo de la unidad. A los pocos minutos llega el chofer Rivas, le da la lista de pasajeros, va a la bodega y luego se va, no se a donde porque no se ve. La unidad 42 de refuerzo no poseía cartel que lo indicara como tal. Unidad en condiciones, vidrios llenos de gotas de agua y el baño con agua, pero sin tabla para sentarse. Laterales de butacas con migas y pelos. La cortina que se encuentra entre las escaleras y la cabina se encontraba semiabierta por lo que no se logra visualizar hacia dentro de la misma. Speech colocado correctamente. Ofrece y sirve el catering atento, utiliza alcohol en gel. Despide a los pasajeros desde arriba d el a unidad, al lado de la escalera. Antes de llegar a TSC le pregunta al pasajero de butaca 5 si le podía dar el pasaje, este lo busca y se lo da, allí Ortega dice, me parecía que no te había cortado el pasaje, me falta esto (indicando el talón-comprobante para la empresa) Perfumo dos veces. Chofer no vigila la bodega, Chicharra entre TSC y Tunuyán; en semáforos de Tunuyán frena algo brusco. Escaleras y parte del piso inferior y superior (cercana a las mismas) muy sucios, llena de barro seco. "/>
  </r>
  <r>
    <n v="242"/>
    <s v="GM"/>
    <m/>
    <d v="2016-06-16T00:00:00"/>
    <n v="45"/>
    <s v="SR MZA"/>
    <d v="1899-12-30T10:00:00"/>
    <d v="1899-12-30T10:00:00"/>
    <n v="1206"/>
    <x v="7"/>
    <s v="si"/>
    <m/>
    <s v="si"/>
    <s v="no"/>
    <s v="si"/>
    <m/>
    <s v="si"/>
    <m/>
    <s v="no"/>
    <s v="no"/>
    <s v="si"/>
    <m/>
    <n v="91"/>
    <s v="UBILLOS, JOANA MIRTA SOLEDAD"/>
    <m/>
    <m/>
    <s v="si"/>
    <s v="si"/>
    <s v="si"/>
    <s v="si"/>
    <s v="si"/>
    <s v="no"/>
    <s v="si"/>
    <s v="si"/>
    <s v="si"/>
    <s v="si"/>
    <s v="si"/>
    <s v="no"/>
    <s v="si"/>
    <s v="16/06/16 Coche con cartel indicador en plataforma 9:45hs cortinas corridas, buena temperatura, en condiciones buenas en su exterior (carrocería, vidrios, espejos, plotter) y en su interior cortinas limpias, cerradas y bolsas en los compartimentos de residuos, piso y laterales limpios, apoyabrazos y apoya vasos en condiciones y asientos limpios y en posición. Baño limpio (agua y jabón). Chofer no recibe a los pasajeros, no se ve al principio, buena velocidad de manejo al bajar recién se observa, buena apariencia, con identificación). Azafata buena presencia, es amable, recibe a los pasajeros y los acompaña cuando bajan hasta la puerta. Sirve bien el catering (ventanilla-pasillo). Cuando vamos a una hora de llegar mira su celular por momentos, cuando va sentada. Rocía perfume dos veces. Speech de bienvenida claro, speech video fuerte y claro, speech de bienvenida sonido a Mza por momentos no se escucha. "/>
  </r>
  <r>
    <n v="243"/>
    <s v="JG"/>
    <m/>
    <d v="2016-06-16T00:00:00"/>
    <n v="45"/>
    <s v="MZA SR"/>
    <d v="1899-12-30T15:00:00"/>
    <d v="1899-12-30T15:06:00"/>
    <n v="1206"/>
    <x v="7"/>
    <s v="si"/>
    <s v="si"/>
    <s v="si"/>
    <s v="no"/>
    <s v="si"/>
    <m/>
    <s v="si"/>
    <m/>
    <s v="si"/>
    <s v="si"/>
    <s v="si"/>
    <m/>
    <n v="91"/>
    <s v="UBILLOS, JOANA MIRTA SOLEDAD"/>
    <m/>
    <m/>
    <s v="si"/>
    <s v="si"/>
    <s v="si"/>
    <s v="si"/>
    <s v="si"/>
    <s v="si"/>
    <s v="si"/>
    <s v="si"/>
    <s v="si"/>
    <s v="si"/>
    <s v="si"/>
    <s v="si"/>
    <s v="si"/>
    <s v="16/06/16 La unidad llega 15 min antes. Azafata recibe a pasajeros, chofer Zolloco a boletería. El refuerzo tiene cartelería, se observa al inspector Sini, el mismo esta alejado de las unidades, a las 15:00hs ingresa a la cabina, pasa su tarjeta, Zollocco le pregunta si podía llevar a dos personas paradas, uno de ellos tenia pasaje para las 18:00hs, el inspector le dice que si, Luego se va al refuerzo y se mete en él. Speech colocado correctamente, ofrece y sirve el catering de manera atenta. Película con volumen algo bajo, se escucha muy fuerte la radio proveniente de cabina. Llegando a Tunuyán llena dos vasos con agua caliente y los lleva a cabina, acto que repite a las 17:35hs. Chofer al ir saliendo de la plataforma de TSC habla con Nelson (o nombre similar), le avisa que lleva a dos en escalera y si los paro Gendarmería. Entre Paraditas y Paso la carretas azafata habla por teléfono. En Paso las carretas 17:06hs Gendarmería para la unidad, vigilan la bodega y piden papeles, al parecer bajan bolsos de bodega, azafata comenta la chofer que le pregunto al Gendarme cuanto demoraran porque tienen pasajeros que hacen trasbordo y que el Gendarme le dijo que tardaran lo que tengan que tardar, de allí se sale a las 17:27hs. Un pasajero le pide un café a la azafata y explica que antes no tomo nada, ella le dice que el horario es al principio, pero que se lo servirá igual. Luego el pasajero que tenia el pasaje a las 18hs le pregunta si ese pasaje lo puede usar otra persona azafata le explica que ese pasaje fue dado de alta para ser vendido a otra personas, que no puede utilizarlo. A las 17:42hs azafata habla con alguien por teléfono, avisa que lleva un pasajero que va a Alvear y la unidad va con retraso, que el horario estimado de llegada es de las 18:40hs. Por alguna razón el cartel luminoso, llegando a TSR dice Mendoza solamente. "/>
  </r>
  <r>
    <n v="244"/>
    <s v="GM"/>
    <m/>
    <d v="2016-06-16T00:00:00"/>
    <n v="113"/>
    <s v="MZA SR"/>
    <d v="1899-12-30T18:00:00"/>
    <d v="1899-12-30T18:00:00"/>
    <n v="1163"/>
    <x v="24"/>
    <s v="si"/>
    <s v="si"/>
    <s v="si"/>
    <s v="si"/>
    <s v="si"/>
    <m/>
    <s v="si"/>
    <m/>
    <s v="no"/>
    <s v="no"/>
    <s v="si"/>
    <m/>
    <n v="1143"/>
    <s v="FORTE, MARIO LUIS"/>
    <m/>
    <m/>
    <s v="si"/>
    <m/>
    <s v="si"/>
    <s v="si"/>
    <s v="no"/>
    <s v="no"/>
    <s v="si"/>
    <s v="si"/>
    <s v="si"/>
    <s v="no"/>
    <s v="si"/>
    <s v="si"/>
    <s v="si"/>
    <s v="16/06/16 Coche se observa en buenas condiciones en su exterior (carrocería, vidrios, espejos, plotter) y en su interior con asientos, cortinas, apoyabrazos, portavasos en condiciones) se observan bolsas en los compartimentos, cortinas cerradas, vidrios con algunas manchas. Temperatura del coche buena. Baño limpio (agua - jabón). Con cartel indicador. Chofer y guarda reciben a los pasajeros ambos buena presencia, con identificación, 2 hombres grandes, uno hace de guarda Martínez primero y el otro (pelo negro un poco pelado).Sirve bien el catering, le falta un poco de simpatía. Speech audio no lo pusieron. Speech video y película se ve bien y se escucha bien. Speech de bienvenida a San Rafael tampoco lo pusieron. Empezaron a subir personas en la ruta (primero 3 pagaron ahí) una sentada en la escalera y las otras dos paradas. Después subieron dos mas, también le cobraron arriba, después subió un policía y dos mujeres mas, una pago y la otra entrego boletito (por mas que pagaron es muy incomodo para los pasajeros ir al baño y se quejaban un poco por la charla que tenían) Causo un poco de incomodidad que el coche parara tantas veces, una de esas en ruta estuvo parado 15 minutos. Al parecer esperando el coche de atrás. "/>
  </r>
  <r>
    <n v="245"/>
    <s v="JG"/>
    <m/>
    <d v="2016-06-21T00:00:00"/>
    <n v="45"/>
    <s v="SR MZA"/>
    <d v="1899-12-30T10:00:00"/>
    <d v="1899-12-30T10:06:00"/>
    <n v="1163"/>
    <x v="24"/>
    <s v="si"/>
    <s v="si"/>
    <s v="si"/>
    <s v="si"/>
    <s v="si"/>
    <m/>
    <s v="si"/>
    <m/>
    <s v="no"/>
    <s v="si"/>
    <s v="si"/>
    <m/>
    <n v="78"/>
    <s v="CORNEJO, MARIA SOLEDAD"/>
    <m/>
    <m/>
    <s v="si"/>
    <s v="si"/>
    <s v="si"/>
    <s v="si"/>
    <s v="no"/>
    <s v="si"/>
    <s v="si"/>
    <s v="si"/>
    <s v="si"/>
    <s v="si"/>
    <s v="si"/>
    <s v="no"/>
    <s v="si"/>
    <s v="21/06/16 La unidad llega a plataforma a las 10:00hs, azafata Cornejo y Chofer Martínez reciben juntos, cuando la azafata sube a la unidad a verificar algo el chofer atento recibe a pasajeros. Speech reproducido correctamente con volumen aceptable. Ofrece el catering y sirve el mismo respetando el instructivo. Agua para mi gusto un poco baja de temperatura. Pasajero de butaca 13 le pregunta si se puede desplazar a otra butaca porque el regulador personal de aire acondicionado esta roto (hay un agujero) y tiene frio, la azafata le dice que si. Perfuma tres veces, en todas las ocasiones aprieta el gatillo sobre los pasajeros sentados sobre el pasillo, ósea que todo el perfume lo tira sobre los rostros, lo que no es muy agradable. No utiliza alcohol en gel. Sirve agua mineral frente a quien se la pide. Luego de servir el catering lleva agua caliente en la cafetera a cabina, acto que repite llegando al desvió del puente antes de Paso las Carretas. Azafata al subir al piso superior, la botamanga del pantalón se le levanta y deja ver sus botas, de taco algo fino y decorada con cuadrados de color oscuro brilloso (onda rock), es evidente que pierde fácilmente el equilibrio en mucha ocasiones en la escalera y el ´piso superior. Llegando a Chilecito colocan la radio con volumen muy elevado y la película con volumen demasiado bajo. Llegando al Cóndor colocan speech de salida no el de llegada, se reprodujo casi completamente, luego entrando a la TMza colocan el speech correcto. "/>
  </r>
  <r>
    <n v="246"/>
    <s v="JG"/>
    <m/>
    <d v="2016-06-21T00:00:00"/>
    <n v="49"/>
    <s v="MZA SR"/>
    <d v="1899-12-30T18:00:00"/>
    <d v="1899-12-30T18:00:00"/>
    <n v="1141"/>
    <x v="45"/>
    <s v="si"/>
    <s v="si"/>
    <s v="si"/>
    <s v="si"/>
    <s v="si"/>
    <m/>
    <s v="si"/>
    <m/>
    <s v="no"/>
    <s v="si"/>
    <s v="si"/>
    <m/>
    <n v="91"/>
    <s v="UBILLOS, JOANA MIRTA SOLEDAD"/>
    <m/>
    <m/>
    <s v="si"/>
    <s v="si"/>
    <s v="si"/>
    <s v="si"/>
    <s v="si"/>
    <s v="si"/>
    <s v="si"/>
    <s v="si"/>
    <s v="si"/>
    <s v="si"/>
    <s v="si"/>
    <s v="si"/>
    <s v="si"/>
    <s v="21/06/16 La unidad llega 15 min antes, el chofer a boletería, azafata recibe a pasajeros, hay un cartel en el parabrisas que dice Mendoza 13:00hs. Se ve luego a Cania rondando en cabina; un joven le avisa al chofer que quiere bajar en Montoya, este le dice que vive por esa calle y que vende pasajes. Speech colocado saliendo de terminal, luego cerca del puente para peatones que cruza el acceso sur la unidad frena (18:11hs), sube una Sra. y dice que llego a terminal justos cuando salían de plataforma pero no llego; luego en Azcuénaga suben mas pasajeros. Azafata ofrece y sirve el catering correctamente, amable, sirve agua mineral a quien se la pide frente del mismo. Llegando a Zapata Gendarmería para la unidad, chofer y azafata quedaron en cabina, un gendarme habla con el chofer, aparentemente revisan la bodega ya que se escucha cuando corran las puertas de bodega (18:52 - 18:58hs), luego se siente que la velocidad de circulación es elevada poca desaceleración en cuervas y puentes. No ingresa a TSC. A las 19:23hs azafata lleva vasos con agua caliente a cabina, acto que repite a las 19:57hs por Paso las Carretas. Azafata ingresa al baño y hecha desinfectante. Perfuma dos veces y pregunta por la temperatura. La unidad frena en Montoya y luego en Aeropuerto, al despejarse el pasillo un a Sra. que no era pasajera sube al piso superior y se sienta (5 años aprox, pelo lacio, rubio, hasta los hombros)Se baja en terminal, sospecho que es familiar del chofer)."/>
  </r>
  <r>
    <n v="247"/>
    <s v="GM"/>
    <m/>
    <d v="2016-06-23T00:00:00"/>
    <n v="47"/>
    <s v="SR MZA"/>
    <d v="1899-12-30T10:00:00"/>
    <d v="1899-12-30T10:00:00"/>
    <n v="1120"/>
    <x v="1"/>
    <s v="si"/>
    <s v="si"/>
    <s v="si"/>
    <s v="si"/>
    <s v="si"/>
    <m/>
    <s v="si"/>
    <m/>
    <s v="no"/>
    <s v="no"/>
    <s v="si"/>
    <m/>
    <n v="1123"/>
    <s v="BRAVO, MARCELO CONRADO"/>
    <m/>
    <m/>
    <s v="si"/>
    <m/>
    <s v="si"/>
    <s v="si"/>
    <s v="no"/>
    <s v="no"/>
    <s v="si"/>
    <s v="si"/>
    <s v="si"/>
    <s v="si"/>
    <s v="si"/>
    <s v="si"/>
    <s v="si"/>
    <s v="23/06/16 Coche  en plataforma 9:45, con Cartel indicador,  en condiciones aparentes externas ( vidrios,  carrocería, espejos,  plotter)  y condiciones internas (cortinas cerradas y limpias, asientos limpios y en posición, portavasos y apoyabrazos en condiciones) bolsas en los compartimentos, limpieza externa e interna buena, con perfume. Chofer y guarda Recibe ambos a los pasajeros ( Marín Néstor y Marcelo Bravo)  vigilan la bodega,  con vestimenta adecuada y pin, Buena  apariencia,   guarda si bien el catering,  rocía   perfume dos veces,  speech sonido fuerte y claro,  Speech video  y  película buen sonido, speech bienvenida fuerte y claro.  baño con agua y jabón.  es correcto en el trato. Buena velocidad de manejo. Salen a horario y llegan a hora normal. Boletería Unishop no coincide en numero de Boleto impreso con el que figura en sistema. _x000a_"/>
  </r>
  <r>
    <n v="248"/>
    <s v="GM"/>
    <m/>
    <d v="2016-06-23T00:00:00"/>
    <n v="56"/>
    <s v="MZA SR"/>
    <d v="1899-12-30T18:00:00"/>
    <d v="1899-12-30T18:00:00"/>
    <n v="1232"/>
    <x v="14"/>
    <s v="si"/>
    <s v="si"/>
    <s v="si"/>
    <s v="no"/>
    <s v="si"/>
    <m/>
    <s v="si"/>
    <m/>
    <s v="no"/>
    <s v="no"/>
    <s v="si"/>
    <m/>
    <n v="91"/>
    <s v="UBILLOS, JOANA MIRTA SOLEDAD"/>
    <m/>
    <m/>
    <s v="si"/>
    <s v="si"/>
    <s v="si"/>
    <s v="si"/>
    <s v="no"/>
    <s v="no"/>
    <s v="si"/>
    <s v="si"/>
    <s v="si"/>
    <s v="si"/>
    <s v="si"/>
    <s v="si"/>
    <s v="si"/>
    <s v="23/06/16 Coche con Cartel indicador en plataforma 17:50, En condiciones aparentes (vidrio de adelante un poco trizado y espejos, carrocería, plotter) en el interior en buenas condiciones también  (Cientos cortinas cerradas asientos en posición, portavasos y apoyabrazos). En cuanto a la limpieza es buena, Vidrios más o menos y en cuanto a la bolsa de residuo estaba llena del viaje anterior, lo demás es correcto. El baño tenía agua pero no jabón. Temperatura muy alta. Chofer y azafata al principio no está el chofer en la mitad de la fila después llega solo la azafata recibe a los pasajeros al principio, posee buena apariencia con pin e indican lugar, sirve el cattering, sólo el agua muy caliente. Speech sonido claro, Speech video por momentos entrecortado, speech de bienvenida se escucha bien. buena velocidad de manejo."/>
  </r>
  <r>
    <n v="249"/>
    <s v="JG"/>
    <m/>
    <d v="2016-06-24T00:00:00"/>
    <n v="49"/>
    <s v="SR MZA"/>
    <d v="1899-12-30T10:00:00"/>
    <d v="1899-12-30T10:09:00"/>
    <n v="1167"/>
    <x v="11"/>
    <s v="si"/>
    <s v="si"/>
    <s v="si"/>
    <s v="si"/>
    <s v="si"/>
    <m/>
    <s v="si"/>
    <m/>
    <s v="no"/>
    <s v="si"/>
    <s v="si"/>
    <m/>
    <n v="1232"/>
    <s v="GONZALEZ, JORGE DAVID"/>
    <m/>
    <m/>
    <s v="si"/>
    <m/>
    <s v="si"/>
    <s v="si"/>
    <s v="no"/>
    <s v="si"/>
    <s v="si"/>
    <s v="si"/>
    <s v="no"/>
    <s v="no"/>
    <s v="si"/>
    <s v="si"/>
    <s v="si"/>
    <s v="24/06/16 La unidad llega 15 minutos antes. El guarda (González) Junto a un tercer chofer (Cánovas) reciben a los pasajeros, en chofer (canosos de lentes) se encuentra en la panadería de la terminal comprando, luego sube y se queda en la cabina. Los tres están en al cabina saliendo de la terminal. Speech saliendo de Toledano, guarda comienza el ofrecimiento del catering, no se colocó alcohol en gel, y luego en Cristo suben más pasajeros. Todo el proceso ocurrió con música por altavoz (rock nacional). Luego una Sra. le avisa al guarda que se le cayo el café, por lo que sube con el lampazo y a los 5 min la pasajera de butaca 1 también le ocurre lo mismo por lo que limpia con el mismo lampazo. Llevaba agua caliente a cabina en la cafetera. a las 11:35 un padre le avisa que su hijo vómito por lo que primero pasa con una bolsa con aserrín o similar y luego va en busca de productos desinfectantes y el lampazo. cuando está haciendo esto un pasajero que venía del baño va subiendo las escaleras y resbala, se va de espalda, Intentando no caer se agarra de las cortinas, Sacando el caño Porta cortinas y desacomodado todo, Lo que al volver de limpiar acomodar los caños y las cortinas. En terminar San Carlos cambió de choferes. El nuevo guarda señor canoso con lentes perfumo naves y recorre otra antes de Azcuénaga verificando si alguien baja.  baño En condiciones. Priscila la bodega sólo al llegar."/>
  </r>
  <r>
    <n v="250"/>
    <s v="JG"/>
    <m/>
    <d v="2016-06-24T00:00:00"/>
    <n v="47"/>
    <s v="MZA SR"/>
    <d v="1899-12-30T18:00:00"/>
    <d v="1899-12-30T18:02:00"/>
    <n v="1155"/>
    <x v="0"/>
    <s v="si"/>
    <s v="si"/>
    <s v="si"/>
    <s v="no"/>
    <s v="si"/>
    <m/>
    <s v="si"/>
    <m/>
    <s v="no"/>
    <s v="si"/>
    <s v="si"/>
    <m/>
    <n v="91"/>
    <s v="UBILLOS, JOANA MIRTA SOLEDAD"/>
    <m/>
    <m/>
    <s v="si"/>
    <s v="si"/>
    <s v="si"/>
    <s v="si"/>
    <s v="no"/>
    <s v="si"/>
    <s v="si"/>
    <s v="si"/>
    <s v="si"/>
    <s v="no"/>
    <s v="si"/>
    <s v="si"/>
    <s v="si"/>
    <s v="24/06/16 La unidad llega 15 minutos antes. El chofer se va a boletería, La azafata recibe sola a los pasajeros, luego se ve a Cristian Manía. La unidad se encuentra en condiciones, se adjunta un papel film encontrado en el asiento, a un lado y se observan migas en varios asientos. La temperatura es algo elevada, Pero luego se torna agradable. Saliendo de terminal, Azafata comienza el ofrecimiento del cattering, Alcohol en gel, luego en Azcuénaga  suben pasajeros. Sirve el refrigerio según el instructivo, Sirve agua mineral a todos los que les piden. Institucional y película con volumen correcto, Venta pasajeros por el volumen (Ya que del piso de abajo le piden subirlo) Por la temperatura. Lleva agua caliente a cabina. El baño se encuentra orinado en la tabla y el piso. Perfuma dos veces, pero no el baño."/>
  </r>
  <r>
    <n v="251"/>
    <s v="JG"/>
    <m/>
    <d v="2016-06-27T00:00:00"/>
    <n v="44"/>
    <s v="SR MZA"/>
    <d v="1899-12-30T07:00:00"/>
    <d v="1899-12-30T07:03:00"/>
    <n v="1155"/>
    <x v="0"/>
    <s v="si"/>
    <s v="si"/>
    <s v="si"/>
    <s v="si"/>
    <s v="si"/>
    <m/>
    <s v="si"/>
    <m/>
    <s v="no"/>
    <s v="no"/>
    <s v="si"/>
    <m/>
    <n v="1293"/>
    <s v="BUTTINI, JOSE LUIS"/>
    <m/>
    <m/>
    <s v="si"/>
    <m/>
    <s v="si"/>
    <s v="si"/>
    <s v="no"/>
    <s v="no"/>
    <s v="si"/>
    <s v="si"/>
    <s v="no"/>
    <s v="no"/>
    <m/>
    <s v="si"/>
    <s v="si"/>
    <s v="27/06/16 La unidad está 15 minutos  antes, el coche posee cartelería que lo indica como refuerzo. Viajan 4 policías ninguno de ellos paga boleto. Chofer (Vargas) y Guarda (Torres) Viven juntos a pasajeros, solo vigilan la bodega al llegar a terminal Mendoza. Speech saliendo de toledano y luego en Cristo suben más pasajeros. Guarda muy atento ofrece y sirve el cattering, No utilizó alcohol en gel. Ofrece y sirve en el piso de arriba y luego ofrece sirve el piso inferior. Pasajera que viajaba Chilecito debió llamar 3 veces al guarda para que la escuchará. En Terminal San Carlos cambio de choferes, el nuevo guarda (Vargas) perfuma una vez. Baño sin agua para el inodoro , tasa orinada. Muy cómodo el viaje sin ruido molestos ni la radio proveniente de cabina. Temperatura agradable."/>
  </r>
  <r>
    <n v="252"/>
    <s v="GM"/>
    <m/>
    <d v="2016-06-27T00:00:00"/>
    <n v="43"/>
    <s v="SR MZA"/>
    <d v="1899-12-30T10:00:00"/>
    <d v="1899-12-30T10:00:00"/>
    <n v="1190"/>
    <x v="4"/>
    <s v="si"/>
    <s v="si"/>
    <s v="si"/>
    <s v="no"/>
    <s v="si"/>
    <m/>
    <s v="si"/>
    <m/>
    <s v="no"/>
    <s v="no"/>
    <m/>
    <m/>
    <n v="36"/>
    <s v="ARAYA, MONICA BEATRIZ"/>
    <m/>
    <m/>
    <s v="si"/>
    <s v="si"/>
    <s v="si"/>
    <s v="si"/>
    <s v="no"/>
    <s v="no"/>
    <s v="si"/>
    <s v="si"/>
    <s v="si"/>
    <s v="si"/>
    <s v="si"/>
    <s v="si"/>
    <s v="si"/>
    <s v="27/06/16 Coche con Cartel indicador,15 minutos antes en plataforma, motor encendido, cortinas casi todas cerradas, temperatura un poco alta, en condiciones externas e internas (carrocería, plotter, vidrio, espejo, asientos, cortinas, bolsas en los compartimentos, portavasos, apoya brazo). Con agua y jabón, coche limpio. Chofer no se encuentra al principio sólo la azafata por lo tanto tampoco vigila la bodega solamente lo vi al bajarme con vestimenta y buena apariencia.  Azafata recibe a los pasajeros e indica lugar (No que utilice el cinturón en los primeros asientos), Sirve bien el cattering, no les ofrece a todos se saltó a un señor. Rocío perfume una vez. Es simpática. Speech de bienvenida claro pero no muy fuerte, speech video no muy fuerte volumen bajo, speech de bienvenida en Mendoza fuerte pero lo pusieron cuando le había empezado. llegamos 13:06 horas. Se recibe una llamada pero no estoy segura quién la contesta lo que sí que fue corta apenas salimos."/>
  </r>
  <r>
    <n v="253"/>
    <s v="JG"/>
    <m/>
    <d v="2016-06-27T00:00:00"/>
    <n v="43"/>
    <s v="MZA SR"/>
    <d v="1899-12-30T15:00:00"/>
    <d v="1899-12-30T15:02:00"/>
    <n v="1190"/>
    <x v="4"/>
    <s v="si"/>
    <s v="si"/>
    <s v="si"/>
    <s v="no"/>
    <s v="si"/>
    <m/>
    <s v="si"/>
    <m/>
    <s v="no"/>
    <s v="si"/>
    <s v="si"/>
    <m/>
    <n v="36"/>
    <s v="ARAYA, MONICA BEATRIZ"/>
    <m/>
    <m/>
    <s v="si"/>
    <s v="si"/>
    <s v="si"/>
    <s v="si"/>
    <s v="no"/>
    <s v="si"/>
    <s v="si"/>
    <s v="si"/>
    <s v="no"/>
    <s v="si"/>
    <s v="si"/>
    <s v="si"/>
    <s v="si"/>
    <s v="27/06/16 La unidad es llega 10 minutos antes. El chofer va a boletería, azafata recibe a pasajeros. La bodega no es vigilada en ninguna oportunidad. Muy amable y con mucho tacto azafata le indica al pasajero de butaca 14 si se puede sentar en butaca 2, así la Sra. de la butaca 13 que viaja con su hija pequeña (quien tiene algunos problemas de salud) viaja mas cómoda. el Sr le dice que si, es mujer le agradece a la azafata y le comenta que cuando este hombre se sentó, fue algo brisco y golpeo la cabeza de su hija y le saco los audífonos, por lo que la azafata le ayudo con la niña. Speech colocado correctamente. Video institucional y película con volumen muy bajo. Luego del catering lleva un vaso con agua caliente a cabina, se escucha que se abre paquete de galletas, no puedo afirmar si era para el chofer o para la azafata. Temperatura a la salida muy elevada, luego mejora. "/>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Tabla dinámica1" cacheId="0" applyNumberFormats="0" applyBorderFormats="0" applyFontFormats="0" applyPatternFormats="0" applyAlignmentFormats="0" applyWidthHeightFormats="1" dataCaption="Valores" updatedVersion="4" minRefreshableVersion="3" useAutoFormatting="1" itemPrintTitles="1" createdVersion="4" indent="0" outline="1" outlineData="1" multipleFieldFilters="0">
  <location ref="A4:B50" firstHeaderRow="1" firstDataRow="1" firstDataCol="1"/>
  <pivotFields count="40">
    <pivotField showAll="0"/>
    <pivotField showAll="0"/>
    <pivotField showAll="0"/>
    <pivotField showAll="0"/>
    <pivotField showAll="0"/>
    <pivotField showAll="0"/>
    <pivotField showAll="0"/>
    <pivotField showAll="0"/>
    <pivotField dataField="1" showAll="0"/>
    <pivotField axis="axisRow" showAll="0" sortType="ascending">
      <items count="149">
        <item h="1" m="1" x="46"/>
        <item x="25"/>
        <item m="1" x="90"/>
        <item x="26"/>
        <item x="2"/>
        <item x="27"/>
        <item m="1" x="76"/>
        <item m="1" x="102"/>
        <item m="1" x="91"/>
        <item m="1" x="147"/>
        <item x="28"/>
        <item m="1" x="119"/>
        <item m="1" x="139"/>
        <item m="1" x="100"/>
        <item m="1" x="80"/>
        <item m="1" x="127"/>
        <item m="1" x="104"/>
        <item m="1" x="109"/>
        <item m="1" x="143"/>
        <item x="5"/>
        <item m="1" x="82"/>
        <item m="1" x="98"/>
        <item x="29"/>
        <item x="30"/>
        <item m="1" x="133"/>
        <item m="1" x="141"/>
        <item x="17"/>
        <item m="1" x="136"/>
        <item m="1" x="56"/>
        <item m="1" x="124"/>
        <item m="1" x="121"/>
        <item x="12"/>
        <item m="1" x="75"/>
        <item x="31"/>
        <item m="1" x="92"/>
        <item m="1" x="111"/>
        <item x="0"/>
        <item m="1" x="97"/>
        <item m="1" x="60"/>
        <item m="1" x="61"/>
        <item x="32"/>
        <item x="18"/>
        <item x="19"/>
        <item m="1" x="140"/>
        <item x="33"/>
        <item m="1" x="66"/>
        <item m="1" x="64"/>
        <item x="45"/>
        <item x="8"/>
        <item m="1" x="50"/>
        <item m="1" x="81"/>
        <item m="1" x="83"/>
        <item m="1" x="134"/>
        <item m="1" x="101"/>
        <item x="21"/>
        <item m="1" x="84"/>
        <item x="10"/>
        <item x="34"/>
        <item m="1" x="63"/>
        <item m="1" x="106"/>
        <item x="3"/>
        <item m="1" x="65"/>
        <item m="1" x="135"/>
        <item m="1" x="123"/>
        <item m="1" x="70"/>
        <item m="1" x="144"/>
        <item x="14"/>
        <item m="1" x="88"/>
        <item m="1" x="86"/>
        <item m="1" x="108"/>
        <item x="4"/>
        <item x="35"/>
        <item m="1" x="52"/>
        <item m="1" x="72"/>
        <item m="1" x="125"/>
        <item m="1" x="85"/>
        <item m="1" x="107"/>
        <item m="1" x="130"/>
        <item m="1" x="53"/>
        <item x="22"/>
        <item x="1"/>
        <item m="1" x="142"/>
        <item x="13"/>
        <item m="1" x="138"/>
        <item m="1" x="129"/>
        <item x="24"/>
        <item m="1" x="54"/>
        <item m="1" x="62"/>
        <item m="1" x="112"/>
        <item x="36"/>
        <item m="1" x="71"/>
        <item m="1" x="79"/>
        <item m="1" x="73"/>
        <item m="1" x="68"/>
        <item m="1" x="55"/>
        <item m="1" x="59"/>
        <item m="1" x="103"/>
        <item m="1" x="122"/>
        <item m="1" x="131"/>
        <item m="1" x="117"/>
        <item h="1" x="37"/>
        <item m="1" x="113"/>
        <item m="1" x="89"/>
        <item x="38"/>
        <item m="1" x="78"/>
        <item m="1" x="96"/>
        <item m="1" x="93"/>
        <item m="1" x="67"/>
        <item m="1" x="137"/>
        <item m="1" x="132"/>
        <item m="1" x="99"/>
        <item m="1" x="145"/>
        <item m="1" x="116"/>
        <item x="39"/>
        <item m="1" x="87"/>
        <item x="40"/>
        <item x="11"/>
        <item m="1" x="118"/>
        <item m="1" x="57"/>
        <item x="9"/>
        <item m="1" x="105"/>
        <item m="1" x="114"/>
        <item x="41"/>
        <item m="1" x="128"/>
        <item m="1" x="94"/>
        <item m="1" x="48"/>
        <item m="1" x="110"/>
        <item x="42"/>
        <item m="1" x="115"/>
        <item x="6"/>
        <item m="1" x="58"/>
        <item m="1" x="49"/>
        <item x="15"/>
        <item m="1" x="120"/>
        <item x="16"/>
        <item m="1" x="74"/>
        <item x="43"/>
        <item m="1" x="146"/>
        <item x="44"/>
        <item m="1" x="69"/>
        <item m="1" x="95"/>
        <item x="20"/>
        <item x="23"/>
        <item m="1" x="51"/>
        <item m="1" x="126"/>
        <item m="1" x="77"/>
        <item x="7"/>
        <item h="1" m="1" x="4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
  </rowFields>
  <rowItems count="46">
    <i>
      <x v="1"/>
    </i>
    <i>
      <x v="3"/>
    </i>
    <i>
      <x v="4"/>
    </i>
    <i>
      <x v="5"/>
    </i>
    <i>
      <x v="10"/>
    </i>
    <i>
      <x v="19"/>
    </i>
    <i>
      <x v="22"/>
    </i>
    <i>
      <x v="23"/>
    </i>
    <i>
      <x v="26"/>
    </i>
    <i>
      <x v="31"/>
    </i>
    <i>
      <x v="33"/>
    </i>
    <i>
      <x v="36"/>
    </i>
    <i>
      <x v="40"/>
    </i>
    <i>
      <x v="41"/>
    </i>
    <i>
      <x v="42"/>
    </i>
    <i>
      <x v="44"/>
    </i>
    <i>
      <x v="47"/>
    </i>
    <i>
      <x v="48"/>
    </i>
    <i>
      <x v="54"/>
    </i>
    <i>
      <x v="56"/>
    </i>
    <i>
      <x v="57"/>
    </i>
    <i>
      <x v="60"/>
    </i>
    <i>
      <x v="66"/>
    </i>
    <i>
      <x v="70"/>
    </i>
    <i>
      <x v="71"/>
    </i>
    <i>
      <x v="79"/>
    </i>
    <i>
      <x v="80"/>
    </i>
    <i>
      <x v="82"/>
    </i>
    <i>
      <x v="85"/>
    </i>
    <i>
      <x v="89"/>
    </i>
    <i>
      <x v="103"/>
    </i>
    <i>
      <x v="113"/>
    </i>
    <i>
      <x v="115"/>
    </i>
    <i>
      <x v="116"/>
    </i>
    <i>
      <x v="119"/>
    </i>
    <i>
      <x v="122"/>
    </i>
    <i>
      <x v="127"/>
    </i>
    <i>
      <x v="129"/>
    </i>
    <i>
      <x v="132"/>
    </i>
    <i>
      <x v="134"/>
    </i>
    <i>
      <x v="136"/>
    </i>
    <i>
      <x v="138"/>
    </i>
    <i>
      <x v="141"/>
    </i>
    <i>
      <x v="142"/>
    </i>
    <i>
      <x v="146"/>
    </i>
    <i t="grand">
      <x/>
    </i>
  </rowItems>
  <colItems count="1">
    <i/>
  </colItems>
  <dataFields count="1">
    <dataField name="Cuenta de Nº Legajo Conductor" fld="8" subtotal="count" baseField="0" baseItem="0"/>
  </dataFields>
  <formats count="1">
    <format dxfId="0">
      <pivotArea type="all" dataOnly="0" outline="0" fieldPosition="0"/>
    </format>
  </formats>
  <conditionalFormats count="1">
    <conditionalFormat priority="1">
      <pivotAreas count="1">
        <pivotArea type="data" collapsedLevelsAreSubtotals="1" fieldPosition="0">
          <references count="2">
            <reference field="4294967294" count="1" selected="0">
              <x v="0"/>
            </reference>
            <reference field="9" count="45">
              <x v="1"/>
              <x v="3"/>
              <x v="4"/>
              <x v="5"/>
              <x v="10"/>
              <x v="19"/>
              <x v="22"/>
              <x v="23"/>
              <x v="26"/>
              <x v="31"/>
              <x v="33"/>
              <x v="36"/>
              <x v="40"/>
              <x v="41"/>
              <x v="42"/>
              <x v="48"/>
              <x v="54"/>
              <x v="56"/>
              <x v="57"/>
              <x v="60"/>
              <x v="61"/>
              <x v="66"/>
              <x v="70"/>
              <x v="71"/>
              <x v="79"/>
              <x v="80"/>
              <x v="82"/>
              <x v="85"/>
              <x v="89"/>
              <x v="101"/>
              <x v="103"/>
              <x v="113"/>
              <x v="115"/>
              <x v="116"/>
              <x v="119"/>
              <x v="122"/>
              <x v="127"/>
              <x v="129"/>
              <x v="132"/>
              <x v="134"/>
              <x v="136"/>
              <x v="138"/>
              <x v="141"/>
              <x v="142"/>
              <x v="146"/>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Mirador">
      <a:dk1>
        <a:sysClr val="windowText" lastClr="000000"/>
      </a:dk1>
      <a:lt1>
        <a:sysClr val="window" lastClr="FFFFFF"/>
      </a:lt1>
      <a:dk2>
        <a:srgbClr val="575F6D"/>
      </a:dk2>
      <a:lt2>
        <a:srgbClr val="FFF39D"/>
      </a:lt2>
      <a:accent1>
        <a:srgbClr val="FE8637"/>
      </a:accent1>
      <a:accent2>
        <a:srgbClr val="7598D9"/>
      </a:accent2>
      <a:accent3>
        <a:srgbClr val="B32C16"/>
      </a:accent3>
      <a:accent4>
        <a:srgbClr val="F5CD2D"/>
      </a:accent4>
      <a:accent5>
        <a:srgbClr val="AEBAD5"/>
      </a:accent5>
      <a:accent6>
        <a:srgbClr val="777C84"/>
      </a:accent6>
      <a:hlink>
        <a:srgbClr val="D2611C"/>
      </a:hlink>
      <a:folHlink>
        <a:srgbClr val="3B435B"/>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CZ1500"/>
  <sheetViews>
    <sheetView showGridLines="0" tabSelected="1" zoomScale="98" zoomScaleNormal="98" workbookViewId="0">
      <pane ySplit="8" topLeftCell="A9" activePane="bottomLeft" state="frozen"/>
      <selection pane="bottomLeft" activeCell="R4" sqref="R4"/>
    </sheetView>
  </sheetViews>
  <sheetFormatPr baseColWidth="10" defaultColWidth="11.42578125" defaultRowHeight="20.100000000000001" customHeight="1" x14ac:dyDescent="0.25"/>
  <cols>
    <col min="1" max="1" width="3.7109375" style="17" customWidth="1"/>
    <col min="2" max="2" width="6.85546875" style="17" customWidth="1"/>
    <col min="3" max="3" width="8.140625" style="17" customWidth="1"/>
    <col min="4" max="4" width="6.28515625" style="17" customWidth="1"/>
    <col min="5" max="5" width="12.5703125" style="17" customWidth="1"/>
    <col min="6" max="6" width="8.42578125" style="17" customWidth="1"/>
    <col min="7" max="7" width="14" style="17" customWidth="1"/>
    <col min="8" max="8" width="14.7109375" style="17" customWidth="1"/>
    <col min="9" max="9" width="10.5703125" style="17" customWidth="1"/>
    <col min="10" max="10" width="12.85546875" style="17" customWidth="1"/>
    <col min="11" max="11" width="24.7109375" style="101" customWidth="1"/>
    <col min="12" max="12" width="9" style="17" customWidth="1"/>
    <col min="13" max="13" width="5.85546875" style="17" customWidth="1"/>
    <col min="14" max="14" width="9.5703125" style="17" customWidth="1"/>
    <col min="15" max="16" width="8.42578125" style="17" customWidth="1"/>
    <col min="17" max="17" width="8.7109375" style="17" customWidth="1"/>
    <col min="18" max="18" width="6.28515625" style="81" customWidth="1"/>
    <col min="19" max="20" width="8.42578125" style="17" customWidth="1"/>
    <col min="21" max="21" width="9.140625" style="88" customWidth="1"/>
    <col min="22" max="22" width="9.7109375" style="10" customWidth="1"/>
    <col min="23" max="23" width="29.140625" style="88" customWidth="1"/>
    <col min="24" max="24" width="20.28515625" style="17" customWidth="1"/>
    <col min="25" max="25" width="11.42578125" style="17" customWidth="1"/>
    <col min="26" max="26" width="9.7109375" style="17" bestFit="1" customWidth="1"/>
    <col min="27" max="27" width="11.140625" style="17" bestFit="1" customWidth="1"/>
    <col min="28" max="30" width="11.140625" style="17" customWidth="1"/>
    <col min="31" max="32" width="8.7109375" style="17" customWidth="1"/>
    <col min="33" max="33" width="13.140625" style="17" bestFit="1" customWidth="1"/>
    <col min="34" max="34" width="17.42578125" style="17" bestFit="1" customWidth="1"/>
    <col min="35" max="35" width="9.140625" style="17" bestFit="1" customWidth="1"/>
    <col min="36" max="36" width="18.28515625" style="17" bestFit="1" customWidth="1"/>
    <col min="37" max="37" width="14.5703125" style="17" bestFit="1" customWidth="1"/>
    <col min="38" max="38" width="14.28515625" style="17" bestFit="1" customWidth="1"/>
    <col min="39" max="39" width="14.28515625" style="17" customWidth="1"/>
    <col min="40" max="40" width="41" style="90" customWidth="1"/>
    <col min="41" max="47" width="71.5703125" style="17" customWidth="1"/>
    <col min="48" max="48" width="11.7109375" style="17" customWidth="1"/>
    <col min="49" max="49" width="6.42578125" style="91" customWidth="1"/>
    <col min="50" max="50" width="6" style="91" customWidth="1"/>
    <col min="51" max="51" width="6.5703125" style="91" customWidth="1"/>
    <col min="52" max="52" width="7.140625" style="91" customWidth="1"/>
    <col min="53" max="53" width="10.85546875" style="91" customWidth="1"/>
    <col min="54" max="54" width="8" style="91" customWidth="1"/>
    <col min="55" max="55" width="9.140625" style="91" customWidth="1"/>
    <col min="56" max="56" width="9" style="91" customWidth="1"/>
    <col min="57" max="57" width="8.140625" style="91" customWidth="1"/>
    <col min="58" max="58" width="9.5703125" style="91" customWidth="1"/>
    <col min="59" max="59" width="7.42578125" style="91" customWidth="1"/>
    <col min="60" max="60" width="5.28515625" style="91" customWidth="1"/>
    <col min="61" max="61" width="8.5703125" style="91" customWidth="1"/>
    <col min="62" max="62" width="7" style="91" customWidth="1"/>
    <col min="63" max="63" width="8.5703125" style="91" customWidth="1"/>
    <col min="64" max="64" width="10.85546875" style="91" customWidth="1"/>
    <col min="65" max="65" width="8.28515625" style="91" customWidth="1"/>
    <col min="66" max="66" width="9.28515625" style="91" customWidth="1"/>
    <col min="67" max="67" width="8" style="91" customWidth="1"/>
    <col min="68" max="68" width="10.7109375" style="91" bestFit="1" customWidth="1"/>
    <col min="69" max="69" width="9" style="91" customWidth="1"/>
    <col min="70" max="70" width="11.42578125" style="91" customWidth="1"/>
    <col min="71" max="71" width="11.42578125" customWidth="1"/>
    <col min="72" max="76" width="11.42578125" style="17" customWidth="1"/>
    <col min="77" max="77" width="5.42578125" style="91" customWidth="1"/>
    <col min="78" max="78" width="8.7109375" style="91" customWidth="1"/>
    <col min="79" max="79" width="7.140625" style="91" customWidth="1"/>
    <col min="80" max="80" width="11.140625" style="91" customWidth="1"/>
    <col min="81" max="81" width="8" style="91" customWidth="1"/>
    <col min="82" max="83" width="9" style="91" customWidth="1"/>
    <col min="84" max="84" width="8.140625" style="91" customWidth="1"/>
    <col min="85" max="85" width="10.28515625" style="91" customWidth="1"/>
    <col min="86" max="86" width="9.7109375" style="91" customWidth="1"/>
    <col min="87" max="87" width="9.5703125" style="91" customWidth="1"/>
    <col min="88" max="88" width="4.5703125" style="91" customWidth="1"/>
    <col min="89" max="89" width="9.140625" style="91" customWidth="1"/>
    <col min="90" max="90" width="7" style="91" customWidth="1"/>
    <col min="91" max="91" width="7.7109375" style="91" customWidth="1"/>
    <col min="92" max="92" width="8.28515625" style="91" customWidth="1"/>
    <col min="93" max="93" width="6.28515625" style="91" customWidth="1"/>
    <col min="94" max="95" width="7.85546875" style="91" customWidth="1"/>
    <col min="96" max="96" width="11" style="91" customWidth="1"/>
    <col min="97" max="97" width="8.140625" style="91" customWidth="1"/>
    <col min="98" max="98" width="12.7109375" style="91" customWidth="1"/>
    <col min="99" max="99" width="9.28515625" style="91" customWidth="1"/>
    <col min="100" max="100" width="9.7109375" style="91" customWidth="1"/>
    <col min="101" max="101" width="8.7109375" style="91" customWidth="1"/>
    <col min="102" max="102" width="20.140625" style="91" customWidth="1"/>
    <col min="103" max="104" width="11.42578125" style="17" customWidth="1"/>
    <col min="105" max="16384" width="11.42578125" style="17"/>
  </cols>
  <sheetData>
    <row r="1" spans="1:104" ht="15" customHeight="1" x14ac:dyDescent="0.25">
      <c r="L1" s="3"/>
      <c r="M1" s="3"/>
      <c r="N1" s="3"/>
      <c r="O1" s="3"/>
      <c r="P1" s="3"/>
      <c r="Q1" s="5"/>
      <c r="S1" s="5"/>
      <c r="T1" s="5"/>
      <c r="AW1"/>
      <c r="AX1"/>
      <c r="AY1"/>
      <c r="AZ1"/>
      <c r="BA1"/>
      <c r="BB1"/>
      <c r="BC1"/>
      <c r="BD1"/>
      <c r="BE1"/>
      <c r="BF1"/>
      <c r="BG1"/>
      <c r="BH1"/>
      <c r="BI1"/>
      <c r="BJ1"/>
      <c r="BK1"/>
      <c r="BL1"/>
      <c r="BM1"/>
      <c r="BN1"/>
      <c r="BO1"/>
      <c r="BP1"/>
      <c r="BQ1"/>
      <c r="BR1"/>
      <c r="BY1"/>
      <c r="BZ1"/>
      <c r="CA1"/>
      <c r="CB1"/>
      <c r="CC1"/>
      <c r="CD1"/>
      <c r="CE1"/>
      <c r="CF1"/>
      <c r="CG1"/>
      <c r="CH1"/>
      <c r="CI1"/>
      <c r="CJ1"/>
      <c r="CK1"/>
      <c r="CL1"/>
      <c r="CM1"/>
      <c r="CN1"/>
      <c r="CO1"/>
      <c r="CP1"/>
      <c r="CQ1"/>
      <c r="CR1"/>
      <c r="CS1"/>
      <c r="CT1"/>
      <c r="CU1"/>
      <c r="CV1"/>
      <c r="CW1"/>
      <c r="CX1"/>
    </row>
    <row r="2" spans="1:104" ht="15" customHeight="1" x14ac:dyDescent="0.25">
      <c r="B2" s="9" t="s">
        <v>15</v>
      </c>
      <c r="C2" s="9"/>
      <c r="D2" s="9"/>
      <c r="E2" s="9"/>
      <c r="F2" s="9"/>
      <c r="G2" s="9"/>
      <c r="H2"/>
      <c r="I2"/>
      <c r="J2" s="9" t="s">
        <v>15</v>
      </c>
      <c r="K2" s="108"/>
      <c r="L2" s="9"/>
      <c r="M2" s="9"/>
      <c r="N2" s="9"/>
      <c r="O2" s="9"/>
      <c r="P2" s="3"/>
      <c r="Q2" s="5"/>
      <c r="S2" s="5"/>
      <c r="T2" s="5"/>
      <c r="AW2"/>
      <c r="AX2"/>
      <c r="AY2"/>
      <c r="AZ2"/>
      <c r="BA2"/>
      <c r="BB2"/>
      <c r="BC2"/>
      <c r="BD2"/>
      <c r="BE2"/>
      <c r="BF2"/>
      <c r="BG2"/>
      <c r="BH2"/>
      <c r="BI2"/>
      <c r="BJ2"/>
      <c r="BK2"/>
      <c r="BL2"/>
      <c r="BM2"/>
      <c r="BN2"/>
      <c r="BO2"/>
      <c r="BP2"/>
      <c r="BQ2"/>
      <c r="BR2"/>
      <c r="BY2"/>
      <c r="BZ2"/>
      <c r="CA2"/>
      <c r="CB2"/>
      <c r="CC2"/>
      <c r="CD2"/>
      <c r="CE2"/>
      <c r="CF2"/>
      <c r="CG2"/>
      <c r="CH2"/>
      <c r="CI2"/>
      <c r="CJ2"/>
      <c r="CK2"/>
      <c r="CL2"/>
      <c r="CM2"/>
      <c r="CN2"/>
      <c r="CO2"/>
      <c r="CP2"/>
      <c r="CQ2"/>
      <c r="CR2"/>
      <c r="CS2"/>
      <c r="CT2"/>
      <c r="CU2"/>
      <c r="CV2"/>
      <c r="CW2"/>
      <c r="CX2"/>
    </row>
    <row r="3" spans="1:104" ht="35.1" customHeight="1" x14ac:dyDescent="0.25">
      <c r="A3" s="11"/>
      <c r="B3" s="14" t="s">
        <v>2</v>
      </c>
      <c r="C3" s="15" t="s">
        <v>2</v>
      </c>
      <c r="D3" s="36" t="s">
        <v>187</v>
      </c>
      <c r="E3" s="150" t="s">
        <v>189</v>
      </c>
      <c r="F3" s="150"/>
      <c r="G3" s="151"/>
      <c r="H3" s="37"/>
      <c r="I3"/>
      <c r="J3" s="14" t="s">
        <v>2</v>
      </c>
      <c r="K3" s="109" t="s">
        <v>2</v>
      </c>
      <c r="L3" s="36" t="s">
        <v>186</v>
      </c>
      <c r="M3" s="154" t="s">
        <v>190</v>
      </c>
      <c r="N3" s="155"/>
      <c r="O3" s="155"/>
      <c r="P3" s="6"/>
      <c r="Q3" s="13"/>
      <c r="R3" s="82"/>
      <c r="S3" s="13"/>
      <c r="T3" s="7"/>
      <c r="U3" s="105"/>
      <c r="AW3"/>
      <c r="AX3"/>
      <c r="AY3"/>
      <c r="AZ3"/>
      <c r="BA3"/>
      <c r="BB3"/>
      <c r="BC3"/>
      <c r="BD3"/>
      <c r="BE3"/>
      <c r="BF3"/>
      <c r="BG3"/>
      <c r="BH3"/>
      <c r="BI3"/>
      <c r="BJ3"/>
      <c r="BK3"/>
      <c r="BL3"/>
      <c r="BM3"/>
      <c r="BN3"/>
      <c r="BO3"/>
      <c r="BP3"/>
      <c r="BQ3"/>
      <c r="BR3"/>
      <c r="BY3"/>
      <c r="BZ3"/>
      <c r="CA3"/>
      <c r="CB3"/>
      <c r="CC3"/>
      <c r="CD3"/>
      <c r="CE3"/>
      <c r="CF3"/>
      <c r="CG3"/>
      <c r="CH3"/>
      <c r="CI3"/>
      <c r="CJ3"/>
      <c r="CK3"/>
      <c r="CL3"/>
      <c r="CM3"/>
      <c r="CN3"/>
      <c r="CO3"/>
      <c r="CP3"/>
      <c r="CQ3"/>
      <c r="CR3"/>
      <c r="CS3"/>
      <c r="CT3"/>
      <c r="CU3"/>
      <c r="CV3"/>
      <c r="CW3"/>
      <c r="CX3"/>
    </row>
    <row r="4" spans="1:104" ht="15" customHeight="1" x14ac:dyDescent="0.25">
      <c r="B4" s="38" t="str">
        <f>IF(B5="","&gt;=1","&gt;="&amp;B5)</f>
        <v>&gt;=1</v>
      </c>
      <c r="C4" s="39" t="str">
        <f>IF(C5="","&lt;=70000","&lt;="&amp;C5)</f>
        <v>&lt;=70000</v>
      </c>
      <c r="D4" s="27"/>
      <c r="E4" s="152" t="e">
        <f>VLOOKUP(D4,Personal!$A$1:$F$501,2,FALSE)</f>
        <v>#N/A</v>
      </c>
      <c r="F4" s="153"/>
      <c r="G4" s="153"/>
      <c r="H4"/>
      <c r="I4"/>
      <c r="J4" s="16" t="str">
        <f>IF(J5="","&gt;=1","&gt;="&amp;J5)</f>
        <v>&gt;=1</v>
      </c>
      <c r="K4" s="110" t="str">
        <f>IF(K5="","&lt;=70000","&lt;="&amp;K5)</f>
        <v>&lt;=70000</v>
      </c>
      <c r="L4" s="27"/>
      <c r="M4" s="152" t="e">
        <f>VLOOKUP(L4,Personal!$A$1:$F$501,2,FALSE)</f>
        <v>#N/A</v>
      </c>
      <c r="N4" s="153"/>
      <c r="O4" s="153"/>
      <c r="P4" s="3"/>
      <c r="Q4" s="5"/>
      <c r="S4" s="5"/>
      <c r="T4" s="5"/>
      <c r="AW4"/>
      <c r="AX4"/>
      <c r="AY4"/>
      <c r="AZ4"/>
      <c r="BA4"/>
      <c r="BB4"/>
      <c r="BC4"/>
      <c r="BD4"/>
      <c r="BE4"/>
      <c r="BF4"/>
      <c r="BG4"/>
      <c r="BH4"/>
      <c r="BI4"/>
      <c r="BJ4"/>
      <c r="BK4"/>
      <c r="BL4"/>
      <c r="BM4"/>
      <c r="BN4"/>
      <c r="BO4"/>
      <c r="BP4"/>
      <c r="BQ4"/>
      <c r="BR4"/>
      <c r="BY4"/>
      <c r="BZ4"/>
      <c r="CA4"/>
      <c r="CB4"/>
      <c r="CC4"/>
      <c r="CD4"/>
      <c r="CE4"/>
      <c r="CF4"/>
      <c r="CG4"/>
      <c r="CH4"/>
      <c r="CI4"/>
      <c r="CJ4"/>
      <c r="CK4"/>
      <c r="CL4"/>
      <c r="CM4"/>
      <c r="CN4"/>
      <c r="CO4"/>
      <c r="CP4"/>
      <c r="CQ4"/>
      <c r="CR4"/>
      <c r="CS4"/>
      <c r="CT4"/>
      <c r="CU4"/>
      <c r="CV4"/>
      <c r="CW4"/>
      <c r="CX4"/>
    </row>
    <row r="5" spans="1:104" ht="15" customHeight="1" x14ac:dyDescent="0.25">
      <c r="B5" s="41"/>
      <c r="C5" s="40"/>
      <c r="J5" s="41"/>
      <c r="K5" s="111"/>
      <c r="L5" s="3"/>
      <c r="M5" s="3"/>
      <c r="N5" s="3"/>
      <c r="O5" s="3"/>
      <c r="P5" s="3"/>
      <c r="Q5" s="5"/>
      <c r="S5" s="5"/>
      <c r="T5" s="5"/>
      <c r="AW5"/>
      <c r="AX5"/>
      <c r="AY5"/>
      <c r="AZ5"/>
      <c r="BA5"/>
      <c r="BB5"/>
      <c r="BC5"/>
      <c r="BD5"/>
      <c r="BE5"/>
      <c r="BF5"/>
      <c r="BG5"/>
      <c r="BH5"/>
      <c r="BI5"/>
      <c r="BJ5"/>
      <c r="BK5"/>
      <c r="BL5"/>
      <c r="BM5"/>
      <c r="BN5"/>
      <c r="BO5"/>
      <c r="BP5"/>
      <c r="BQ5"/>
      <c r="BR5"/>
      <c r="BY5"/>
      <c r="BZ5"/>
      <c r="CA5"/>
      <c r="CB5"/>
      <c r="CC5"/>
      <c r="CD5"/>
      <c r="CE5"/>
      <c r="CF5"/>
      <c r="CG5"/>
      <c r="CH5"/>
      <c r="CI5"/>
      <c r="CJ5"/>
      <c r="CK5"/>
      <c r="CL5"/>
      <c r="CM5"/>
      <c r="CN5"/>
      <c r="CO5"/>
      <c r="CP5"/>
      <c r="CQ5"/>
      <c r="CR5"/>
      <c r="CS5"/>
      <c r="CT5"/>
      <c r="CU5"/>
      <c r="CV5"/>
      <c r="CW5"/>
      <c r="CX5"/>
    </row>
    <row r="6" spans="1:104" ht="15" customHeight="1" thickBot="1" x14ac:dyDescent="0.3">
      <c r="L6" s="3"/>
      <c r="M6" s="3"/>
      <c r="N6" s="3"/>
      <c r="O6" s="3"/>
      <c r="P6" s="3"/>
      <c r="Q6" s="5"/>
      <c r="S6" s="5"/>
      <c r="T6" s="5"/>
      <c r="AW6"/>
      <c r="AX6"/>
      <c r="AY6"/>
      <c r="AZ6"/>
      <c r="BA6"/>
      <c r="BB6"/>
      <c r="BC6"/>
      <c r="BD6"/>
      <c r="BE6"/>
      <c r="BF6"/>
      <c r="BG6"/>
      <c r="BH6"/>
      <c r="BI6"/>
      <c r="BJ6"/>
      <c r="BK6"/>
      <c r="BL6"/>
      <c r="BM6"/>
      <c r="BN6"/>
      <c r="BO6"/>
      <c r="BP6"/>
      <c r="BQ6"/>
      <c r="BR6"/>
      <c r="BY6"/>
      <c r="BZ6"/>
      <c r="CA6"/>
      <c r="CB6"/>
      <c r="CC6"/>
      <c r="CD6"/>
      <c r="CE6"/>
      <c r="CF6"/>
      <c r="CG6"/>
      <c r="CH6"/>
      <c r="CI6"/>
      <c r="CJ6"/>
      <c r="CK6"/>
      <c r="CL6"/>
      <c r="CM6"/>
      <c r="CN6"/>
      <c r="CO6"/>
      <c r="CP6"/>
      <c r="CQ6"/>
      <c r="CR6"/>
      <c r="CS6"/>
      <c r="CT6"/>
      <c r="CU6"/>
      <c r="CV6"/>
      <c r="CW6"/>
      <c r="CX6"/>
    </row>
    <row r="7" spans="1:104" ht="24.75" customHeight="1" x14ac:dyDescent="0.25">
      <c r="J7" s="149" t="s">
        <v>281</v>
      </c>
      <c r="K7" s="149"/>
      <c r="L7" s="149"/>
      <c r="M7" s="149"/>
      <c r="N7" s="149"/>
      <c r="O7" s="149"/>
      <c r="P7" s="149"/>
      <c r="Q7" s="149"/>
      <c r="R7" s="149"/>
      <c r="S7" s="149"/>
      <c r="T7" s="149"/>
      <c r="U7" s="149"/>
      <c r="V7" s="149" t="s">
        <v>139</v>
      </c>
      <c r="W7" s="149"/>
      <c r="X7" s="149"/>
      <c r="Y7" s="149"/>
      <c r="Z7" s="149"/>
      <c r="AA7" s="149"/>
      <c r="AB7" s="149"/>
      <c r="AC7" s="149"/>
      <c r="AD7" s="149"/>
      <c r="AE7" s="149"/>
      <c r="AF7" s="149"/>
      <c r="AG7" s="149"/>
      <c r="AH7" s="149"/>
      <c r="AI7" s="149"/>
      <c r="AJ7" s="149"/>
      <c r="AK7" s="149"/>
      <c r="AL7" s="149"/>
      <c r="AM7" s="149"/>
      <c r="AN7" s="149"/>
      <c r="AW7"/>
      <c r="AX7"/>
      <c r="AY7"/>
      <c r="AZ7"/>
      <c r="BA7"/>
      <c r="BB7"/>
      <c r="BC7"/>
      <c r="BD7"/>
      <c r="BE7"/>
      <c r="BF7"/>
      <c r="BG7"/>
      <c r="BH7"/>
      <c r="BI7"/>
      <c r="BJ7"/>
      <c r="BK7"/>
      <c r="BL7"/>
      <c r="BM7"/>
      <c r="BN7"/>
      <c r="BO7"/>
      <c r="BP7"/>
      <c r="BQ7"/>
      <c r="BR7"/>
      <c r="BY7"/>
      <c r="BZ7"/>
      <c r="CA7"/>
      <c r="CB7"/>
      <c r="CC7"/>
      <c r="CD7"/>
      <c r="CE7"/>
      <c r="CF7"/>
      <c r="CG7"/>
      <c r="CH7"/>
      <c r="CI7"/>
      <c r="CJ7"/>
      <c r="CK7"/>
      <c r="CL7"/>
      <c r="CM7"/>
      <c r="CO7"/>
      <c r="CP7"/>
      <c r="CQ7"/>
      <c r="CR7"/>
      <c r="CS7"/>
      <c r="CT7"/>
      <c r="CU7"/>
      <c r="CV7"/>
      <c r="CW7"/>
      <c r="CX7"/>
    </row>
    <row r="8" spans="1:104" ht="64.5" customHeight="1" x14ac:dyDescent="0.25">
      <c r="B8" s="8" t="s">
        <v>16</v>
      </c>
      <c r="C8" s="28" t="s">
        <v>0</v>
      </c>
      <c r="D8" s="28" t="s">
        <v>1</v>
      </c>
      <c r="E8" s="29" t="s">
        <v>2</v>
      </c>
      <c r="F8" s="30" t="s">
        <v>3</v>
      </c>
      <c r="G8" s="30" t="s">
        <v>4</v>
      </c>
      <c r="H8" s="31" t="s">
        <v>5</v>
      </c>
      <c r="I8" s="34" t="s">
        <v>6</v>
      </c>
      <c r="J8" s="35" t="s">
        <v>187</v>
      </c>
      <c r="K8" s="102" t="s">
        <v>189</v>
      </c>
      <c r="L8" s="1" t="s">
        <v>7</v>
      </c>
      <c r="M8" s="1" t="s">
        <v>8</v>
      </c>
      <c r="N8" s="1" t="s">
        <v>9</v>
      </c>
      <c r="O8" s="1" t="s">
        <v>10</v>
      </c>
      <c r="P8" s="1" t="s">
        <v>273</v>
      </c>
      <c r="Q8" s="1" t="s">
        <v>11</v>
      </c>
      <c r="R8" s="83" t="s">
        <v>12</v>
      </c>
      <c r="S8" s="2" t="s">
        <v>13</v>
      </c>
      <c r="T8" s="2" t="s">
        <v>274</v>
      </c>
      <c r="U8" s="106" t="s">
        <v>138</v>
      </c>
      <c r="V8" s="32" t="s">
        <v>186</v>
      </c>
      <c r="W8" s="102" t="s">
        <v>190</v>
      </c>
      <c r="X8" s="28" t="s">
        <v>7</v>
      </c>
      <c r="Y8" s="28" t="s">
        <v>8</v>
      </c>
      <c r="Z8" s="1" t="s">
        <v>9</v>
      </c>
      <c r="AA8" s="1" t="s">
        <v>132</v>
      </c>
      <c r="AB8" s="1" t="s">
        <v>275</v>
      </c>
      <c r="AC8" s="1" t="s">
        <v>276</v>
      </c>
      <c r="AD8" s="1" t="s">
        <v>277</v>
      </c>
      <c r="AE8" s="1" t="s">
        <v>133</v>
      </c>
      <c r="AF8" s="2" t="s">
        <v>188</v>
      </c>
      <c r="AG8" s="1" t="s">
        <v>134</v>
      </c>
      <c r="AH8" s="1" t="s">
        <v>135</v>
      </c>
      <c r="AI8" s="1" t="s">
        <v>136</v>
      </c>
      <c r="AJ8" s="1" t="s">
        <v>280</v>
      </c>
      <c r="AK8" s="1" t="s">
        <v>279</v>
      </c>
      <c r="AL8" s="1" t="s">
        <v>137</v>
      </c>
      <c r="AM8" s="138" t="s">
        <v>278</v>
      </c>
      <c r="AN8" s="96" t="s">
        <v>185</v>
      </c>
      <c r="AW8" s="8" t="s">
        <v>16</v>
      </c>
      <c r="AX8" s="28" t="s">
        <v>0</v>
      </c>
      <c r="AY8" s="28" t="s">
        <v>1</v>
      </c>
      <c r="AZ8" s="29" t="s">
        <v>2</v>
      </c>
      <c r="BA8" s="30" t="s">
        <v>3</v>
      </c>
      <c r="BB8" s="30" t="s">
        <v>4</v>
      </c>
      <c r="BC8" s="31" t="s">
        <v>5</v>
      </c>
      <c r="BD8" s="34" t="s">
        <v>6</v>
      </c>
      <c r="BE8" s="47" t="s">
        <v>187</v>
      </c>
      <c r="BF8" s="102" t="s">
        <v>189</v>
      </c>
      <c r="BG8" s="1" t="s">
        <v>7</v>
      </c>
      <c r="BH8" s="1" t="s">
        <v>8</v>
      </c>
      <c r="BI8" s="1" t="s">
        <v>9</v>
      </c>
      <c r="BJ8" s="1" t="s">
        <v>10</v>
      </c>
      <c r="BK8" s="1" t="s">
        <v>273</v>
      </c>
      <c r="BL8" s="1" t="s">
        <v>11</v>
      </c>
      <c r="BM8" s="102" t="s">
        <v>12</v>
      </c>
      <c r="BN8" s="2" t="s">
        <v>13</v>
      </c>
      <c r="BO8" s="2" t="s">
        <v>274</v>
      </c>
      <c r="BP8" s="28" t="s">
        <v>138</v>
      </c>
      <c r="BQ8"/>
      <c r="BR8"/>
      <c r="BY8" s="8" t="s">
        <v>16</v>
      </c>
      <c r="BZ8" s="28" t="s">
        <v>0</v>
      </c>
      <c r="CA8" s="28" t="s">
        <v>1</v>
      </c>
      <c r="CB8" s="29" t="s">
        <v>2</v>
      </c>
      <c r="CC8" s="30" t="s">
        <v>3</v>
      </c>
      <c r="CD8" s="30" t="s">
        <v>4</v>
      </c>
      <c r="CE8" s="31" t="s">
        <v>5</v>
      </c>
      <c r="CF8" s="34" t="s">
        <v>6</v>
      </c>
      <c r="CG8" s="32" t="s">
        <v>186</v>
      </c>
      <c r="CH8" s="28" t="s">
        <v>190</v>
      </c>
      <c r="CI8" s="28" t="s">
        <v>7</v>
      </c>
      <c r="CJ8" s="28" t="s">
        <v>8</v>
      </c>
      <c r="CK8" s="28" t="s">
        <v>9</v>
      </c>
      <c r="CL8" s="28" t="s">
        <v>132</v>
      </c>
      <c r="CM8" s="28" t="s">
        <v>275</v>
      </c>
      <c r="CN8" s="148" t="s">
        <v>276</v>
      </c>
      <c r="CO8" s="28" t="s">
        <v>277</v>
      </c>
      <c r="CP8" s="28" t="s">
        <v>133</v>
      </c>
      <c r="CQ8" s="28" t="s">
        <v>188</v>
      </c>
      <c r="CR8" s="28" t="s">
        <v>134</v>
      </c>
      <c r="CS8" s="28" t="s">
        <v>135</v>
      </c>
      <c r="CT8" s="28" t="s">
        <v>136</v>
      </c>
      <c r="CU8" s="28" t="s">
        <v>280</v>
      </c>
      <c r="CV8" s="148" t="s">
        <v>279</v>
      </c>
      <c r="CW8" s="28" t="s">
        <v>137</v>
      </c>
      <c r="CX8" s="138" t="s">
        <v>278</v>
      </c>
      <c r="CY8" s="28" t="s">
        <v>185</v>
      </c>
    </row>
    <row r="9" spans="1:104" ht="18" customHeight="1" x14ac:dyDescent="0.25">
      <c r="B9" s="68"/>
      <c r="C9" s="97"/>
      <c r="D9" s="68"/>
      <c r="E9" s="132"/>
      <c r="F9" s="69"/>
      <c r="G9" s="69"/>
      <c r="H9" s="130"/>
      <c r="I9" s="133"/>
      <c r="J9" s="67"/>
      <c r="K9" s="112"/>
      <c r="L9" s="92"/>
      <c r="M9" s="92"/>
      <c r="N9" s="92"/>
      <c r="O9" s="92"/>
      <c r="P9" s="92"/>
      <c r="Q9" s="92"/>
      <c r="R9" s="84"/>
      <c r="S9" s="92"/>
      <c r="T9" s="92"/>
      <c r="U9" s="107"/>
      <c r="V9" s="33"/>
      <c r="W9" s="104"/>
      <c r="X9" s="94"/>
      <c r="Y9" s="94"/>
      <c r="Z9" s="93"/>
      <c r="AA9" s="93"/>
      <c r="AB9" s="93"/>
      <c r="AC9" s="93"/>
      <c r="AD9" s="93"/>
      <c r="AE9" s="93"/>
      <c r="AF9" s="93"/>
      <c r="AG9" s="93"/>
      <c r="AH9" s="93"/>
      <c r="AI9" s="93"/>
      <c r="AJ9" s="93"/>
      <c r="AK9" s="93"/>
      <c r="AL9" s="93"/>
      <c r="AM9" s="93"/>
      <c r="AN9" s="89"/>
      <c r="AW9"/>
      <c r="AX9"/>
      <c r="AY9"/>
      <c r="AZ9"/>
      <c r="BA9"/>
      <c r="BB9"/>
      <c r="BC9"/>
      <c r="BD9"/>
      <c r="BE9"/>
      <c r="BF9"/>
      <c r="BG9"/>
      <c r="BH9"/>
      <c r="BI9"/>
      <c r="BJ9"/>
      <c r="BK9"/>
      <c r="BL9"/>
      <c r="BM9"/>
      <c r="BN9"/>
      <c r="BO9"/>
      <c r="BP9"/>
      <c r="BQ9"/>
      <c r="BR9"/>
      <c r="BY9"/>
      <c r="BZ9"/>
      <c r="CA9"/>
      <c r="CB9"/>
      <c r="CC9"/>
      <c r="CD9"/>
      <c r="CE9"/>
      <c r="CF9"/>
      <c r="CG9"/>
      <c r="CH9"/>
      <c r="CI9"/>
      <c r="CJ9"/>
      <c r="CK9"/>
      <c r="CL9"/>
      <c r="CM9"/>
      <c r="CN9"/>
      <c r="CO9"/>
      <c r="CP9"/>
      <c r="CQ9"/>
      <c r="CR9"/>
      <c r="CS9"/>
      <c r="CT9"/>
      <c r="CU9"/>
      <c r="CV9"/>
      <c r="CW9"/>
      <c r="CX9"/>
      <c r="CY9"/>
      <c r="CZ9"/>
    </row>
    <row r="10" spans="1:104" ht="20.100000000000001" customHeight="1" x14ac:dyDescent="0.25">
      <c r="B10" s="68"/>
      <c r="C10" s="97"/>
      <c r="D10" s="68"/>
      <c r="E10" s="132"/>
      <c r="F10" s="69"/>
      <c r="G10" s="69"/>
      <c r="H10" s="130"/>
      <c r="I10" s="133"/>
      <c r="J10" s="67"/>
      <c r="K10" s="112"/>
      <c r="L10" s="92"/>
      <c r="M10" s="92"/>
      <c r="N10" s="92"/>
      <c r="O10" s="92"/>
      <c r="P10" s="92"/>
      <c r="Q10" s="92"/>
      <c r="R10" s="84"/>
      <c r="S10" s="92"/>
      <c r="T10" s="92"/>
      <c r="U10" s="107"/>
      <c r="V10" s="33"/>
      <c r="W10" s="104"/>
      <c r="X10" s="94"/>
      <c r="Y10" s="94"/>
      <c r="Z10" s="93"/>
      <c r="AA10" s="93"/>
      <c r="AB10" s="93"/>
      <c r="AC10" s="93"/>
      <c r="AD10" s="93"/>
      <c r="AE10" s="93"/>
      <c r="AF10" s="93"/>
      <c r="AG10" s="93"/>
      <c r="AH10" s="93"/>
      <c r="AI10" s="93"/>
      <c r="AJ10" s="93"/>
      <c r="AK10" s="93"/>
      <c r="AL10" s="93"/>
      <c r="AM10" s="93"/>
      <c r="AN10" s="89"/>
      <c r="AW10"/>
      <c r="AX10"/>
      <c r="AY10"/>
      <c r="AZ10"/>
      <c r="BA10"/>
      <c r="BB10"/>
      <c r="BC10"/>
      <c r="BD10"/>
      <c r="BE10"/>
      <c r="BF10"/>
      <c r="BG10"/>
      <c r="BH10"/>
      <c r="BI10"/>
      <c r="BJ10"/>
      <c r="BK10"/>
      <c r="BL10"/>
      <c r="BM10"/>
      <c r="BN10"/>
      <c r="BO10"/>
      <c r="BP10"/>
      <c r="BQ10"/>
      <c r="BR10"/>
      <c r="BY10"/>
      <c r="BZ10"/>
      <c r="CA10"/>
      <c r="CB10"/>
      <c r="CC10"/>
      <c r="CD10"/>
      <c r="CE10"/>
      <c r="CF10"/>
      <c r="CG10"/>
      <c r="CH10"/>
      <c r="CI10"/>
      <c r="CJ10"/>
      <c r="CK10"/>
      <c r="CL10"/>
      <c r="CM10"/>
      <c r="CN10"/>
      <c r="CO10"/>
      <c r="CP10"/>
      <c r="CQ10"/>
      <c r="CR10"/>
      <c r="CS10"/>
      <c r="CT10"/>
      <c r="CU10"/>
      <c r="CV10"/>
      <c r="CW10"/>
      <c r="CX10"/>
      <c r="CY10"/>
    </row>
    <row r="11" spans="1:104" ht="20.100000000000001" customHeight="1" x14ac:dyDescent="0.25">
      <c r="B11" s="68"/>
      <c r="C11" s="97"/>
      <c r="D11" s="68"/>
      <c r="E11" s="132"/>
      <c r="F11" s="69"/>
      <c r="G11" s="69"/>
      <c r="H11" s="130"/>
      <c r="I11" s="133"/>
      <c r="J11" s="67"/>
      <c r="K11" s="112"/>
      <c r="L11" s="92"/>
      <c r="M11" s="92"/>
      <c r="N11" s="92"/>
      <c r="O11" s="92"/>
      <c r="P11" s="92"/>
      <c r="Q11" s="92"/>
      <c r="R11" s="84"/>
      <c r="S11" s="92"/>
      <c r="T11" s="92"/>
      <c r="U11" s="107"/>
      <c r="V11" s="33"/>
      <c r="W11" s="104"/>
      <c r="X11" s="94"/>
      <c r="Y11" s="94"/>
      <c r="Z11" s="93"/>
      <c r="AA11" s="93"/>
      <c r="AB11" s="93"/>
      <c r="AC11" s="93"/>
      <c r="AD11" s="93"/>
      <c r="AE11" s="93"/>
      <c r="AF11" s="93"/>
      <c r="AG11" s="93"/>
      <c r="AH11" s="93"/>
      <c r="AI11" s="93"/>
      <c r="AJ11" s="93"/>
      <c r="AK11" s="93"/>
      <c r="AL11" s="93"/>
      <c r="AM11" s="93"/>
      <c r="AN11" s="89"/>
      <c r="AW11"/>
      <c r="AX11"/>
      <c r="AY11"/>
      <c r="AZ11"/>
      <c r="BA11"/>
      <c r="BB11"/>
      <c r="BC11"/>
      <c r="BD11"/>
      <c r="BE11"/>
      <c r="BF11"/>
      <c r="BG11"/>
      <c r="BH11"/>
      <c r="BI11"/>
      <c r="BJ11"/>
      <c r="BK11"/>
      <c r="BL11"/>
      <c r="BM11"/>
      <c r="BN11"/>
      <c r="BO11"/>
      <c r="BP11"/>
      <c r="BQ11"/>
      <c r="BR11"/>
      <c r="BY11"/>
      <c r="BZ11"/>
      <c r="CA11"/>
      <c r="CB11"/>
      <c r="CC11"/>
      <c r="CD11"/>
      <c r="CE11"/>
      <c r="CF11"/>
      <c r="CG11"/>
      <c r="CH11"/>
      <c r="CI11"/>
      <c r="CJ11"/>
      <c r="CK11"/>
      <c r="CL11"/>
      <c r="CM11"/>
      <c r="CN11"/>
      <c r="CO11"/>
      <c r="CP11"/>
      <c r="CQ11"/>
      <c r="CR11"/>
      <c r="CS11"/>
      <c r="CT11"/>
      <c r="CU11"/>
      <c r="CV11"/>
      <c r="CW11"/>
      <c r="CX11"/>
      <c r="CY11"/>
    </row>
    <row r="12" spans="1:104" ht="20.100000000000001" customHeight="1" x14ac:dyDescent="0.25">
      <c r="B12" s="68"/>
      <c r="C12" s="97"/>
      <c r="D12" s="68"/>
      <c r="E12" s="132"/>
      <c r="F12" s="69"/>
      <c r="G12" s="69"/>
      <c r="H12" s="130"/>
      <c r="I12" s="133"/>
      <c r="J12" s="67"/>
      <c r="K12" s="112"/>
      <c r="L12" s="92"/>
      <c r="M12" s="92"/>
      <c r="N12" s="92"/>
      <c r="O12" s="92"/>
      <c r="P12" s="92"/>
      <c r="Q12" s="92"/>
      <c r="R12" s="84"/>
      <c r="S12" s="92"/>
      <c r="T12" s="92"/>
      <c r="U12" s="107"/>
      <c r="V12" s="33"/>
      <c r="W12" s="104"/>
      <c r="X12" s="94"/>
      <c r="Y12" s="94"/>
      <c r="Z12" s="93"/>
      <c r="AA12" s="93"/>
      <c r="AB12" s="93"/>
      <c r="AC12" s="93"/>
      <c r="AD12" s="93"/>
      <c r="AE12" s="93"/>
      <c r="AF12" s="93"/>
      <c r="AG12" s="93"/>
      <c r="AH12" s="93"/>
      <c r="AI12" s="93"/>
      <c r="AJ12" s="93"/>
      <c r="AK12" s="93"/>
      <c r="AL12" s="93"/>
      <c r="AM12" s="93"/>
      <c r="AN12" s="89"/>
      <c r="AX12"/>
      <c r="AY12"/>
      <c r="AZ12"/>
      <c r="BA12"/>
      <c r="BB12"/>
      <c r="BC12"/>
      <c r="BD12"/>
      <c r="BE12"/>
      <c r="BF12"/>
      <c r="BG12"/>
      <c r="BH12"/>
      <c r="BI12"/>
      <c r="BJ12"/>
      <c r="BK12"/>
      <c r="BL12"/>
      <c r="BM12"/>
      <c r="BN12"/>
      <c r="BO12"/>
      <c r="BP12"/>
      <c r="BQ12"/>
      <c r="BR12"/>
      <c r="BY12"/>
      <c r="BZ12"/>
      <c r="CA12"/>
      <c r="CB12"/>
      <c r="CC12"/>
      <c r="CD12"/>
      <c r="CE12"/>
      <c r="CF12"/>
      <c r="CG12"/>
      <c r="CH12"/>
      <c r="CI12"/>
      <c r="CJ12"/>
      <c r="CK12"/>
      <c r="CL12"/>
      <c r="CM12"/>
      <c r="CN12"/>
      <c r="CO12"/>
      <c r="CP12"/>
      <c r="CQ12"/>
      <c r="CR12"/>
      <c r="CS12"/>
      <c r="CT12"/>
      <c r="CU12"/>
      <c r="CV12"/>
      <c r="CW12"/>
      <c r="CX12"/>
      <c r="CY12"/>
    </row>
    <row r="13" spans="1:104" ht="20.100000000000001" customHeight="1" x14ac:dyDescent="0.25">
      <c r="B13" s="68"/>
      <c r="C13" s="97"/>
      <c r="D13" s="68"/>
      <c r="E13" s="132"/>
      <c r="F13" s="69"/>
      <c r="G13" s="69"/>
      <c r="H13" s="130"/>
      <c r="I13" s="133"/>
      <c r="J13" s="67"/>
      <c r="K13" s="112"/>
      <c r="L13" s="92"/>
      <c r="M13" s="92"/>
      <c r="N13" s="92"/>
      <c r="O13" s="92"/>
      <c r="P13" s="92"/>
      <c r="Q13" s="92"/>
      <c r="R13" s="84"/>
      <c r="S13" s="92"/>
      <c r="T13" s="92"/>
      <c r="U13" s="107"/>
      <c r="V13" s="33"/>
      <c r="W13" s="104"/>
      <c r="X13" s="94"/>
      <c r="Y13" s="94"/>
      <c r="Z13" s="93"/>
      <c r="AA13" s="8"/>
      <c r="AB13" s="93"/>
      <c r="AC13" s="93"/>
      <c r="AD13" s="93"/>
      <c r="AE13" s="93"/>
      <c r="AF13" s="93"/>
      <c r="AG13" s="93"/>
      <c r="AH13" s="93"/>
      <c r="AI13" s="93"/>
      <c r="AJ13" s="93"/>
      <c r="AK13" s="93"/>
      <c r="AL13" s="93"/>
      <c r="AM13" s="93"/>
      <c r="AN13" s="89"/>
      <c r="AX13"/>
      <c r="AY13"/>
      <c r="AZ13"/>
      <c r="BA13"/>
      <c r="BB13"/>
      <c r="BC13"/>
      <c r="BD13"/>
      <c r="BE13"/>
      <c r="BF13"/>
      <c r="BG13"/>
      <c r="BH13"/>
      <c r="BI13"/>
      <c r="BJ13"/>
      <c r="BK13"/>
      <c r="BL13"/>
      <c r="BM13"/>
      <c r="BN13"/>
      <c r="BO13"/>
      <c r="BP13"/>
      <c r="BQ13"/>
      <c r="BR13"/>
      <c r="BY13"/>
      <c r="BZ13"/>
      <c r="CA13"/>
      <c r="CB13"/>
      <c r="CC13"/>
      <c r="CD13"/>
      <c r="CE13"/>
      <c r="CF13"/>
      <c r="CG13"/>
      <c r="CH13"/>
      <c r="CI13"/>
      <c r="CJ13"/>
      <c r="CK13"/>
      <c r="CL13"/>
      <c r="CM13"/>
      <c r="CN13"/>
      <c r="CO13"/>
      <c r="CP13"/>
      <c r="CQ13"/>
      <c r="CR13"/>
      <c r="CS13"/>
      <c r="CT13"/>
      <c r="CU13"/>
      <c r="CV13"/>
      <c r="CW13"/>
      <c r="CX13"/>
      <c r="CY13"/>
    </row>
    <row r="14" spans="1:104" ht="20.100000000000001" customHeight="1" x14ac:dyDescent="0.25">
      <c r="B14" s="68"/>
      <c r="C14" s="97"/>
      <c r="D14" s="68"/>
      <c r="E14" s="132"/>
      <c r="F14" s="69"/>
      <c r="G14" s="69"/>
      <c r="H14" s="130"/>
      <c r="I14" s="133"/>
      <c r="J14" s="67"/>
      <c r="K14" s="112"/>
      <c r="L14" s="92"/>
      <c r="M14" s="92"/>
      <c r="N14" s="92"/>
      <c r="O14" s="92"/>
      <c r="P14" s="92"/>
      <c r="Q14" s="92"/>
      <c r="R14" s="84"/>
      <c r="S14" s="92"/>
      <c r="T14" s="92"/>
      <c r="U14" s="107"/>
      <c r="V14" s="33"/>
      <c r="W14" s="104"/>
      <c r="X14" s="94"/>
      <c r="Y14" s="94"/>
      <c r="Z14" s="93"/>
      <c r="AA14" s="8"/>
      <c r="AB14" s="93"/>
      <c r="AC14" s="93"/>
      <c r="AD14" s="93"/>
      <c r="AE14" s="93"/>
      <c r="AF14" s="93"/>
      <c r="AG14" s="93"/>
      <c r="AH14" s="93"/>
      <c r="AI14" s="93"/>
      <c r="AJ14" s="93"/>
      <c r="AK14" s="93"/>
      <c r="AL14" s="93"/>
      <c r="AM14" s="93"/>
      <c r="AN14" s="89"/>
      <c r="AX14"/>
      <c r="AY14"/>
      <c r="AZ14"/>
      <c r="BA14"/>
      <c r="BB14"/>
      <c r="BC14"/>
      <c r="BD14"/>
      <c r="BE14"/>
      <c r="BF14"/>
      <c r="BG14"/>
      <c r="BH14"/>
      <c r="BI14"/>
      <c r="BJ14"/>
      <c r="BK14"/>
      <c r="BL14"/>
      <c r="BM14"/>
      <c r="BN14"/>
      <c r="BO14"/>
      <c r="BP14"/>
      <c r="BQ14"/>
      <c r="BR14"/>
      <c r="BY14"/>
      <c r="BZ14"/>
      <c r="CA14"/>
      <c r="CB14"/>
      <c r="CC14"/>
      <c r="CD14"/>
      <c r="CE14"/>
      <c r="CF14"/>
      <c r="CG14"/>
      <c r="CH14"/>
      <c r="CI14"/>
      <c r="CJ14"/>
      <c r="CK14"/>
      <c r="CL14"/>
      <c r="CM14"/>
      <c r="CN14"/>
      <c r="CO14"/>
      <c r="CP14"/>
      <c r="CQ14"/>
      <c r="CR14"/>
      <c r="CS14"/>
      <c r="CT14"/>
      <c r="CU14"/>
      <c r="CV14"/>
      <c r="CW14"/>
      <c r="CX14"/>
      <c r="CY14"/>
    </row>
    <row r="15" spans="1:104" ht="20.100000000000001" customHeight="1" x14ac:dyDescent="0.25">
      <c r="B15" s="68"/>
      <c r="C15" s="97"/>
      <c r="D15" s="68"/>
      <c r="E15" s="132"/>
      <c r="F15" s="69"/>
      <c r="G15" s="69"/>
      <c r="H15" s="130"/>
      <c r="I15" s="133"/>
      <c r="J15" s="67"/>
      <c r="K15" s="112"/>
      <c r="L15" s="92"/>
      <c r="M15" s="92"/>
      <c r="N15" s="92"/>
      <c r="O15" s="92"/>
      <c r="P15" s="92"/>
      <c r="Q15" s="92"/>
      <c r="R15" s="84"/>
      <c r="S15" s="92"/>
      <c r="T15" s="92"/>
      <c r="U15" s="107"/>
      <c r="V15" s="33"/>
      <c r="W15" s="104"/>
      <c r="X15" s="94"/>
      <c r="Y15" s="94"/>
      <c r="Z15" s="93"/>
      <c r="AA15" s="8"/>
      <c r="AB15" s="93"/>
      <c r="AC15" s="93"/>
      <c r="AD15" s="93"/>
      <c r="AE15" s="93"/>
      <c r="AF15" s="93"/>
      <c r="AG15" s="93"/>
      <c r="AH15" s="93"/>
      <c r="AI15" s="93"/>
      <c r="AJ15" s="93"/>
      <c r="AK15" s="93"/>
      <c r="AL15" s="93"/>
      <c r="AM15" s="93"/>
      <c r="AN15" s="89"/>
      <c r="AX15"/>
      <c r="AY15"/>
      <c r="AZ15"/>
      <c r="BA15"/>
      <c r="BB15"/>
      <c r="BC15"/>
      <c r="BD15"/>
      <c r="BE15"/>
      <c r="BF15"/>
      <c r="BG15"/>
      <c r="BH15"/>
      <c r="BI15"/>
      <c r="BJ15"/>
      <c r="BK15"/>
      <c r="BL15"/>
      <c r="BM15"/>
      <c r="BN15"/>
      <c r="BO15"/>
      <c r="BP15"/>
      <c r="BQ15"/>
      <c r="BR15"/>
      <c r="BY15"/>
      <c r="BZ15"/>
      <c r="CA15"/>
      <c r="CB15"/>
      <c r="CC15"/>
      <c r="CD15"/>
      <c r="CE15"/>
      <c r="CF15"/>
      <c r="CG15"/>
      <c r="CH15"/>
      <c r="CI15"/>
      <c r="CJ15"/>
      <c r="CK15"/>
      <c r="CL15"/>
      <c r="CM15"/>
      <c r="CN15"/>
      <c r="CO15"/>
      <c r="CP15"/>
      <c r="CQ15"/>
      <c r="CR15"/>
      <c r="CS15"/>
      <c r="CT15"/>
      <c r="CU15"/>
      <c r="CV15"/>
      <c r="CW15"/>
      <c r="CX15"/>
      <c r="CY15"/>
    </row>
    <row r="16" spans="1:104" ht="20.100000000000001" customHeight="1" x14ac:dyDescent="0.25">
      <c r="B16" s="68"/>
      <c r="C16" s="97"/>
      <c r="D16" s="68"/>
      <c r="E16" s="132"/>
      <c r="F16" s="69"/>
      <c r="G16" s="69"/>
      <c r="H16" s="130"/>
      <c r="I16" s="133"/>
      <c r="J16" s="67"/>
      <c r="K16" s="112"/>
      <c r="L16" s="4"/>
      <c r="M16" s="4"/>
      <c r="N16" s="4"/>
      <c r="O16" s="4"/>
      <c r="P16" s="4"/>
      <c r="Q16" s="4"/>
      <c r="R16" s="84"/>
      <c r="S16" s="4"/>
      <c r="T16" s="4"/>
      <c r="U16" s="107"/>
      <c r="V16" s="33"/>
      <c r="W16" s="104"/>
      <c r="X16" s="94"/>
      <c r="Y16" s="94"/>
      <c r="Z16" s="93"/>
      <c r="AA16" s="8"/>
      <c r="AB16" s="93"/>
      <c r="AC16" s="93"/>
      <c r="AD16" s="93"/>
      <c r="AE16" s="8"/>
      <c r="AF16" s="8"/>
      <c r="AG16" s="8"/>
      <c r="AH16" s="8"/>
      <c r="AI16" s="8"/>
      <c r="AJ16" s="8"/>
      <c r="AK16" s="8"/>
      <c r="AL16" s="8"/>
      <c r="AM16" s="93"/>
      <c r="AN16" s="89"/>
      <c r="AX16"/>
      <c r="AY16"/>
      <c r="AZ16"/>
      <c r="BA16"/>
      <c r="BB16"/>
      <c r="BC16"/>
      <c r="BD16"/>
      <c r="BE16"/>
      <c r="BF16"/>
      <c r="BG16"/>
      <c r="BH16"/>
      <c r="BI16"/>
      <c r="BJ16"/>
      <c r="BK16"/>
      <c r="BL16"/>
      <c r="BM16"/>
      <c r="BN16"/>
      <c r="BO16"/>
      <c r="BP16"/>
      <c r="BQ16"/>
      <c r="BR16"/>
      <c r="BY16"/>
      <c r="BZ16"/>
      <c r="CA16"/>
      <c r="CB16"/>
      <c r="CC16"/>
      <c r="CD16"/>
      <c r="CE16"/>
      <c r="CF16"/>
      <c r="CG16"/>
      <c r="CH16"/>
      <c r="CI16"/>
      <c r="CJ16"/>
      <c r="CK16"/>
      <c r="CL16"/>
      <c r="CM16"/>
      <c r="CN16"/>
      <c r="CO16"/>
      <c r="CP16"/>
      <c r="CQ16"/>
      <c r="CR16"/>
      <c r="CS16"/>
      <c r="CT16"/>
      <c r="CU16"/>
      <c r="CV16"/>
      <c r="CW16"/>
      <c r="CX16"/>
      <c r="CY16"/>
    </row>
    <row r="17" spans="2:103" ht="20.100000000000001" customHeight="1" x14ac:dyDescent="0.25">
      <c r="B17" s="68"/>
      <c r="C17" s="97"/>
      <c r="D17" s="68"/>
      <c r="E17" s="132"/>
      <c r="F17" s="69"/>
      <c r="G17" s="69"/>
      <c r="H17" s="130"/>
      <c r="I17" s="133"/>
      <c r="J17" s="67"/>
      <c r="K17" s="112"/>
      <c r="L17" s="92"/>
      <c r="M17" s="92"/>
      <c r="N17" s="92"/>
      <c r="O17" s="92"/>
      <c r="P17" s="92"/>
      <c r="Q17" s="92"/>
      <c r="R17" s="84"/>
      <c r="S17" s="92"/>
      <c r="T17" s="92"/>
      <c r="U17" s="107"/>
      <c r="V17" s="33"/>
      <c r="W17" s="104"/>
      <c r="X17" s="94"/>
      <c r="Y17" s="94"/>
      <c r="Z17" s="93"/>
      <c r="AA17" s="8"/>
      <c r="AB17" s="93"/>
      <c r="AC17" s="93"/>
      <c r="AD17" s="93"/>
      <c r="AE17" s="93"/>
      <c r="AF17" s="93"/>
      <c r="AG17" s="93"/>
      <c r="AH17" s="93"/>
      <c r="AI17" s="93"/>
      <c r="AJ17" s="93"/>
      <c r="AK17" s="93"/>
      <c r="AL17" s="93"/>
      <c r="AM17" s="93"/>
      <c r="AN17" s="89"/>
      <c r="AX17"/>
      <c r="AY17"/>
      <c r="AZ17"/>
      <c r="BA17"/>
      <c r="BB17"/>
      <c r="BC17"/>
      <c r="BD17"/>
      <c r="BE17"/>
      <c r="BF17"/>
      <c r="BG17"/>
      <c r="BH17"/>
      <c r="BI17"/>
      <c r="BJ17"/>
      <c r="BK17"/>
      <c r="BL17"/>
      <c r="BM17"/>
      <c r="BN17"/>
      <c r="BO17"/>
      <c r="BP17"/>
      <c r="BQ17"/>
      <c r="BR17"/>
      <c r="BY17"/>
      <c r="BZ17"/>
      <c r="CA17"/>
      <c r="CB17"/>
      <c r="CC17"/>
      <c r="CD17"/>
      <c r="CE17"/>
      <c r="CF17"/>
      <c r="CG17"/>
      <c r="CH17"/>
      <c r="CI17"/>
      <c r="CJ17"/>
      <c r="CK17"/>
      <c r="CL17"/>
      <c r="CM17"/>
      <c r="CN17"/>
      <c r="CO17"/>
      <c r="CP17"/>
      <c r="CQ17"/>
      <c r="CR17"/>
      <c r="CS17"/>
      <c r="CT17"/>
      <c r="CU17"/>
      <c r="CV17"/>
      <c r="CW17"/>
      <c r="CX17"/>
      <c r="CY17"/>
    </row>
    <row r="18" spans="2:103" ht="20.100000000000001" customHeight="1" x14ac:dyDescent="0.25">
      <c r="B18" s="68"/>
      <c r="C18" s="97"/>
      <c r="D18" s="68"/>
      <c r="E18" s="132"/>
      <c r="F18" s="69"/>
      <c r="G18" s="69"/>
      <c r="H18" s="130"/>
      <c r="I18" s="133"/>
      <c r="J18" s="67"/>
      <c r="K18" s="112"/>
      <c r="L18" s="92"/>
      <c r="M18" s="92"/>
      <c r="N18" s="92"/>
      <c r="O18" s="92"/>
      <c r="P18" s="92"/>
      <c r="Q18" s="92"/>
      <c r="R18" s="84"/>
      <c r="S18" s="92"/>
      <c r="T18" s="92"/>
      <c r="U18" s="107"/>
      <c r="V18" s="33"/>
      <c r="W18" s="104"/>
      <c r="X18" s="94"/>
      <c r="Y18" s="94"/>
      <c r="Z18" s="93"/>
      <c r="AA18" s="8"/>
      <c r="AB18" s="93"/>
      <c r="AC18" s="93"/>
      <c r="AD18" s="93"/>
      <c r="AE18" s="93"/>
      <c r="AF18" s="93"/>
      <c r="AG18" s="93"/>
      <c r="AH18" s="93"/>
      <c r="AI18" s="93"/>
      <c r="AJ18" s="93"/>
      <c r="AK18" s="93"/>
      <c r="AL18" s="93"/>
      <c r="AM18" s="93"/>
      <c r="AN18" s="89"/>
      <c r="AX18"/>
      <c r="AY18"/>
      <c r="AZ18"/>
      <c r="BA18"/>
      <c r="BB18"/>
      <c r="BC18"/>
      <c r="BD18"/>
      <c r="BE18"/>
      <c r="BF18"/>
      <c r="BG18"/>
      <c r="BH18"/>
      <c r="BI18"/>
      <c r="BJ18"/>
      <c r="BK18"/>
      <c r="BL18"/>
      <c r="BM18"/>
      <c r="BN18"/>
      <c r="BO18"/>
      <c r="BP18"/>
      <c r="BQ18"/>
      <c r="BR18"/>
      <c r="BY18"/>
      <c r="BZ18"/>
      <c r="CA18"/>
      <c r="CB18"/>
      <c r="CC18"/>
      <c r="CD18"/>
      <c r="CE18"/>
      <c r="CF18"/>
      <c r="CG18"/>
      <c r="CH18"/>
      <c r="CI18"/>
      <c r="CJ18"/>
      <c r="CK18"/>
      <c r="CL18"/>
      <c r="CM18"/>
      <c r="CN18"/>
      <c r="CO18"/>
      <c r="CP18"/>
      <c r="CQ18"/>
      <c r="CR18"/>
      <c r="CS18"/>
      <c r="CT18"/>
      <c r="CU18"/>
      <c r="CV18"/>
      <c r="CW18"/>
      <c r="CX18"/>
      <c r="CY18"/>
    </row>
    <row r="19" spans="2:103" ht="20.100000000000001" customHeight="1" x14ac:dyDescent="0.25">
      <c r="B19" s="68"/>
      <c r="C19" s="97"/>
      <c r="D19" s="68"/>
      <c r="E19" s="132"/>
      <c r="F19" s="137"/>
      <c r="G19" s="69"/>
      <c r="H19" s="130"/>
      <c r="I19" s="133"/>
      <c r="J19" s="67"/>
      <c r="K19" s="112"/>
      <c r="L19" s="92"/>
      <c r="M19" s="92"/>
      <c r="N19" s="92"/>
      <c r="O19" s="92"/>
      <c r="P19" s="92"/>
      <c r="Q19" s="92"/>
      <c r="R19" s="84"/>
      <c r="S19" s="92"/>
      <c r="T19" s="92"/>
      <c r="U19" s="107"/>
      <c r="V19" s="33"/>
      <c r="W19" s="104"/>
      <c r="X19" s="94"/>
      <c r="Y19" s="94"/>
      <c r="Z19" s="93"/>
      <c r="AA19" s="8"/>
      <c r="AB19" s="93"/>
      <c r="AC19" s="93"/>
      <c r="AD19" s="93"/>
      <c r="AE19" s="93"/>
      <c r="AF19" s="93"/>
      <c r="AG19" s="93"/>
      <c r="AH19" s="93"/>
      <c r="AI19" s="93"/>
      <c r="AJ19" s="93"/>
      <c r="AK19" s="93"/>
      <c r="AL19" s="93"/>
      <c r="AM19" s="93"/>
      <c r="AN19" s="89"/>
      <c r="AX19"/>
      <c r="AY19"/>
      <c r="AZ19"/>
      <c r="BA19"/>
      <c r="BB19"/>
      <c r="BC19"/>
      <c r="BD19"/>
      <c r="BE19"/>
      <c r="BF19"/>
      <c r="BG19"/>
      <c r="BH19"/>
      <c r="BI19"/>
      <c r="BJ19"/>
      <c r="BK19"/>
      <c r="BL19"/>
      <c r="BM19"/>
      <c r="BN19"/>
      <c r="BO19"/>
      <c r="BP19"/>
      <c r="BQ19"/>
      <c r="BR19"/>
      <c r="BY19"/>
      <c r="BZ19"/>
      <c r="CA19"/>
      <c r="CB19"/>
      <c r="CC19"/>
      <c r="CD19"/>
      <c r="CE19"/>
      <c r="CF19"/>
      <c r="CG19"/>
      <c r="CH19"/>
      <c r="CI19"/>
      <c r="CJ19"/>
      <c r="CK19"/>
      <c r="CL19"/>
      <c r="CM19"/>
      <c r="CN19"/>
      <c r="CO19"/>
      <c r="CP19"/>
      <c r="CQ19"/>
      <c r="CR19"/>
      <c r="CS19"/>
      <c r="CT19"/>
      <c r="CU19"/>
      <c r="CV19"/>
      <c r="CW19"/>
      <c r="CX19"/>
      <c r="CY19"/>
    </row>
    <row r="20" spans="2:103" ht="20.100000000000001" customHeight="1" x14ac:dyDescent="0.25">
      <c r="B20" s="68"/>
      <c r="C20" s="97"/>
      <c r="D20" s="68"/>
      <c r="E20" s="132"/>
      <c r="F20" s="69"/>
      <c r="G20" s="69"/>
      <c r="H20" s="130"/>
      <c r="I20" s="133"/>
      <c r="J20" s="67"/>
      <c r="K20" s="112"/>
      <c r="L20" s="92"/>
      <c r="M20" s="92"/>
      <c r="N20" s="92"/>
      <c r="O20" s="92"/>
      <c r="P20" s="92"/>
      <c r="Q20" s="92"/>
      <c r="R20" s="84"/>
      <c r="S20" s="92"/>
      <c r="T20" s="92"/>
      <c r="U20" s="107"/>
      <c r="V20" s="33"/>
      <c r="W20" s="104"/>
      <c r="X20" s="94"/>
      <c r="Y20" s="94"/>
      <c r="Z20" s="93"/>
      <c r="AA20" s="93"/>
      <c r="AB20" s="93"/>
      <c r="AC20" s="93"/>
      <c r="AD20" s="93"/>
      <c r="AE20" s="93"/>
      <c r="AF20" s="93"/>
      <c r="AG20" s="93"/>
      <c r="AH20" s="93"/>
      <c r="AI20" s="93"/>
      <c r="AJ20" s="93"/>
      <c r="AK20" s="93"/>
      <c r="AL20" s="93"/>
      <c r="AM20" s="93"/>
      <c r="AN20" s="89"/>
      <c r="AX20"/>
      <c r="AY20"/>
      <c r="AZ20"/>
      <c r="BA20"/>
      <c r="BB20"/>
      <c r="BC20"/>
      <c r="BD20"/>
      <c r="BE20"/>
      <c r="BF20"/>
      <c r="BG20"/>
      <c r="BH20"/>
      <c r="BI20"/>
      <c r="BJ20"/>
      <c r="BK20"/>
      <c r="BL20"/>
      <c r="BM20"/>
      <c r="BN20"/>
      <c r="BO20"/>
      <c r="BP20"/>
      <c r="BQ20"/>
      <c r="BR20"/>
      <c r="BY20"/>
      <c r="BZ20"/>
      <c r="CA20"/>
      <c r="CB20"/>
      <c r="CC20"/>
      <c r="CD20"/>
      <c r="CE20"/>
      <c r="CF20"/>
      <c r="CG20"/>
      <c r="CH20"/>
      <c r="CI20"/>
      <c r="CJ20"/>
      <c r="CK20"/>
      <c r="CL20"/>
      <c r="CM20"/>
      <c r="CN20"/>
      <c r="CO20"/>
      <c r="CP20"/>
      <c r="CQ20"/>
      <c r="CR20"/>
      <c r="CS20"/>
      <c r="CT20"/>
      <c r="CU20"/>
      <c r="CV20"/>
      <c r="CW20"/>
      <c r="CX20"/>
      <c r="CY20"/>
    </row>
    <row r="21" spans="2:103" ht="20.100000000000001" customHeight="1" x14ac:dyDescent="0.25">
      <c r="B21" s="68"/>
      <c r="C21" s="97"/>
      <c r="D21" s="68"/>
      <c r="E21" s="132"/>
      <c r="F21" s="69"/>
      <c r="G21" s="69"/>
      <c r="H21" s="130"/>
      <c r="I21" s="133"/>
      <c r="J21" s="67"/>
      <c r="K21" s="112"/>
      <c r="L21" s="92"/>
      <c r="M21" s="92"/>
      <c r="N21" s="92"/>
      <c r="O21" s="92"/>
      <c r="P21" s="92"/>
      <c r="Q21" s="92"/>
      <c r="R21" s="84"/>
      <c r="S21" s="92"/>
      <c r="T21" s="92"/>
      <c r="U21" s="107"/>
      <c r="V21" s="33"/>
      <c r="W21" s="104"/>
      <c r="X21" s="94"/>
      <c r="Y21" s="94"/>
      <c r="Z21" s="93"/>
      <c r="AA21" s="8"/>
      <c r="AB21" s="93"/>
      <c r="AC21" s="93"/>
      <c r="AD21" s="93"/>
      <c r="AE21" s="93"/>
      <c r="AF21" s="93"/>
      <c r="AG21" s="93"/>
      <c r="AH21" s="93"/>
      <c r="AI21" s="93"/>
      <c r="AJ21" s="93"/>
      <c r="AK21" s="93"/>
      <c r="AL21" s="93"/>
      <c r="AM21" s="93"/>
      <c r="AN21" s="89"/>
      <c r="AX21"/>
      <c r="AY21"/>
      <c r="AZ21"/>
      <c r="BA21"/>
      <c r="BB21"/>
      <c r="BC21"/>
      <c r="BD21"/>
      <c r="BE21"/>
      <c r="BF21"/>
      <c r="BG21"/>
      <c r="BH21"/>
      <c r="BI21"/>
      <c r="BJ21"/>
      <c r="BK21"/>
      <c r="BL21"/>
      <c r="BM21"/>
      <c r="BN21"/>
      <c r="BO21"/>
      <c r="BP21"/>
      <c r="BQ21"/>
      <c r="BR21"/>
      <c r="BY21"/>
      <c r="BZ21"/>
      <c r="CA21"/>
      <c r="CB21"/>
      <c r="CC21"/>
      <c r="CD21"/>
      <c r="CE21"/>
      <c r="CF21"/>
      <c r="CG21"/>
      <c r="CH21"/>
      <c r="CI21"/>
      <c r="CJ21"/>
      <c r="CK21"/>
      <c r="CL21"/>
      <c r="CM21"/>
      <c r="CN21"/>
      <c r="CO21"/>
      <c r="CP21"/>
      <c r="CQ21"/>
      <c r="CR21"/>
      <c r="CS21"/>
      <c r="CT21"/>
      <c r="CU21"/>
      <c r="CV21"/>
      <c r="CW21"/>
      <c r="CX21"/>
      <c r="CY21"/>
    </row>
    <row r="22" spans="2:103" ht="20.100000000000001" customHeight="1" x14ac:dyDescent="0.25">
      <c r="B22" s="68"/>
      <c r="C22" s="97"/>
      <c r="D22" s="68"/>
      <c r="E22" s="132"/>
      <c r="F22" s="69"/>
      <c r="G22" s="69"/>
      <c r="H22" s="130"/>
      <c r="I22" s="133"/>
      <c r="J22" s="67"/>
      <c r="K22" s="112"/>
      <c r="L22" s="4"/>
      <c r="M22" s="4"/>
      <c r="N22" s="4"/>
      <c r="O22" s="4"/>
      <c r="P22" s="4"/>
      <c r="Q22" s="4"/>
      <c r="R22" s="84"/>
      <c r="S22" s="4"/>
      <c r="T22" s="4"/>
      <c r="U22" s="107"/>
      <c r="V22" s="33"/>
      <c r="W22" s="104"/>
      <c r="X22" s="94"/>
      <c r="Y22" s="94"/>
      <c r="Z22" s="93"/>
      <c r="AA22" s="8"/>
      <c r="AB22" s="93"/>
      <c r="AC22" s="93"/>
      <c r="AD22" s="93"/>
      <c r="AE22" s="8"/>
      <c r="AF22" s="8"/>
      <c r="AG22" s="8"/>
      <c r="AH22" s="8"/>
      <c r="AI22" s="8"/>
      <c r="AJ22" s="8"/>
      <c r="AK22" s="8"/>
      <c r="AL22" s="8"/>
      <c r="AM22" s="93"/>
      <c r="AN22" s="89"/>
      <c r="AX22"/>
      <c r="AY22"/>
      <c r="AZ22"/>
      <c r="BA22"/>
      <c r="BB22"/>
      <c r="BC22"/>
      <c r="BD22"/>
      <c r="BE22"/>
      <c r="BF22"/>
      <c r="BG22"/>
      <c r="BH22"/>
      <c r="BI22"/>
      <c r="BJ22"/>
      <c r="BK22"/>
      <c r="BL22"/>
      <c r="BM22"/>
      <c r="BN22"/>
      <c r="BO22"/>
      <c r="BP22"/>
      <c r="BQ22"/>
      <c r="BR22"/>
      <c r="BY22"/>
      <c r="BZ22"/>
      <c r="CA22"/>
      <c r="CB22"/>
      <c r="CC22"/>
      <c r="CD22"/>
      <c r="CE22"/>
      <c r="CF22"/>
      <c r="CG22"/>
      <c r="CH22"/>
      <c r="CI22"/>
      <c r="CJ22"/>
      <c r="CK22"/>
      <c r="CL22"/>
      <c r="CM22"/>
      <c r="CN22"/>
      <c r="CO22"/>
      <c r="CP22"/>
      <c r="CQ22"/>
      <c r="CR22"/>
      <c r="CS22"/>
      <c r="CT22"/>
      <c r="CU22"/>
      <c r="CV22"/>
      <c r="CW22"/>
      <c r="CX22"/>
      <c r="CY22"/>
    </row>
    <row r="23" spans="2:103" ht="20.100000000000001" customHeight="1" x14ac:dyDescent="0.25">
      <c r="B23" s="68"/>
      <c r="C23" s="97"/>
      <c r="D23" s="68"/>
      <c r="E23" s="132"/>
      <c r="F23" s="69"/>
      <c r="G23" s="69"/>
      <c r="H23" s="130"/>
      <c r="I23" s="133"/>
      <c r="J23" s="67"/>
      <c r="K23" s="112"/>
      <c r="L23" s="92"/>
      <c r="M23" s="92"/>
      <c r="N23" s="92"/>
      <c r="O23" s="92"/>
      <c r="P23" s="92"/>
      <c r="Q23" s="92"/>
      <c r="R23" s="84"/>
      <c r="S23" s="92"/>
      <c r="T23" s="92"/>
      <c r="U23" s="107"/>
      <c r="V23" s="33"/>
      <c r="W23" s="104"/>
      <c r="X23" s="94"/>
      <c r="Y23" s="94"/>
      <c r="Z23" s="93"/>
      <c r="AA23" s="8"/>
      <c r="AB23" s="93"/>
      <c r="AC23" s="93"/>
      <c r="AD23" s="93"/>
      <c r="AE23" s="93"/>
      <c r="AF23" s="93"/>
      <c r="AG23" s="93"/>
      <c r="AH23" s="93"/>
      <c r="AI23" s="93"/>
      <c r="AJ23" s="93"/>
      <c r="AK23" s="93"/>
      <c r="AL23" s="93"/>
      <c r="AM23" s="93"/>
      <c r="AN23" s="89"/>
      <c r="AX23"/>
      <c r="AY23"/>
      <c r="AZ23"/>
      <c r="BA23"/>
      <c r="BB23"/>
      <c r="BC23"/>
      <c r="BD23"/>
      <c r="BE23"/>
      <c r="BF23"/>
      <c r="BG23"/>
      <c r="BH23"/>
      <c r="BI23"/>
      <c r="BJ23"/>
      <c r="BK23"/>
      <c r="BL23"/>
      <c r="BM23"/>
      <c r="BN23"/>
      <c r="BO23"/>
      <c r="BP23"/>
      <c r="BQ23"/>
      <c r="BR23"/>
      <c r="BY23"/>
      <c r="BZ23"/>
      <c r="CA23"/>
      <c r="CB23"/>
      <c r="CC23"/>
      <c r="CD23"/>
      <c r="CE23"/>
      <c r="CF23"/>
      <c r="CG23"/>
      <c r="CH23"/>
      <c r="CI23"/>
      <c r="CJ23"/>
      <c r="CK23"/>
      <c r="CL23"/>
      <c r="CM23"/>
      <c r="CN23"/>
      <c r="CO23"/>
      <c r="CP23"/>
      <c r="CQ23"/>
      <c r="CR23"/>
      <c r="CS23"/>
      <c r="CT23"/>
      <c r="CU23"/>
      <c r="CV23"/>
      <c r="CW23"/>
      <c r="CX23"/>
      <c r="CY23"/>
    </row>
    <row r="24" spans="2:103" ht="20.100000000000001" customHeight="1" x14ac:dyDescent="0.25">
      <c r="B24" s="68"/>
      <c r="C24" s="97"/>
      <c r="D24" s="68"/>
      <c r="E24" s="132"/>
      <c r="F24" s="69"/>
      <c r="G24" s="69"/>
      <c r="H24" s="130"/>
      <c r="I24" s="133"/>
      <c r="J24" s="67"/>
      <c r="K24" s="112"/>
      <c r="L24" s="92"/>
      <c r="M24" s="92"/>
      <c r="N24" s="92"/>
      <c r="O24" s="92"/>
      <c r="P24" s="92"/>
      <c r="Q24" s="92"/>
      <c r="R24" s="84"/>
      <c r="S24" s="92"/>
      <c r="T24" s="92"/>
      <c r="U24" s="107"/>
      <c r="V24" s="33"/>
      <c r="W24" s="104"/>
      <c r="X24" s="94"/>
      <c r="Y24" s="94"/>
      <c r="Z24" s="93"/>
      <c r="AA24" s="8"/>
      <c r="AB24" s="93"/>
      <c r="AC24" s="93"/>
      <c r="AD24" s="93"/>
      <c r="AE24" s="93"/>
      <c r="AF24" s="93"/>
      <c r="AG24" s="93"/>
      <c r="AH24" s="93"/>
      <c r="AI24" s="93"/>
      <c r="AJ24" s="93"/>
      <c r="AK24" s="93"/>
      <c r="AL24" s="93"/>
      <c r="AM24" s="93"/>
      <c r="AN24" s="89"/>
      <c r="AX24"/>
      <c r="AY24"/>
      <c r="AZ24"/>
      <c r="BA24"/>
      <c r="BB24"/>
      <c r="BC24"/>
      <c r="BD24"/>
      <c r="BE24"/>
      <c r="BF24"/>
      <c r="BG24"/>
      <c r="BH24"/>
      <c r="BI24"/>
      <c r="BJ24"/>
      <c r="BK24"/>
      <c r="BL24"/>
      <c r="BM24"/>
      <c r="BN24"/>
      <c r="BO24"/>
      <c r="BP24"/>
      <c r="BQ24"/>
      <c r="BR24"/>
      <c r="BY24"/>
      <c r="BZ24"/>
      <c r="CA24"/>
      <c r="CB24"/>
      <c r="CC24"/>
      <c r="CD24"/>
      <c r="CE24"/>
      <c r="CF24"/>
      <c r="CG24"/>
      <c r="CH24"/>
      <c r="CI24"/>
      <c r="CJ24"/>
      <c r="CK24"/>
      <c r="CL24"/>
      <c r="CM24"/>
      <c r="CN24"/>
      <c r="CO24"/>
      <c r="CP24"/>
      <c r="CQ24"/>
      <c r="CR24"/>
      <c r="CS24"/>
      <c r="CT24"/>
      <c r="CU24"/>
      <c r="CV24"/>
      <c r="CW24"/>
      <c r="CX24"/>
      <c r="CY24"/>
    </row>
    <row r="25" spans="2:103" ht="20.100000000000001" customHeight="1" x14ac:dyDescent="0.25">
      <c r="B25" s="68"/>
      <c r="C25" s="97"/>
      <c r="D25" s="68"/>
      <c r="E25" s="132"/>
      <c r="F25" s="69"/>
      <c r="G25" s="69"/>
      <c r="H25" s="130"/>
      <c r="I25" s="133"/>
      <c r="J25" s="67"/>
      <c r="K25" s="112"/>
      <c r="L25" s="92"/>
      <c r="M25" s="92"/>
      <c r="N25" s="92"/>
      <c r="O25" s="92"/>
      <c r="P25" s="92"/>
      <c r="Q25" s="92"/>
      <c r="R25" s="84"/>
      <c r="S25" s="92"/>
      <c r="T25" s="92"/>
      <c r="U25" s="107"/>
      <c r="V25" s="33"/>
      <c r="W25" s="104"/>
      <c r="X25" s="94"/>
      <c r="Y25" s="94"/>
      <c r="Z25" s="93"/>
      <c r="AA25" s="93"/>
      <c r="AB25" s="93"/>
      <c r="AC25" s="93"/>
      <c r="AD25" s="93"/>
      <c r="AE25" s="93"/>
      <c r="AF25" s="93"/>
      <c r="AG25" s="93"/>
      <c r="AH25" s="93"/>
      <c r="AI25" s="93"/>
      <c r="AJ25" s="93"/>
      <c r="AK25" s="93"/>
      <c r="AL25" s="93"/>
      <c r="AM25" s="93"/>
      <c r="AN25" s="89"/>
      <c r="AX25"/>
      <c r="AY25"/>
      <c r="AZ25"/>
      <c r="BA25"/>
      <c r="BB25"/>
      <c r="BC25"/>
      <c r="BD25"/>
      <c r="BE25"/>
      <c r="BF25"/>
      <c r="BG25"/>
      <c r="BH25"/>
      <c r="BI25"/>
      <c r="BJ25"/>
      <c r="BK25"/>
      <c r="BL25"/>
      <c r="BM25"/>
      <c r="BN25"/>
      <c r="BO25"/>
      <c r="BP25"/>
      <c r="BQ25"/>
      <c r="BR25"/>
      <c r="BY25"/>
      <c r="BZ25"/>
      <c r="CA25"/>
      <c r="CB25"/>
      <c r="CC25"/>
      <c r="CD25"/>
      <c r="CE25"/>
      <c r="CF25"/>
      <c r="CG25"/>
      <c r="CH25"/>
      <c r="CI25"/>
      <c r="CJ25"/>
      <c r="CK25"/>
      <c r="CL25"/>
      <c r="CM25"/>
      <c r="CN25"/>
      <c r="CO25"/>
      <c r="CP25"/>
      <c r="CQ25"/>
      <c r="CR25"/>
      <c r="CS25"/>
      <c r="CT25"/>
      <c r="CU25"/>
      <c r="CV25"/>
      <c r="CW25"/>
      <c r="CX25"/>
      <c r="CY25"/>
    </row>
    <row r="26" spans="2:103" ht="20.100000000000001" customHeight="1" x14ac:dyDescent="0.25">
      <c r="B26" s="68"/>
      <c r="C26" s="97"/>
      <c r="D26" s="68"/>
      <c r="E26" s="132"/>
      <c r="F26" s="69"/>
      <c r="G26" s="69"/>
      <c r="H26" s="130"/>
      <c r="I26" s="133"/>
      <c r="J26" s="67"/>
      <c r="K26" s="112"/>
      <c r="L26" s="4"/>
      <c r="M26" s="4"/>
      <c r="N26" s="4"/>
      <c r="O26" s="4"/>
      <c r="P26" s="4"/>
      <c r="Q26" s="4"/>
      <c r="R26" s="84"/>
      <c r="S26" s="4"/>
      <c r="T26" s="4"/>
      <c r="U26" s="107"/>
      <c r="V26" s="33"/>
      <c r="W26" s="104"/>
      <c r="X26" s="94"/>
      <c r="Y26" s="94"/>
      <c r="Z26" s="93"/>
      <c r="AA26" s="8"/>
      <c r="AB26" s="93"/>
      <c r="AC26" s="93"/>
      <c r="AD26" s="93"/>
      <c r="AE26" s="8"/>
      <c r="AF26" s="8"/>
      <c r="AG26" s="8"/>
      <c r="AH26" s="8"/>
      <c r="AI26" s="8"/>
      <c r="AJ26" s="8"/>
      <c r="AK26" s="8"/>
      <c r="AL26" s="8"/>
      <c r="AM26" s="93"/>
      <c r="AN26" s="89"/>
      <c r="AX26"/>
      <c r="AY26"/>
      <c r="AZ26"/>
      <c r="BA26"/>
      <c r="BB26"/>
      <c r="BC26"/>
      <c r="BD26"/>
      <c r="BE26"/>
      <c r="BF26"/>
      <c r="BG26"/>
      <c r="BH26"/>
      <c r="BI26"/>
      <c r="BJ26"/>
      <c r="BK26"/>
      <c r="BL26"/>
      <c r="BM26"/>
      <c r="BN26"/>
      <c r="BO26"/>
      <c r="BP26"/>
      <c r="BQ26"/>
      <c r="BR26"/>
      <c r="BY26"/>
      <c r="BZ26"/>
      <c r="CA26"/>
      <c r="CB26"/>
      <c r="CC26"/>
      <c r="CD26"/>
      <c r="CE26"/>
      <c r="CF26"/>
      <c r="CG26"/>
      <c r="CH26"/>
      <c r="CI26"/>
      <c r="CJ26"/>
      <c r="CK26"/>
      <c r="CL26"/>
      <c r="CM26"/>
      <c r="CN26"/>
      <c r="CO26"/>
      <c r="CP26"/>
      <c r="CQ26"/>
      <c r="CR26"/>
      <c r="CS26"/>
      <c r="CT26"/>
      <c r="CU26"/>
      <c r="CV26"/>
      <c r="CW26"/>
      <c r="CX26"/>
      <c r="CY26"/>
    </row>
    <row r="27" spans="2:103" ht="20.100000000000001" customHeight="1" x14ac:dyDescent="0.25">
      <c r="B27" s="68"/>
      <c r="C27" s="97"/>
      <c r="D27" s="68"/>
      <c r="E27" s="132"/>
      <c r="F27" s="69"/>
      <c r="G27" s="69"/>
      <c r="H27" s="130"/>
      <c r="I27" s="133"/>
      <c r="J27" s="67"/>
      <c r="K27" s="112"/>
      <c r="L27" s="92"/>
      <c r="M27" s="92"/>
      <c r="N27" s="92"/>
      <c r="O27" s="92"/>
      <c r="P27" s="92"/>
      <c r="Q27" s="92"/>
      <c r="R27" s="84"/>
      <c r="S27" s="92"/>
      <c r="T27" s="92"/>
      <c r="U27" s="107"/>
      <c r="V27" s="33"/>
      <c r="W27" s="104"/>
      <c r="X27" s="45"/>
      <c r="Y27" s="45"/>
      <c r="Z27" s="93"/>
      <c r="AA27" s="93"/>
      <c r="AB27" s="93"/>
      <c r="AC27" s="93"/>
      <c r="AD27" s="93"/>
      <c r="AE27" s="93"/>
      <c r="AF27" s="93"/>
      <c r="AG27" s="93"/>
      <c r="AH27" s="93"/>
      <c r="AI27" s="93"/>
      <c r="AJ27" s="93"/>
      <c r="AK27" s="93"/>
      <c r="AL27" s="93"/>
      <c r="AM27" s="93"/>
      <c r="AN27" s="89"/>
      <c r="AX27"/>
      <c r="AY27"/>
      <c r="AZ27"/>
      <c r="BA27"/>
      <c r="BB27"/>
      <c r="BC27"/>
      <c r="BD27"/>
      <c r="BE27"/>
      <c r="BF27"/>
      <c r="BG27"/>
      <c r="BH27"/>
      <c r="BI27"/>
      <c r="BJ27"/>
      <c r="BK27"/>
      <c r="BL27"/>
      <c r="BM27"/>
      <c r="BN27"/>
      <c r="BO27"/>
      <c r="BP27"/>
      <c r="BQ27"/>
      <c r="BR27"/>
      <c r="BY27"/>
      <c r="BZ27"/>
      <c r="CA27"/>
      <c r="CB27"/>
      <c r="CC27"/>
      <c r="CD27"/>
      <c r="CE27"/>
      <c r="CF27"/>
      <c r="CG27"/>
      <c r="CH27"/>
      <c r="CI27"/>
      <c r="CJ27"/>
      <c r="CK27"/>
      <c r="CL27"/>
      <c r="CM27"/>
      <c r="CN27"/>
      <c r="CO27"/>
      <c r="CP27"/>
      <c r="CQ27"/>
      <c r="CR27"/>
      <c r="CS27"/>
      <c r="CT27"/>
      <c r="CU27"/>
      <c r="CV27"/>
      <c r="CW27"/>
      <c r="CX27"/>
      <c r="CY27"/>
    </row>
    <row r="28" spans="2:103" ht="20.100000000000001" customHeight="1" x14ac:dyDescent="0.25">
      <c r="B28" s="68"/>
      <c r="C28" s="97"/>
      <c r="D28" s="68"/>
      <c r="E28" s="132"/>
      <c r="F28" s="69"/>
      <c r="G28" s="69"/>
      <c r="H28" s="130"/>
      <c r="I28" s="133"/>
      <c r="J28" s="67"/>
      <c r="K28" s="112"/>
      <c r="L28" s="92"/>
      <c r="M28" s="92"/>
      <c r="N28" s="92"/>
      <c r="O28" s="92"/>
      <c r="P28" s="92"/>
      <c r="Q28" s="92"/>
      <c r="R28" s="84"/>
      <c r="S28" s="92"/>
      <c r="T28" s="92"/>
      <c r="U28" s="107"/>
      <c r="V28" s="33"/>
      <c r="W28" s="104"/>
      <c r="X28" s="45"/>
      <c r="Y28" s="45"/>
      <c r="Z28" s="93"/>
      <c r="AA28" s="93"/>
      <c r="AB28" s="93"/>
      <c r="AC28" s="93"/>
      <c r="AD28" s="93"/>
      <c r="AE28" s="93"/>
      <c r="AF28" s="93"/>
      <c r="AG28" s="93"/>
      <c r="AH28" s="93"/>
      <c r="AI28" s="93"/>
      <c r="AJ28" s="93"/>
      <c r="AK28" s="93"/>
      <c r="AL28" s="93"/>
      <c r="AM28" s="93"/>
      <c r="AN28" s="89"/>
      <c r="AX28"/>
      <c r="AY28"/>
      <c r="AZ28"/>
      <c r="BA28"/>
      <c r="BB28"/>
      <c r="BC28"/>
      <c r="BD28"/>
      <c r="BE28"/>
      <c r="BF28"/>
      <c r="BG28"/>
      <c r="BH28"/>
      <c r="BI28"/>
      <c r="BJ28"/>
      <c r="BK28"/>
      <c r="BL28"/>
      <c r="BM28"/>
      <c r="BN28"/>
      <c r="BO28"/>
      <c r="BP28"/>
      <c r="BQ28"/>
      <c r="BR28"/>
      <c r="BY28"/>
      <c r="BZ28"/>
      <c r="CA28"/>
      <c r="CB28"/>
      <c r="CC28"/>
      <c r="CD28"/>
      <c r="CE28"/>
      <c r="CF28"/>
      <c r="CG28"/>
      <c r="CH28"/>
      <c r="CI28"/>
      <c r="CJ28"/>
      <c r="CK28"/>
      <c r="CL28"/>
      <c r="CM28"/>
      <c r="CN28"/>
      <c r="CO28"/>
      <c r="CP28"/>
      <c r="CQ28"/>
      <c r="CR28"/>
      <c r="CS28"/>
      <c r="CT28"/>
      <c r="CU28"/>
      <c r="CV28"/>
      <c r="CW28"/>
      <c r="CX28"/>
      <c r="CY28"/>
    </row>
    <row r="29" spans="2:103" ht="20.100000000000001" customHeight="1" x14ac:dyDescent="0.25">
      <c r="B29" s="68"/>
      <c r="C29" s="97"/>
      <c r="D29" s="68"/>
      <c r="E29" s="132"/>
      <c r="F29" s="69"/>
      <c r="G29" s="69"/>
      <c r="H29" s="130"/>
      <c r="I29" s="133"/>
      <c r="J29" s="67"/>
      <c r="K29" s="112"/>
      <c r="L29" s="92"/>
      <c r="M29" s="92"/>
      <c r="N29" s="92"/>
      <c r="O29" s="92"/>
      <c r="P29" s="92"/>
      <c r="Q29" s="92"/>
      <c r="R29" s="84"/>
      <c r="S29" s="92"/>
      <c r="T29" s="92"/>
      <c r="U29" s="107"/>
      <c r="V29" s="33"/>
      <c r="W29" s="104"/>
      <c r="X29" s="45"/>
      <c r="Y29" s="45"/>
      <c r="Z29" s="93"/>
      <c r="AA29" s="8"/>
      <c r="AB29" s="93"/>
      <c r="AC29" s="93"/>
      <c r="AD29" s="93"/>
      <c r="AE29" s="93"/>
      <c r="AF29" s="93"/>
      <c r="AG29" s="93"/>
      <c r="AH29" s="93"/>
      <c r="AI29" s="93"/>
      <c r="AJ29" s="93"/>
      <c r="AK29" s="93"/>
      <c r="AL29" s="93"/>
      <c r="AM29" s="93"/>
      <c r="AN29" s="89"/>
      <c r="AX29"/>
      <c r="AY29"/>
      <c r="AZ29"/>
      <c r="BA29"/>
      <c r="BB29"/>
      <c r="BC29"/>
      <c r="BD29"/>
      <c r="BE29"/>
      <c r="BF29"/>
      <c r="BG29"/>
      <c r="BH29"/>
      <c r="BI29"/>
      <c r="BJ29"/>
      <c r="BK29"/>
      <c r="BL29"/>
      <c r="BM29"/>
      <c r="BN29"/>
      <c r="BO29"/>
      <c r="BP29"/>
      <c r="BQ29"/>
      <c r="BR29"/>
      <c r="BY29"/>
      <c r="BZ29"/>
      <c r="CA29"/>
      <c r="CB29"/>
      <c r="CC29"/>
      <c r="CD29"/>
      <c r="CE29"/>
      <c r="CF29"/>
      <c r="CG29"/>
      <c r="CH29"/>
      <c r="CI29"/>
      <c r="CJ29"/>
      <c r="CK29"/>
      <c r="CL29"/>
      <c r="CM29"/>
      <c r="CN29"/>
      <c r="CO29"/>
      <c r="CP29"/>
      <c r="CQ29"/>
      <c r="CR29"/>
      <c r="CS29"/>
      <c r="CT29"/>
      <c r="CU29"/>
      <c r="CV29"/>
      <c r="CW29"/>
      <c r="CX29"/>
      <c r="CY29"/>
    </row>
    <row r="30" spans="2:103" ht="20.100000000000001" customHeight="1" x14ac:dyDescent="0.25">
      <c r="B30" s="68"/>
      <c r="C30" s="97"/>
      <c r="D30" s="68"/>
      <c r="E30" s="132"/>
      <c r="F30" s="69"/>
      <c r="G30" s="69"/>
      <c r="H30" s="130"/>
      <c r="I30" s="133"/>
      <c r="J30" s="67"/>
      <c r="K30" s="112"/>
      <c r="L30" s="92"/>
      <c r="M30" s="92"/>
      <c r="N30" s="92"/>
      <c r="O30" s="92"/>
      <c r="P30" s="92"/>
      <c r="Q30" s="92"/>
      <c r="R30" s="84"/>
      <c r="S30" s="92"/>
      <c r="T30" s="92"/>
      <c r="U30" s="107"/>
      <c r="V30" s="33"/>
      <c r="W30" s="104"/>
      <c r="X30" s="45"/>
      <c r="Y30" s="45"/>
      <c r="Z30" s="93"/>
      <c r="AA30" s="8"/>
      <c r="AB30" s="93"/>
      <c r="AC30" s="93"/>
      <c r="AD30" s="93"/>
      <c r="AE30" s="93"/>
      <c r="AF30" s="93"/>
      <c r="AG30" s="93"/>
      <c r="AH30" s="93"/>
      <c r="AI30" s="93"/>
      <c r="AJ30" s="93"/>
      <c r="AK30" s="93"/>
      <c r="AL30" s="93"/>
      <c r="AM30" s="93"/>
      <c r="AN30" s="89"/>
      <c r="AX30"/>
      <c r="AY30"/>
      <c r="AZ30"/>
      <c r="BA30"/>
      <c r="BB30"/>
      <c r="BC30"/>
      <c r="BD30"/>
      <c r="BE30"/>
      <c r="BF30"/>
      <c r="BG30"/>
      <c r="BH30"/>
      <c r="BI30"/>
      <c r="BJ30"/>
      <c r="BK30"/>
      <c r="BL30"/>
      <c r="BM30"/>
      <c r="BN30"/>
      <c r="BO30"/>
      <c r="BP30"/>
      <c r="BQ30"/>
      <c r="BR30"/>
      <c r="BY30"/>
      <c r="BZ30"/>
      <c r="CA30"/>
      <c r="CB30"/>
      <c r="CC30"/>
      <c r="CD30"/>
      <c r="CE30"/>
      <c r="CF30"/>
      <c r="CG30"/>
      <c r="CH30"/>
      <c r="CI30"/>
      <c r="CJ30"/>
      <c r="CK30"/>
      <c r="CL30"/>
      <c r="CM30"/>
      <c r="CN30"/>
      <c r="CO30"/>
      <c r="CP30"/>
      <c r="CQ30"/>
      <c r="CR30"/>
      <c r="CS30"/>
      <c r="CT30"/>
      <c r="CU30"/>
      <c r="CV30"/>
      <c r="CW30"/>
      <c r="CX30"/>
      <c r="CY30"/>
    </row>
    <row r="31" spans="2:103" ht="20.100000000000001" customHeight="1" x14ac:dyDescent="0.25">
      <c r="B31" s="68"/>
      <c r="C31" s="97"/>
      <c r="D31" s="68"/>
      <c r="E31" s="132"/>
      <c r="F31" s="69"/>
      <c r="G31" s="69"/>
      <c r="H31" s="130"/>
      <c r="I31" s="133"/>
      <c r="J31" s="67"/>
      <c r="K31" s="112"/>
      <c r="L31" s="92"/>
      <c r="M31" s="92"/>
      <c r="N31" s="92"/>
      <c r="O31" s="92"/>
      <c r="P31" s="92"/>
      <c r="Q31" s="92"/>
      <c r="R31" s="84"/>
      <c r="S31" s="92"/>
      <c r="T31" s="92"/>
      <c r="U31" s="107"/>
      <c r="V31" s="33"/>
      <c r="W31" s="104"/>
      <c r="X31" s="45"/>
      <c r="Y31" s="45"/>
      <c r="Z31" s="93"/>
      <c r="AA31" s="8"/>
      <c r="AB31" s="93"/>
      <c r="AC31" s="93"/>
      <c r="AD31" s="93"/>
      <c r="AE31" s="93"/>
      <c r="AF31" s="93"/>
      <c r="AG31" s="93"/>
      <c r="AH31" s="93"/>
      <c r="AI31" s="93"/>
      <c r="AJ31" s="93"/>
      <c r="AK31" s="93"/>
      <c r="AL31" s="93"/>
      <c r="AM31" s="93"/>
      <c r="AN31" s="89"/>
      <c r="AX31"/>
      <c r="AY31"/>
      <c r="AZ31"/>
      <c r="BA31"/>
      <c r="BB31"/>
      <c r="BC31"/>
      <c r="BD31"/>
      <c r="BE31"/>
      <c r="BF31"/>
      <c r="BG31"/>
      <c r="BH31"/>
      <c r="BI31"/>
      <c r="BJ31"/>
      <c r="BK31"/>
      <c r="BL31"/>
      <c r="BM31"/>
      <c r="BN31"/>
      <c r="BO31"/>
      <c r="BP31"/>
      <c r="BQ31"/>
      <c r="BR31"/>
      <c r="BY31"/>
      <c r="BZ31"/>
      <c r="CA31"/>
      <c r="CB31"/>
      <c r="CC31"/>
      <c r="CD31"/>
      <c r="CE31"/>
      <c r="CF31"/>
      <c r="CG31"/>
      <c r="CH31"/>
      <c r="CI31"/>
      <c r="CJ31"/>
      <c r="CK31"/>
      <c r="CL31"/>
      <c r="CM31"/>
      <c r="CN31"/>
      <c r="CO31"/>
      <c r="CP31"/>
      <c r="CQ31"/>
      <c r="CR31"/>
      <c r="CS31"/>
      <c r="CT31"/>
      <c r="CU31"/>
      <c r="CV31"/>
      <c r="CW31"/>
      <c r="CX31"/>
      <c r="CY31"/>
    </row>
    <row r="32" spans="2:103" ht="20.100000000000001" customHeight="1" x14ac:dyDescent="0.25">
      <c r="B32" s="68"/>
      <c r="C32" s="97"/>
      <c r="D32" s="68"/>
      <c r="E32" s="132"/>
      <c r="F32" s="69"/>
      <c r="G32" s="69"/>
      <c r="H32" s="130"/>
      <c r="I32" s="133"/>
      <c r="J32" s="67"/>
      <c r="K32" s="112"/>
      <c r="L32" s="4"/>
      <c r="M32" s="4"/>
      <c r="N32" s="4"/>
      <c r="O32" s="4"/>
      <c r="P32" s="4"/>
      <c r="Q32" s="4"/>
      <c r="R32" s="84"/>
      <c r="S32" s="4"/>
      <c r="T32" s="4"/>
      <c r="U32" s="107"/>
      <c r="V32" s="33"/>
      <c r="W32" s="104"/>
      <c r="X32" s="94"/>
      <c r="Y32" s="94"/>
      <c r="Z32" s="93"/>
      <c r="AA32" s="8"/>
      <c r="AB32" s="93"/>
      <c r="AC32" s="93"/>
      <c r="AD32" s="93"/>
      <c r="AE32" s="8"/>
      <c r="AF32" s="8"/>
      <c r="AG32" s="8"/>
      <c r="AH32" s="8"/>
      <c r="AI32" s="8"/>
      <c r="AJ32" s="8"/>
      <c r="AK32" s="8"/>
      <c r="AL32" s="8"/>
      <c r="AM32" s="93"/>
      <c r="AN32" s="89"/>
      <c r="AX32"/>
      <c r="AY32"/>
      <c r="AZ32"/>
      <c r="BA32"/>
      <c r="BB32"/>
      <c r="BC32"/>
      <c r="BD32"/>
      <c r="BE32"/>
      <c r="BF32"/>
      <c r="BG32"/>
      <c r="BH32"/>
      <c r="BI32"/>
      <c r="BJ32"/>
      <c r="BK32"/>
      <c r="BL32"/>
      <c r="BM32"/>
      <c r="BN32"/>
      <c r="BO32"/>
      <c r="BP32"/>
      <c r="BQ32"/>
      <c r="BR32"/>
      <c r="BY32"/>
      <c r="BZ32"/>
      <c r="CA32"/>
      <c r="CB32"/>
      <c r="CC32"/>
      <c r="CD32"/>
      <c r="CE32"/>
      <c r="CF32"/>
      <c r="CG32"/>
      <c r="CH32"/>
      <c r="CI32"/>
      <c r="CJ32"/>
      <c r="CK32"/>
      <c r="CL32"/>
      <c r="CM32"/>
      <c r="CN32"/>
      <c r="CO32"/>
      <c r="CP32"/>
      <c r="CQ32"/>
      <c r="CR32"/>
      <c r="CS32"/>
      <c r="CT32"/>
      <c r="CU32"/>
      <c r="CV32"/>
      <c r="CW32"/>
      <c r="CX32"/>
      <c r="CY32"/>
    </row>
    <row r="33" spans="2:103" s="146" customFormat="1" ht="15" x14ac:dyDescent="0.25">
      <c r="B33" s="139"/>
      <c r="C33" s="139"/>
      <c r="D33" s="139"/>
      <c r="E33" s="140"/>
      <c r="F33" s="141"/>
      <c r="G33" s="141"/>
      <c r="H33" s="131"/>
      <c r="I33" s="142"/>
      <c r="J33" s="143"/>
      <c r="K33" s="112"/>
      <c r="L33" s="92"/>
      <c r="M33" s="92"/>
      <c r="N33" s="92"/>
      <c r="O33" s="92"/>
      <c r="P33" s="92"/>
      <c r="Q33" s="92"/>
      <c r="R33" s="103"/>
      <c r="S33" s="92"/>
      <c r="T33" s="92"/>
      <c r="U33" s="107"/>
      <c r="V33" s="95"/>
      <c r="W33" s="104"/>
      <c r="X33" s="144"/>
      <c r="Y33" s="144"/>
      <c r="Z33" s="93"/>
      <c r="AA33" s="93"/>
      <c r="AB33" s="93"/>
      <c r="AC33" s="93"/>
      <c r="AD33" s="93"/>
      <c r="AE33" s="93"/>
      <c r="AF33" s="93"/>
      <c r="AG33" s="93"/>
      <c r="AH33" s="93"/>
      <c r="AI33" s="93"/>
      <c r="AJ33" s="93"/>
      <c r="AK33" s="93"/>
      <c r="AL33" s="93"/>
      <c r="AM33" s="93"/>
      <c r="AN33" s="145"/>
      <c r="AW33" s="147"/>
      <c r="AX33"/>
      <c r="AY33"/>
      <c r="AZ33"/>
      <c r="BA33"/>
      <c r="BB33"/>
      <c r="BC33"/>
      <c r="BD33"/>
      <c r="BE33"/>
      <c r="BF33"/>
      <c r="BG33"/>
      <c r="BH33"/>
      <c r="BI33"/>
      <c r="BJ33"/>
      <c r="BK33"/>
      <c r="BL33"/>
      <c r="BM33"/>
      <c r="BN33"/>
      <c r="BO33"/>
      <c r="BP33"/>
      <c r="BQ33"/>
      <c r="BR33"/>
      <c r="BS33"/>
      <c r="BY33"/>
      <c r="BZ33"/>
      <c r="CA33"/>
      <c r="CB33"/>
      <c r="CC33"/>
      <c r="CD33"/>
      <c r="CE33"/>
      <c r="CF33"/>
      <c r="CG33"/>
      <c r="CH33"/>
      <c r="CI33"/>
      <c r="CJ33"/>
      <c r="CK33"/>
      <c r="CL33"/>
      <c r="CM33"/>
      <c r="CN33"/>
      <c r="CO33"/>
      <c r="CP33"/>
      <c r="CQ33"/>
      <c r="CR33"/>
      <c r="CS33"/>
      <c r="CT33"/>
      <c r="CU33"/>
      <c r="CV33"/>
      <c r="CW33"/>
      <c r="CX33"/>
      <c r="CY33"/>
    </row>
    <row r="34" spans="2:103" ht="20.100000000000001" customHeight="1" x14ac:dyDescent="0.25">
      <c r="B34" s="68"/>
      <c r="C34" s="97"/>
      <c r="D34" s="68"/>
      <c r="E34" s="132"/>
      <c r="F34" s="69"/>
      <c r="G34" s="69"/>
      <c r="H34" s="130"/>
      <c r="I34" s="133"/>
      <c r="J34" s="67"/>
      <c r="K34" s="112"/>
      <c r="L34" s="4"/>
      <c r="M34" s="4"/>
      <c r="N34" s="4"/>
      <c r="O34" s="4"/>
      <c r="P34" s="4"/>
      <c r="Q34" s="4"/>
      <c r="R34" s="84"/>
      <c r="S34" s="4"/>
      <c r="T34" s="4"/>
      <c r="U34" s="107"/>
      <c r="V34" s="33"/>
      <c r="W34" s="104"/>
      <c r="X34" s="94"/>
      <c r="Y34" s="94"/>
      <c r="Z34" s="93"/>
      <c r="AA34" s="8"/>
      <c r="AB34" s="93"/>
      <c r="AC34" s="93"/>
      <c r="AD34" s="93"/>
      <c r="AE34" s="8"/>
      <c r="AF34" s="8"/>
      <c r="AG34" s="8"/>
      <c r="AH34" s="8"/>
      <c r="AI34" s="8"/>
      <c r="AJ34" s="8"/>
      <c r="AK34" s="8"/>
      <c r="AL34" s="8"/>
      <c r="AM34" s="93"/>
      <c r="AN34" s="89"/>
      <c r="AX34"/>
      <c r="AY34"/>
      <c r="AZ34"/>
      <c r="BA34"/>
      <c r="BB34"/>
      <c r="BC34"/>
      <c r="BD34"/>
      <c r="BE34"/>
      <c r="BF34"/>
      <c r="BG34"/>
      <c r="BH34"/>
      <c r="BI34"/>
      <c r="BJ34"/>
      <c r="BK34"/>
      <c r="BL34"/>
      <c r="BM34"/>
      <c r="BN34"/>
      <c r="BO34"/>
      <c r="BP34"/>
      <c r="BQ34"/>
      <c r="BR34"/>
      <c r="BY34"/>
      <c r="BZ34"/>
      <c r="CA34"/>
      <c r="CB34"/>
      <c r="CC34"/>
      <c r="CD34"/>
      <c r="CE34"/>
      <c r="CF34"/>
      <c r="CG34"/>
      <c r="CH34"/>
      <c r="CI34"/>
      <c r="CJ34"/>
      <c r="CK34"/>
      <c r="CL34"/>
      <c r="CM34"/>
      <c r="CN34"/>
      <c r="CO34"/>
      <c r="CP34"/>
      <c r="CQ34"/>
      <c r="CR34"/>
      <c r="CS34"/>
      <c r="CT34"/>
      <c r="CU34"/>
      <c r="CV34"/>
      <c r="CW34"/>
      <c r="CX34"/>
      <c r="CY34"/>
    </row>
    <row r="35" spans="2:103" ht="20.100000000000001" customHeight="1" x14ac:dyDescent="0.25">
      <c r="B35" s="68"/>
      <c r="C35" s="97"/>
      <c r="D35" s="68"/>
      <c r="E35" s="132"/>
      <c r="F35" s="69"/>
      <c r="G35" s="69"/>
      <c r="H35" s="130"/>
      <c r="I35" s="133"/>
      <c r="J35" s="67"/>
      <c r="K35" s="112"/>
      <c r="L35" s="92"/>
      <c r="M35" s="92"/>
      <c r="N35" s="92"/>
      <c r="O35" s="92"/>
      <c r="P35" s="92"/>
      <c r="Q35" s="92"/>
      <c r="R35" s="84"/>
      <c r="S35" s="92"/>
      <c r="T35" s="92"/>
      <c r="U35" s="107"/>
      <c r="V35" s="33"/>
      <c r="W35" s="104"/>
      <c r="X35" s="45"/>
      <c r="Y35" s="45"/>
      <c r="Z35" s="93"/>
      <c r="AA35" s="93"/>
      <c r="AB35" s="93"/>
      <c r="AC35" s="93"/>
      <c r="AD35" s="93"/>
      <c r="AE35" s="93"/>
      <c r="AF35" s="93"/>
      <c r="AG35" s="93"/>
      <c r="AH35" s="93"/>
      <c r="AI35" s="93"/>
      <c r="AJ35" s="93"/>
      <c r="AK35" s="93"/>
      <c r="AL35" s="93"/>
      <c r="AM35" s="93"/>
      <c r="AN35" s="89"/>
      <c r="AX35"/>
      <c r="AY35"/>
      <c r="AZ35"/>
      <c r="BA35"/>
      <c r="BB35"/>
      <c r="BC35"/>
      <c r="BD35"/>
      <c r="BE35"/>
      <c r="BF35"/>
      <c r="BG35"/>
      <c r="BH35"/>
      <c r="BI35"/>
      <c r="BJ35"/>
      <c r="BK35"/>
      <c r="BL35"/>
      <c r="BM35"/>
      <c r="BN35"/>
      <c r="BO35"/>
      <c r="BP35"/>
      <c r="BQ35"/>
      <c r="BR35"/>
      <c r="BY35"/>
      <c r="BZ35"/>
      <c r="CA35"/>
      <c r="CB35"/>
      <c r="CC35"/>
      <c r="CD35"/>
      <c r="CE35"/>
      <c r="CF35"/>
      <c r="CG35"/>
      <c r="CH35"/>
      <c r="CI35"/>
      <c r="CJ35"/>
      <c r="CK35"/>
      <c r="CL35"/>
      <c r="CM35"/>
      <c r="CN35"/>
      <c r="CO35"/>
      <c r="CP35"/>
      <c r="CQ35"/>
      <c r="CR35"/>
      <c r="CS35"/>
      <c r="CT35"/>
      <c r="CU35"/>
      <c r="CV35"/>
      <c r="CW35"/>
      <c r="CX35"/>
      <c r="CY35"/>
    </row>
    <row r="36" spans="2:103" ht="20.100000000000001" customHeight="1" x14ac:dyDescent="0.25">
      <c r="B36" s="68"/>
      <c r="C36" s="97"/>
      <c r="D36" s="68"/>
      <c r="E36" s="132"/>
      <c r="F36" s="69"/>
      <c r="G36" s="69"/>
      <c r="H36" s="130"/>
      <c r="I36" s="133"/>
      <c r="J36" s="67"/>
      <c r="K36" s="112"/>
      <c r="L36" s="92"/>
      <c r="M36" s="92"/>
      <c r="N36" s="92"/>
      <c r="O36" s="92"/>
      <c r="P36" s="92"/>
      <c r="Q36" s="92"/>
      <c r="R36" s="84"/>
      <c r="S36" s="92"/>
      <c r="T36" s="92"/>
      <c r="U36" s="107"/>
      <c r="V36" s="33"/>
      <c r="W36" s="104"/>
      <c r="X36" s="45"/>
      <c r="Y36" s="45"/>
      <c r="Z36" s="93"/>
      <c r="AA36" s="8"/>
      <c r="AB36" s="93"/>
      <c r="AC36" s="93"/>
      <c r="AD36" s="93"/>
      <c r="AE36" s="93"/>
      <c r="AF36" s="93"/>
      <c r="AG36" s="93"/>
      <c r="AH36" s="93"/>
      <c r="AI36" s="93"/>
      <c r="AJ36" s="93"/>
      <c r="AK36" s="93"/>
      <c r="AL36" s="93"/>
      <c r="AM36" s="93"/>
      <c r="AN36" s="89"/>
      <c r="AX36"/>
      <c r="AY36"/>
      <c r="AZ36"/>
      <c r="BA36"/>
      <c r="BB36"/>
      <c r="BC36"/>
      <c r="BD36"/>
      <c r="BE36"/>
      <c r="BF36"/>
      <c r="BG36"/>
      <c r="BH36"/>
      <c r="BI36"/>
      <c r="BJ36"/>
      <c r="BK36"/>
      <c r="BL36"/>
      <c r="BM36"/>
      <c r="BN36"/>
      <c r="BO36"/>
      <c r="BP36"/>
      <c r="BQ36"/>
      <c r="BR36"/>
      <c r="BY36"/>
      <c r="BZ36"/>
      <c r="CA36"/>
      <c r="CB36"/>
      <c r="CC36"/>
      <c r="CD36"/>
      <c r="CE36"/>
      <c r="CF36"/>
      <c r="CG36"/>
      <c r="CH36"/>
      <c r="CI36"/>
      <c r="CJ36"/>
      <c r="CK36"/>
      <c r="CL36"/>
      <c r="CM36"/>
      <c r="CN36"/>
      <c r="CO36"/>
      <c r="CP36"/>
      <c r="CQ36"/>
      <c r="CR36"/>
      <c r="CS36"/>
      <c r="CT36"/>
      <c r="CU36"/>
      <c r="CV36"/>
      <c r="CW36"/>
      <c r="CX36"/>
      <c r="CY36"/>
    </row>
    <row r="37" spans="2:103" ht="20.100000000000001" customHeight="1" x14ac:dyDescent="0.25">
      <c r="B37" s="68"/>
      <c r="C37" s="97"/>
      <c r="D37" s="68"/>
      <c r="E37" s="132"/>
      <c r="F37" s="69"/>
      <c r="G37" s="69"/>
      <c r="H37" s="130"/>
      <c r="I37" s="133"/>
      <c r="J37" s="67"/>
      <c r="K37" s="112"/>
      <c r="L37" s="92"/>
      <c r="M37" s="92"/>
      <c r="N37" s="92"/>
      <c r="O37" s="92"/>
      <c r="P37" s="92"/>
      <c r="Q37" s="92"/>
      <c r="R37" s="84"/>
      <c r="S37" s="92"/>
      <c r="T37" s="92"/>
      <c r="U37" s="107"/>
      <c r="V37" s="33"/>
      <c r="W37" s="104"/>
      <c r="X37" s="45"/>
      <c r="Y37" s="45"/>
      <c r="Z37" s="93"/>
      <c r="AA37" s="8"/>
      <c r="AB37" s="93"/>
      <c r="AC37" s="93"/>
      <c r="AD37" s="93"/>
      <c r="AE37" s="93"/>
      <c r="AF37" s="93"/>
      <c r="AG37" s="93"/>
      <c r="AH37" s="93"/>
      <c r="AI37" s="93"/>
      <c r="AJ37" s="93"/>
      <c r="AK37" s="93"/>
      <c r="AL37" s="93"/>
      <c r="AM37" s="93"/>
      <c r="AN37" s="89"/>
      <c r="AX37"/>
      <c r="AY37"/>
      <c r="AZ37"/>
      <c r="BA37"/>
      <c r="BB37"/>
      <c r="BC37"/>
      <c r="BD37"/>
      <c r="BE37"/>
      <c r="BF37"/>
      <c r="BG37"/>
      <c r="BH37"/>
      <c r="BI37"/>
      <c r="BJ37"/>
      <c r="BK37"/>
      <c r="BL37"/>
      <c r="BM37"/>
      <c r="BN37"/>
      <c r="BO37"/>
      <c r="BP37"/>
      <c r="BQ37"/>
      <c r="BR37"/>
      <c r="BY37"/>
      <c r="BZ37"/>
      <c r="CA37"/>
      <c r="CB37"/>
      <c r="CC37"/>
      <c r="CD37"/>
      <c r="CE37"/>
      <c r="CF37"/>
      <c r="CG37"/>
      <c r="CH37"/>
      <c r="CI37"/>
      <c r="CJ37"/>
      <c r="CK37"/>
      <c r="CL37"/>
      <c r="CM37"/>
      <c r="CN37"/>
      <c r="CO37"/>
      <c r="CP37"/>
      <c r="CQ37"/>
      <c r="CR37"/>
      <c r="CS37"/>
      <c r="CT37"/>
      <c r="CU37"/>
      <c r="CV37"/>
      <c r="CW37"/>
      <c r="CX37"/>
      <c r="CY37"/>
    </row>
    <row r="38" spans="2:103" ht="20.100000000000001" customHeight="1" x14ac:dyDescent="0.25">
      <c r="B38" s="68"/>
      <c r="C38" s="97"/>
      <c r="D38" s="68"/>
      <c r="E38" s="132"/>
      <c r="F38" s="69"/>
      <c r="G38" s="69"/>
      <c r="H38" s="130"/>
      <c r="I38" s="133"/>
      <c r="J38" s="67"/>
      <c r="K38" s="112"/>
      <c r="L38" s="92"/>
      <c r="M38" s="92"/>
      <c r="N38" s="92"/>
      <c r="O38" s="92"/>
      <c r="P38" s="92"/>
      <c r="Q38" s="92"/>
      <c r="R38" s="84"/>
      <c r="S38" s="92"/>
      <c r="T38" s="92"/>
      <c r="U38" s="107"/>
      <c r="V38" s="33"/>
      <c r="W38" s="104"/>
      <c r="X38" s="45"/>
      <c r="Y38" s="45"/>
      <c r="Z38" s="93"/>
      <c r="AA38" s="8"/>
      <c r="AB38" s="93"/>
      <c r="AC38" s="93"/>
      <c r="AD38" s="93"/>
      <c r="AE38" s="93"/>
      <c r="AF38" s="93"/>
      <c r="AG38" s="93"/>
      <c r="AH38" s="93"/>
      <c r="AI38" s="93"/>
      <c r="AJ38" s="93"/>
      <c r="AK38" s="93"/>
      <c r="AL38" s="93"/>
      <c r="AM38" s="93"/>
      <c r="AN38" s="89"/>
      <c r="AX38"/>
      <c r="AY38"/>
      <c r="AZ38"/>
      <c r="BA38"/>
      <c r="BB38"/>
      <c r="BC38"/>
      <c r="BD38"/>
      <c r="BE38"/>
      <c r="BF38"/>
      <c r="BG38"/>
      <c r="BH38"/>
      <c r="BI38"/>
      <c r="BJ38"/>
      <c r="BK38"/>
      <c r="BL38"/>
      <c r="BM38"/>
      <c r="BN38"/>
      <c r="BO38"/>
      <c r="BP38"/>
      <c r="BQ38"/>
      <c r="BR38"/>
      <c r="BY38"/>
      <c r="BZ38"/>
      <c r="CA38"/>
      <c r="CB38"/>
      <c r="CC38"/>
      <c r="CD38"/>
      <c r="CE38"/>
      <c r="CF38"/>
      <c r="CG38"/>
      <c r="CH38"/>
      <c r="CI38"/>
      <c r="CJ38"/>
      <c r="CK38"/>
      <c r="CL38"/>
      <c r="CM38"/>
      <c r="CN38"/>
      <c r="CO38"/>
      <c r="CP38"/>
      <c r="CQ38"/>
      <c r="CR38"/>
      <c r="CS38"/>
      <c r="CT38"/>
      <c r="CU38"/>
      <c r="CV38"/>
      <c r="CW38"/>
      <c r="CX38"/>
      <c r="CY38"/>
    </row>
    <row r="39" spans="2:103" ht="20.100000000000001" customHeight="1" x14ac:dyDescent="0.25">
      <c r="B39" s="68"/>
      <c r="C39" s="97"/>
      <c r="D39" s="68"/>
      <c r="E39" s="132"/>
      <c r="F39" s="69"/>
      <c r="G39" s="69"/>
      <c r="H39" s="130"/>
      <c r="I39" s="133"/>
      <c r="J39" s="67"/>
      <c r="K39" s="112"/>
      <c r="L39" s="92"/>
      <c r="M39" s="92"/>
      <c r="N39" s="92"/>
      <c r="O39" s="92"/>
      <c r="P39" s="92"/>
      <c r="Q39" s="92"/>
      <c r="R39" s="84"/>
      <c r="S39" s="92"/>
      <c r="T39" s="92"/>
      <c r="U39" s="107"/>
      <c r="V39" s="53"/>
      <c r="W39" s="104"/>
      <c r="X39" s="45"/>
      <c r="Y39" s="45"/>
      <c r="Z39" s="93"/>
      <c r="AA39" s="8"/>
      <c r="AB39" s="93"/>
      <c r="AC39" s="93"/>
      <c r="AD39" s="93"/>
      <c r="AE39" s="93"/>
      <c r="AF39" s="93"/>
      <c r="AG39" s="93"/>
      <c r="AH39" s="93"/>
      <c r="AI39" s="93"/>
      <c r="AJ39" s="93"/>
      <c r="AK39" s="93"/>
      <c r="AL39" s="93"/>
      <c r="AM39" s="93"/>
      <c r="AN39" s="89"/>
      <c r="AX39"/>
      <c r="AY39"/>
      <c r="AZ39"/>
      <c r="BA39"/>
      <c r="BB39"/>
      <c r="BC39"/>
      <c r="BD39"/>
      <c r="BE39"/>
      <c r="BF39"/>
      <c r="BG39"/>
      <c r="BH39"/>
      <c r="BI39"/>
      <c r="BJ39"/>
      <c r="BK39"/>
      <c r="BL39"/>
      <c r="BM39"/>
      <c r="BN39"/>
      <c r="BO39"/>
      <c r="BP39"/>
      <c r="BQ39"/>
      <c r="BR39"/>
      <c r="BY39"/>
      <c r="BZ39"/>
      <c r="CA39"/>
      <c r="CB39"/>
      <c r="CC39"/>
      <c r="CD39"/>
      <c r="CE39"/>
      <c r="CF39"/>
      <c r="CG39"/>
      <c r="CH39"/>
      <c r="CI39"/>
      <c r="CJ39"/>
      <c r="CK39"/>
      <c r="CL39"/>
      <c r="CM39"/>
      <c r="CN39"/>
      <c r="CO39"/>
      <c r="CP39"/>
      <c r="CQ39"/>
      <c r="CR39"/>
      <c r="CS39"/>
      <c r="CT39"/>
      <c r="CU39"/>
      <c r="CV39"/>
      <c r="CW39"/>
      <c r="CX39"/>
      <c r="CY39"/>
    </row>
    <row r="40" spans="2:103" ht="20.100000000000001" customHeight="1" x14ac:dyDescent="0.25">
      <c r="B40" s="68"/>
      <c r="C40" s="97"/>
      <c r="D40" s="68"/>
      <c r="E40" s="132"/>
      <c r="F40" s="69"/>
      <c r="G40" s="69"/>
      <c r="H40" s="130"/>
      <c r="I40" s="133"/>
      <c r="J40" s="67"/>
      <c r="K40" s="112"/>
      <c r="L40" s="92"/>
      <c r="M40" s="92"/>
      <c r="N40" s="92"/>
      <c r="O40" s="92"/>
      <c r="P40" s="92"/>
      <c r="Q40" s="92"/>
      <c r="R40" s="84"/>
      <c r="S40" s="92"/>
      <c r="T40" s="92"/>
      <c r="U40" s="107"/>
      <c r="V40" s="33"/>
      <c r="W40" s="104"/>
      <c r="X40" s="45"/>
      <c r="Y40" s="45"/>
      <c r="Z40" s="93"/>
      <c r="AA40" s="93"/>
      <c r="AB40" s="93"/>
      <c r="AC40" s="93"/>
      <c r="AD40" s="93"/>
      <c r="AE40" s="93"/>
      <c r="AF40" s="93"/>
      <c r="AG40" s="93"/>
      <c r="AH40" s="93"/>
      <c r="AI40" s="93"/>
      <c r="AJ40" s="93"/>
      <c r="AK40" s="93"/>
      <c r="AL40" s="93"/>
      <c r="AM40" s="93"/>
      <c r="AN40" s="89"/>
      <c r="AX40"/>
      <c r="AY40"/>
      <c r="AZ40"/>
      <c r="BA40"/>
      <c r="BB40"/>
      <c r="BC40"/>
      <c r="BD40"/>
      <c r="BE40"/>
      <c r="BF40"/>
      <c r="BG40"/>
      <c r="BH40"/>
      <c r="BI40"/>
      <c r="BJ40"/>
      <c r="BK40"/>
      <c r="BL40"/>
      <c r="BM40"/>
      <c r="BN40"/>
      <c r="BO40"/>
      <c r="BP40"/>
      <c r="BQ40"/>
      <c r="BR40"/>
      <c r="BY40"/>
      <c r="BZ40"/>
      <c r="CA40"/>
      <c r="CB40"/>
      <c r="CC40"/>
      <c r="CD40"/>
      <c r="CE40"/>
      <c r="CF40"/>
      <c r="CG40"/>
      <c r="CH40"/>
      <c r="CI40"/>
      <c r="CJ40"/>
      <c r="CK40"/>
      <c r="CL40"/>
      <c r="CM40"/>
      <c r="CN40"/>
      <c r="CO40"/>
      <c r="CP40"/>
      <c r="CQ40"/>
      <c r="CR40"/>
      <c r="CS40"/>
      <c r="CT40"/>
      <c r="CU40"/>
      <c r="CV40"/>
      <c r="CW40"/>
      <c r="CX40"/>
      <c r="CY40"/>
    </row>
    <row r="41" spans="2:103" ht="20.100000000000001" customHeight="1" x14ac:dyDescent="0.25">
      <c r="B41" s="68"/>
      <c r="C41" s="97"/>
      <c r="D41" s="68"/>
      <c r="E41" s="132"/>
      <c r="F41" s="69"/>
      <c r="G41" s="69"/>
      <c r="H41" s="130"/>
      <c r="I41" s="133"/>
      <c r="J41" s="67"/>
      <c r="K41" s="112"/>
      <c r="L41" s="92"/>
      <c r="M41" s="92"/>
      <c r="N41" s="92"/>
      <c r="O41" s="92"/>
      <c r="P41" s="92"/>
      <c r="Q41" s="92"/>
      <c r="R41" s="84"/>
      <c r="S41" s="92"/>
      <c r="T41" s="92"/>
      <c r="U41" s="107"/>
      <c r="V41" s="33"/>
      <c r="W41" s="104"/>
      <c r="X41" s="45"/>
      <c r="Y41" s="45"/>
      <c r="Z41" s="93"/>
      <c r="AA41" s="8"/>
      <c r="AB41" s="93"/>
      <c r="AC41" s="93"/>
      <c r="AD41" s="93"/>
      <c r="AE41" s="93"/>
      <c r="AF41" s="93"/>
      <c r="AG41" s="93"/>
      <c r="AH41" s="93"/>
      <c r="AI41" s="93"/>
      <c r="AJ41" s="93"/>
      <c r="AK41" s="93"/>
      <c r="AL41" s="93"/>
      <c r="AM41" s="93"/>
      <c r="AN41" s="89"/>
      <c r="AX41"/>
      <c r="AY41"/>
      <c r="AZ41"/>
      <c r="BA41"/>
      <c r="BB41"/>
      <c r="BC41"/>
      <c r="BD41"/>
      <c r="BE41"/>
      <c r="BF41"/>
      <c r="BG41"/>
      <c r="BH41"/>
      <c r="BI41"/>
      <c r="BJ41"/>
      <c r="BK41"/>
      <c r="BL41"/>
      <c r="BM41"/>
      <c r="BN41"/>
      <c r="BO41"/>
      <c r="BP41"/>
      <c r="BQ41"/>
      <c r="BR41"/>
      <c r="BY41"/>
      <c r="BZ41"/>
      <c r="CA41"/>
      <c r="CB41"/>
      <c r="CC41"/>
      <c r="CD41"/>
      <c r="CE41"/>
      <c r="CF41"/>
      <c r="CG41"/>
      <c r="CH41"/>
      <c r="CI41"/>
      <c r="CJ41"/>
      <c r="CK41"/>
      <c r="CL41"/>
      <c r="CM41"/>
      <c r="CN41"/>
      <c r="CO41"/>
      <c r="CP41"/>
      <c r="CQ41"/>
      <c r="CR41"/>
      <c r="CS41"/>
      <c r="CT41"/>
      <c r="CU41"/>
      <c r="CV41"/>
      <c r="CW41"/>
      <c r="CX41"/>
      <c r="CY41"/>
    </row>
    <row r="42" spans="2:103" ht="20.100000000000001" customHeight="1" x14ac:dyDescent="0.25">
      <c r="B42" s="68"/>
      <c r="C42" s="97"/>
      <c r="D42" s="68"/>
      <c r="E42" s="132"/>
      <c r="F42" s="69"/>
      <c r="G42" s="69"/>
      <c r="H42" s="130"/>
      <c r="I42" s="133"/>
      <c r="J42" s="67"/>
      <c r="K42" s="112"/>
      <c r="L42" s="4"/>
      <c r="M42" s="4"/>
      <c r="N42" s="4"/>
      <c r="O42" s="4"/>
      <c r="P42" s="4"/>
      <c r="Q42" s="4"/>
      <c r="R42" s="84"/>
      <c r="S42" s="4"/>
      <c r="T42" s="4"/>
      <c r="U42" s="107"/>
      <c r="V42" s="33"/>
      <c r="W42" s="104"/>
      <c r="X42" s="94"/>
      <c r="Y42" s="94"/>
      <c r="Z42" s="93"/>
      <c r="AA42" s="8"/>
      <c r="AB42" s="93"/>
      <c r="AC42" s="93"/>
      <c r="AD42" s="93"/>
      <c r="AE42" s="8"/>
      <c r="AF42" s="8"/>
      <c r="AG42" s="8"/>
      <c r="AH42" s="8"/>
      <c r="AI42" s="8"/>
      <c r="AJ42" s="8"/>
      <c r="AK42" s="8"/>
      <c r="AL42" s="8"/>
      <c r="AM42" s="93"/>
      <c r="AN42" s="89"/>
      <c r="AX42"/>
      <c r="AY42"/>
      <c r="AZ42"/>
      <c r="BA42"/>
      <c r="BB42"/>
      <c r="BC42"/>
      <c r="BD42"/>
      <c r="BE42"/>
      <c r="BF42"/>
      <c r="BG42"/>
      <c r="BH42"/>
      <c r="BI42"/>
      <c r="BJ42"/>
      <c r="BK42"/>
      <c r="BL42"/>
      <c r="BM42"/>
      <c r="BN42"/>
      <c r="BO42"/>
      <c r="BP42"/>
      <c r="BQ42"/>
      <c r="BR42"/>
      <c r="BY42"/>
      <c r="BZ42"/>
      <c r="CA42"/>
      <c r="CB42"/>
      <c r="CC42"/>
      <c r="CD42"/>
      <c r="CE42"/>
      <c r="CF42"/>
      <c r="CG42"/>
      <c r="CH42"/>
      <c r="CI42"/>
      <c r="CJ42"/>
      <c r="CK42"/>
      <c r="CL42"/>
      <c r="CM42"/>
      <c r="CN42"/>
      <c r="CO42"/>
      <c r="CP42"/>
      <c r="CQ42"/>
      <c r="CR42"/>
      <c r="CS42"/>
      <c r="CT42"/>
      <c r="CU42"/>
      <c r="CV42"/>
      <c r="CW42"/>
      <c r="CX42"/>
      <c r="CY42"/>
    </row>
    <row r="43" spans="2:103" ht="20.100000000000001" customHeight="1" x14ac:dyDescent="0.25">
      <c r="B43" s="68"/>
      <c r="C43" s="97"/>
      <c r="D43" s="68"/>
      <c r="E43" s="132"/>
      <c r="F43" s="69"/>
      <c r="G43" s="69"/>
      <c r="H43" s="130"/>
      <c r="I43" s="133"/>
      <c r="J43" s="67"/>
      <c r="K43" s="112"/>
      <c r="L43" s="92"/>
      <c r="M43" s="92"/>
      <c r="N43" s="92"/>
      <c r="O43" s="92"/>
      <c r="P43" s="92"/>
      <c r="Q43" s="92"/>
      <c r="R43" s="84"/>
      <c r="S43" s="92"/>
      <c r="T43" s="92"/>
      <c r="U43" s="107"/>
      <c r="V43" s="33"/>
      <c r="W43" s="104"/>
      <c r="X43" s="45"/>
      <c r="Y43" s="45"/>
      <c r="Z43" s="93"/>
      <c r="AA43" s="8"/>
      <c r="AB43" s="93"/>
      <c r="AC43" s="93"/>
      <c r="AD43" s="93"/>
      <c r="AE43" s="93"/>
      <c r="AF43" s="93"/>
      <c r="AG43" s="93"/>
      <c r="AH43" s="93"/>
      <c r="AI43" s="93"/>
      <c r="AJ43" s="93"/>
      <c r="AK43" s="93"/>
      <c r="AL43" s="93"/>
      <c r="AM43" s="93"/>
      <c r="AN43" s="89"/>
      <c r="AX43"/>
      <c r="AY43"/>
      <c r="AZ43"/>
      <c r="BA43"/>
      <c r="BB43"/>
      <c r="BC43"/>
      <c r="BD43"/>
      <c r="BE43"/>
      <c r="BF43"/>
      <c r="BG43"/>
      <c r="BH43"/>
      <c r="BI43"/>
      <c r="BJ43"/>
      <c r="BK43"/>
      <c r="BL43"/>
      <c r="BM43"/>
      <c r="BN43"/>
      <c r="BO43"/>
      <c r="BP43"/>
      <c r="BQ43"/>
      <c r="BR43"/>
      <c r="BY43"/>
      <c r="BZ43"/>
      <c r="CA43"/>
      <c r="CB43"/>
      <c r="CC43"/>
      <c r="CD43"/>
      <c r="CE43"/>
      <c r="CF43"/>
      <c r="CG43"/>
      <c r="CH43"/>
      <c r="CI43"/>
      <c r="CJ43"/>
      <c r="CK43"/>
      <c r="CL43"/>
      <c r="CM43"/>
      <c r="CN43"/>
      <c r="CO43"/>
      <c r="CP43"/>
      <c r="CQ43"/>
      <c r="CR43"/>
      <c r="CS43"/>
      <c r="CT43"/>
      <c r="CU43"/>
      <c r="CV43"/>
      <c r="CW43"/>
      <c r="CX43"/>
      <c r="CY43"/>
    </row>
    <row r="44" spans="2:103" ht="20.100000000000001" customHeight="1" x14ac:dyDescent="0.25">
      <c r="B44" s="68"/>
      <c r="C44" s="97"/>
      <c r="D44" s="68"/>
      <c r="E44" s="132"/>
      <c r="F44" s="69"/>
      <c r="G44" s="69"/>
      <c r="H44" s="130"/>
      <c r="I44" s="133"/>
      <c r="J44" s="67"/>
      <c r="K44" s="112"/>
      <c r="L44" s="92"/>
      <c r="M44" s="92"/>
      <c r="N44" s="92"/>
      <c r="O44" s="92"/>
      <c r="P44" s="92"/>
      <c r="Q44" s="92"/>
      <c r="R44" s="84"/>
      <c r="S44" s="92"/>
      <c r="T44" s="92"/>
      <c r="U44" s="107"/>
      <c r="V44" s="33"/>
      <c r="W44" s="104"/>
      <c r="X44" s="45"/>
      <c r="Y44" s="45"/>
      <c r="Z44" s="93"/>
      <c r="AA44" s="8"/>
      <c r="AB44" s="93"/>
      <c r="AC44" s="93"/>
      <c r="AD44" s="93"/>
      <c r="AE44" s="93"/>
      <c r="AF44" s="93"/>
      <c r="AG44" s="93"/>
      <c r="AH44" s="93"/>
      <c r="AI44" s="93"/>
      <c r="AJ44" s="93"/>
      <c r="AK44" s="93"/>
      <c r="AL44" s="93"/>
      <c r="AM44" s="93"/>
      <c r="AN44" s="89"/>
      <c r="AX44"/>
      <c r="AY44"/>
      <c r="AZ44"/>
      <c r="BA44"/>
      <c r="BB44"/>
      <c r="BC44"/>
      <c r="BD44"/>
      <c r="BE44"/>
      <c r="BF44"/>
      <c r="BG44"/>
      <c r="BH44"/>
      <c r="BI44"/>
      <c r="BJ44"/>
      <c r="BK44"/>
      <c r="BL44"/>
      <c r="BM44"/>
      <c r="BN44"/>
      <c r="BO44"/>
      <c r="BP44"/>
      <c r="BQ44"/>
      <c r="BR44"/>
      <c r="BY44"/>
      <c r="BZ44"/>
      <c r="CA44"/>
      <c r="CB44"/>
      <c r="CC44"/>
      <c r="CD44"/>
      <c r="CE44"/>
      <c r="CF44"/>
      <c r="CG44"/>
      <c r="CH44"/>
      <c r="CI44"/>
      <c r="CJ44"/>
      <c r="CK44"/>
      <c r="CL44"/>
      <c r="CM44"/>
      <c r="CN44"/>
      <c r="CO44"/>
      <c r="CP44"/>
      <c r="CQ44"/>
      <c r="CR44"/>
      <c r="CS44"/>
      <c r="CT44"/>
      <c r="CU44"/>
      <c r="CV44"/>
      <c r="CW44"/>
      <c r="CX44"/>
      <c r="CY44"/>
    </row>
    <row r="45" spans="2:103" ht="20.100000000000001" customHeight="1" x14ac:dyDescent="0.25">
      <c r="B45" s="68"/>
      <c r="C45" s="97"/>
      <c r="D45" s="68"/>
      <c r="E45" s="132"/>
      <c r="F45" s="69"/>
      <c r="G45" s="69"/>
      <c r="H45" s="130"/>
      <c r="I45" s="133"/>
      <c r="J45" s="67"/>
      <c r="K45" s="112"/>
      <c r="L45" s="4"/>
      <c r="M45" s="4"/>
      <c r="N45" s="4"/>
      <c r="O45" s="4"/>
      <c r="P45" s="4"/>
      <c r="Q45" s="4"/>
      <c r="R45" s="84"/>
      <c r="S45" s="4"/>
      <c r="T45" s="4"/>
      <c r="U45" s="107"/>
      <c r="V45" s="33"/>
      <c r="W45" s="104"/>
      <c r="X45" s="94"/>
      <c r="Y45" s="94"/>
      <c r="Z45" s="93"/>
      <c r="AA45" s="8"/>
      <c r="AB45" s="93"/>
      <c r="AC45" s="93"/>
      <c r="AD45" s="93"/>
      <c r="AE45" s="8"/>
      <c r="AF45" s="8"/>
      <c r="AG45" s="8"/>
      <c r="AH45" s="8"/>
      <c r="AI45" s="8"/>
      <c r="AJ45" s="8"/>
      <c r="AK45" s="8"/>
      <c r="AL45" s="8"/>
      <c r="AM45" s="93"/>
      <c r="AN45" s="89"/>
      <c r="AX45"/>
      <c r="AY45"/>
      <c r="AZ45"/>
      <c r="BA45"/>
      <c r="BB45"/>
      <c r="BC45"/>
      <c r="BD45"/>
      <c r="BE45"/>
      <c r="BF45"/>
      <c r="BG45"/>
      <c r="BH45"/>
      <c r="BI45"/>
      <c r="BJ45"/>
      <c r="BK45"/>
      <c r="BL45"/>
      <c r="BM45"/>
      <c r="BN45"/>
      <c r="BO45"/>
      <c r="BP45"/>
      <c r="BQ45"/>
      <c r="BR45"/>
      <c r="BY45"/>
      <c r="BZ45"/>
      <c r="CA45"/>
      <c r="CB45"/>
      <c r="CC45"/>
      <c r="CD45"/>
      <c r="CE45"/>
      <c r="CF45"/>
      <c r="CG45"/>
      <c r="CH45"/>
      <c r="CI45"/>
      <c r="CJ45"/>
      <c r="CK45"/>
      <c r="CL45"/>
      <c r="CM45"/>
      <c r="CN45"/>
      <c r="CO45"/>
      <c r="CP45"/>
      <c r="CQ45"/>
      <c r="CR45"/>
      <c r="CS45"/>
      <c r="CT45"/>
      <c r="CU45"/>
      <c r="CV45"/>
      <c r="CW45"/>
      <c r="CX45"/>
      <c r="CY45"/>
    </row>
    <row r="46" spans="2:103" ht="20.100000000000001" customHeight="1" x14ac:dyDescent="0.25">
      <c r="B46" s="68"/>
      <c r="C46" s="97"/>
      <c r="D46" s="68"/>
      <c r="E46" s="132"/>
      <c r="F46" s="69"/>
      <c r="G46" s="69"/>
      <c r="H46" s="130"/>
      <c r="I46" s="133"/>
      <c r="J46" s="67"/>
      <c r="K46" s="112"/>
      <c r="L46" s="92"/>
      <c r="M46" s="92"/>
      <c r="N46" s="92"/>
      <c r="O46" s="92"/>
      <c r="P46" s="92"/>
      <c r="Q46" s="92"/>
      <c r="R46" s="84"/>
      <c r="S46" s="92"/>
      <c r="T46" s="92"/>
      <c r="U46" s="107"/>
      <c r="V46" s="33"/>
      <c r="W46" s="104"/>
      <c r="X46" s="45"/>
      <c r="Y46" s="45"/>
      <c r="Z46" s="93"/>
      <c r="AA46" s="8"/>
      <c r="AB46" s="93"/>
      <c r="AC46" s="93"/>
      <c r="AD46" s="93"/>
      <c r="AE46" s="93"/>
      <c r="AF46" s="93"/>
      <c r="AG46" s="93"/>
      <c r="AH46" s="93"/>
      <c r="AI46" s="93"/>
      <c r="AJ46" s="93"/>
      <c r="AK46" s="93"/>
      <c r="AL46" s="93"/>
      <c r="AM46" s="93"/>
      <c r="AN46" s="89"/>
      <c r="AX46"/>
      <c r="AY46"/>
      <c r="AZ46"/>
      <c r="BA46"/>
      <c r="BB46"/>
      <c r="BC46"/>
      <c r="BD46"/>
      <c r="BE46"/>
      <c r="BF46"/>
      <c r="BG46"/>
      <c r="BH46"/>
      <c r="BI46"/>
      <c r="BJ46"/>
      <c r="BK46"/>
      <c r="BL46"/>
      <c r="BM46"/>
      <c r="BN46"/>
      <c r="BO46"/>
      <c r="BP46"/>
      <c r="BQ46"/>
      <c r="BR46"/>
      <c r="BY46"/>
      <c r="BZ46"/>
      <c r="CA46"/>
      <c r="CB46"/>
      <c r="CC46"/>
      <c r="CD46"/>
      <c r="CE46"/>
      <c r="CF46"/>
      <c r="CG46"/>
      <c r="CH46"/>
      <c r="CI46"/>
      <c r="CJ46"/>
      <c r="CK46"/>
      <c r="CL46"/>
      <c r="CM46"/>
      <c r="CN46"/>
      <c r="CO46"/>
      <c r="CP46"/>
      <c r="CQ46"/>
      <c r="CR46"/>
      <c r="CS46"/>
      <c r="CT46"/>
      <c r="CU46"/>
      <c r="CV46"/>
      <c r="CW46"/>
      <c r="CX46"/>
      <c r="CY46"/>
    </row>
    <row r="47" spans="2:103" ht="20.100000000000001" customHeight="1" x14ac:dyDescent="0.25">
      <c r="B47" s="68"/>
      <c r="C47" s="97"/>
      <c r="D47" s="97"/>
      <c r="E47" s="132"/>
      <c r="F47" s="69"/>
      <c r="G47" s="69"/>
      <c r="H47" s="130"/>
      <c r="I47" s="133"/>
      <c r="J47" s="67"/>
      <c r="K47" s="112"/>
      <c r="L47" s="92"/>
      <c r="M47" s="92"/>
      <c r="N47" s="92"/>
      <c r="O47" s="92"/>
      <c r="P47" s="92"/>
      <c r="Q47" s="92"/>
      <c r="R47" s="84"/>
      <c r="S47" s="92"/>
      <c r="T47" s="92"/>
      <c r="U47" s="107"/>
      <c r="V47" s="33"/>
      <c r="W47" s="104"/>
      <c r="X47" s="45"/>
      <c r="Y47" s="45"/>
      <c r="Z47" s="93"/>
      <c r="AA47" s="93"/>
      <c r="AB47" s="93"/>
      <c r="AC47" s="93"/>
      <c r="AD47" s="93"/>
      <c r="AE47" s="93"/>
      <c r="AF47" s="93"/>
      <c r="AG47" s="93"/>
      <c r="AH47" s="93"/>
      <c r="AI47" s="93"/>
      <c r="AJ47" s="93"/>
      <c r="AK47" s="93"/>
      <c r="AL47" s="93"/>
      <c r="AM47" s="93"/>
      <c r="AN47" s="89"/>
      <c r="AX47"/>
      <c r="AY47"/>
      <c r="AZ47"/>
      <c r="BA47"/>
      <c r="BB47"/>
      <c r="BC47"/>
      <c r="BD47"/>
      <c r="BE47"/>
      <c r="BF47"/>
      <c r="BG47"/>
      <c r="BH47"/>
      <c r="BI47"/>
      <c r="BJ47"/>
      <c r="BK47"/>
      <c r="BL47"/>
      <c r="BM47"/>
      <c r="BN47"/>
      <c r="BO47"/>
      <c r="BP47"/>
      <c r="BQ47"/>
      <c r="BR47"/>
      <c r="BY47"/>
      <c r="BZ47"/>
      <c r="CA47"/>
      <c r="CB47"/>
      <c r="CC47"/>
      <c r="CD47"/>
      <c r="CE47"/>
      <c r="CF47"/>
      <c r="CG47"/>
      <c r="CH47"/>
      <c r="CI47"/>
      <c r="CJ47"/>
      <c r="CK47"/>
      <c r="CL47"/>
      <c r="CM47"/>
      <c r="CN47"/>
      <c r="CO47"/>
      <c r="CP47"/>
      <c r="CQ47"/>
      <c r="CR47"/>
      <c r="CS47"/>
      <c r="CT47"/>
      <c r="CU47"/>
      <c r="CV47"/>
      <c r="CW47"/>
      <c r="CX47"/>
      <c r="CY47"/>
    </row>
    <row r="48" spans="2:103" ht="20.100000000000001" customHeight="1" x14ac:dyDescent="0.25">
      <c r="B48" s="68"/>
      <c r="C48" s="97"/>
      <c r="D48" s="68"/>
      <c r="E48" s="132"/>
      <c r="F48" s="69"/>
      <c r="G48" s="69"/>
      <c r="H48" s="130"/>
      <c r="I48" s="133"/>
      <c r="J48" s="67"/>
      <c r="K48" s="112"/>
      <c r="L48" s="92"/>
      <c r="M48" s="92"/>
      <c r="N48" s="92"/>
      <c r="O48" s="92"/>
      <c r="P48" s="92"/>
      <c r="Q48" s="92"/>
      <c r="R48" s="84"/>
      <c r="S48" s="92"/>
      <c r="T48" s="92"/>
      <c r="U48" s="107"/>
      <c r="V48" s="33"/>
      <c r="W48" s="104"/>
      <c r="X48" s="45"/>
      <c r="Y48" s="45"/>
      <c r="Z48" s="93"/>
      <c r="AA48" s="8"/>
      <c r="AB48" s="93"/>
      <c r="AC48" s="93"/>
      <c r="AD48" s="93"/>
      <c r="AE48" s="93"/>
      <c r="AF48" s="93"/>
      <c r="AG48" s="93"/>
      <c r="AH48" s="93"/>
      <c r="AI48" s="93"/>
      <c r="AJ48" s="93"/>
      <c r="AK48" s="93"/>
      <c r="AL48" s="93"/>
      <c r="AM48" s="93"/>
      <c r="AN48" s="89"/>
      <c r="AX48"/>
      <c r="AY48"/>
      <c r="AZ48"/>
      <c r="BA48"/>
      <c r="BB48"/>
      <c r="BC48"/>
      <c r="BD48"/>
      <c r="BE48"/>
      <c r="BF48"/>
      <c r="BG48"/>
      <c r="BH48"/>
      <c r="BI48"/>
      <c r="BJ48"/>
      <c r="BK48"/>
      <c r="BL48"/>
      <c r="BM48"/>
      <c r="BN48"/>
      <c r="BO48"/>
      <c r="BP48"/>
      <c r="BQ48"/>
      <c r="BR48"/>
      <c r="BY48"/>
      <c r="BZ48"/>
      <c r="CA48"/>
      <c r="CB48"/>
      <c r="CC48"/>
      <c r="CD48"/>
      <c r="CE48"/>
      <c r="CF48"/>
      <c r="CG48"/>
      <c r="CH48"/>
      <c r="CI48"/>
      <c r="CJ48"/>
      <c r="CK48"/>
      <c r="CL48"/>
      <c r="CM48"/>
      <c r="CN48"/>
      <c r="CO48"/>
      <c r="CP48"/>
      <c r="CQ48"/>
      <c r="CR48"/>
      <c r="CS48"/>
      <c r="CT48"/>
      <c r="CU48"/>
      <c r="CV48"/>
      <c r="CW48"/>
      <c r="CX48"/>
      <c r="CY48"/>
    </row>
    <row r="49" spans="2:103" ht="20.100000000000001" customHeight="1" x14ac:dyDescent="0.25">
      <c r="B49" s="68"/>
      <c r="C49" s="97"/>
      <c r="D49" s="68"/>
      <c r="E49" s="132"/>
      <c r="F49" s="69"/>
      <c r="G49" s="69"/>
      <c r="H49" s="130"/>
      <c r="I49" s="133"/>
      <c r="J49" s="67"/>
      <c r="K49" s="112"/>
      <c r="L49" s="92"/>
      <c r="M49" s="92"/>
      <c r="N49" s="92"/>
      <c r="O49" s="92"/>
      <c r="P49" s="92"/>
      <c r="Q49" s="92"/>
      <c r="R49" s="84"/>
      <c r="S49" s="92"/>
      <c r="T49" s="92"/>
      <c r="U49" s="107"/>
      <c r="V49" s="33"/>
      <c r="W49" s="104"/>
      <c r="X49" s="45"/>
      <c r="Y49" s="45"/>
      <c r="Z49" s="93"/>
      <c r="AA49" s="8"/>
      <c r="AB49" s="93"/>
      <c r="AC49" s="93"/>
      <c r="AD49" s="93"/>
      <c r="AE49" s="93"/>
      <c r="AF49" s="93"/>
      <c r="AG49" s="93"/>
      <c r="AH49" s="93"/>
      <c r="AI49" s="93"/>
      <c r="AJ49" s="93"/>
      <c r="AK49" s="93"/>
      <c r="AL49" s="93"/>
      <c r="AM49" s="93"/>
      <c r="AN49" s="89"/>
      <c r="AX49"/>
      <c r="AY49"/>
      <c r="AZ49"/>
      <c r="BA49"/>
      <c r="BB49"/>
      <c r="BC49"/>
      <c r="BD49"/>
      <c r="BE49"/>
      <c r="BF49"/>
      <c r="BG49"/>
      <c r="BH49"/>
      <c r="BI49"/>
      <c r="BJ49"/>
      <c r="BK49"/>
      <c r="BL49"/>
      <c r="BM49"/>
      <c r="BN49"/>
      <c r="BO49"/>
      <c r="BP49"/>
      <c r="BQ49"/>
      <c r="BR49"/>
      <c r="BY49"/>
      <c r="BZ49"/>
      <c r="CA49"/>
      <c r="CB49"/>
      <c r="CC49"/>
      <c r="CD49"/>
      <c r="CE49"/>
      <c r="CF49"/>
      <c r="CG49"/>
      <c r="CH49"/>
      <c r="CI49"/>
      <c r="CJ49"/>
      <c r="CK49"/>
      <c r="CL49"/>
      <c r="CM49"/>
      <c r="CN49"/>
      <c r="CO49"/>
      <c r="CP49"/>
      <c r="CQ49"/>
      <c r="CR49"/>
      <c r="CS49"/>
      <c r="CT49"/>
      <c r="CU49"/>
      <c r="CV49"/>
      <c r="CW49"/>
      <c r="CX49"/>
      <c r="CY49"/>
    </row>
    <row r="50" spans="2:103" ht="20.100000000000001" customHeight="1" x14ac:dyDescent="0.25">
      <c r="B50" s="68"/>
      <c r="C50" s="97"/>
      <c r="D50" s="68"/>
      <c r="E50" s="132"/>
      <c r="F50" s="69"/>
      <c r="G50" s="69"/>
      <c r="H50" s="130"/>
      <c r="I50" s="133"/>
      <c r="J50" s="67"/>
      <c r="K50" s="112"/>
      <c r="L50" s="92"/>
      <c r="M50" s="92"/>
      <c r="N50" s="92"/>
      <c r="O50" s="92"/>
      <c r="P50" s="92"/>
      <c r="Q50" s="92"/>
      <c r="R50" s="84"/>
      <c r="S50" s="92"/>
      <c r="T50" s="92"/>
      <c r="U50" s="107"/>
      <c r="V50" s="33"/>
      <c r="W50" s="104"/>
      <c r="X50" s="45"/>
      <c r="Y50" s="45"/>
      <c r="Z50" s="93"/>
      <c r="AA50" s="93"/>
      <c r="AB50" s="93"/>
      <c r="AC50" s="93"/>
      <c r="AD50" s="93"/>
      <c r="AE50" s="93"/>
      <c r="AF50" s="93"/>
      <c r="AG50" s="93"/>
      <c r="AH50" s="93"/>
      <c r="AI50" s="93"/>
      <c r="AJ50" s="93"/>
      <c r="AK50" s="93"/>
      <c r="AL50" s="93"/>
      <c r="AM50" s="93"/>
      <c r="AN50" s="89"/>
      <c r="AX50"/>
      <c r="AY50"/>
      <c r="AZ50"/>
      <c r="BA50"/>
      <c r="BB50"/>
      <c r="BC50"/>
      <c r="BD50"/>
      <c r="BE50"/>
      <c r="BF50"/>
      <c r="BG50"/>
      <c r="BH50"/>
      <c r="BI50"/>
      <c r="BJ50"/>
      <c r="BK50"/>
      <c r="BL50"/>
      <c r="BM50"/>
      <c r="BN50"/>
      <c r="BO50"/>
      <c r="BP50"/>
      <c r="BQ50"/>
      <c r="BR50"/>
      <c r="BY50"/>
      <c r="BZ50"/>
      <c r="CA50"/>
      <c r="CB50"/>
      <c r="CC50"/>
      <c r="CD50"/>
      <c r="CE50"/>
      <c r="CF50"/>
      <c r="CG50"/>
      <c r="CH50"/>
      <c r="CI50"/>
      <c r="CJ50"/>
      <c r="CK50"/>
      <c r="CL50"/>
      <c r="CM50"/>
      <c r="CN50"/>
      <c r="CO50"/>
      <c r="CP50"/>
      <c r="CQ50"/>
      <c r="CR50"/>
      <c r="CS50"/>
      <c r="CT50"/>
      <c r="CU50"/>
      <c r="CV50"/>
      <c r="CW50"/>
      <c r="CX50"/>
      <c r="CY50"/>
    </row>
    <row r="51" spans="2:103" ht="20.100000000000001" customHeight="1" x14ac:dyDescent="0.25">
      <c r="B51" s="68"/>
      <c r="C51" s="97"/>
      <c r="D51" s="132"/>
      <c r="E51" s="132"/>
      <c r="F51" s="69"/>
      <c r="G51" s="69"/>
      <c r="H51" s="130"/>
      <c r="I51" s="133"/>
      <c r="J51" s="67"/>
      <c r="K51" s="112"/>
      <c r="L51" s="92"/>
      <c r="M51" s="92"/>
      <c r="N51" s="92"/>
      <c r="O51" s="92"/>
      <c r="P51" s="92"/>
      <c r="Q51" s="92"/>
      <c r="R51" s="84"/>
      <c r="S51" s="92"/>
      <c r="T51" s="92"/>
      <c r="U51" s="107"/>
      <c r="V51" s="33"/>
      <c r="W51" s="104"/>
      <c r="X51" s="45"/>
      <c r="Y51" s="45"/>
      <c r="Z51" s="93"/>
      <c r="AA51" s="93"/>
      <c r="AB51" s="93"/>
      <c r="AC51" s="93"/>
      <c r="AD51" s="93"/>
      <c r="AE51" s="93"/>
      <c r="AF51" s="93"/>
      <c r="AG51" s="93"/>
      <c r="AH51" s="93"/>
      <c r="AI51" s="93"/>
      <c r="AJ51" s="93"/>
      <c r="AK51" s="93"/>
      <c r="AL51" s="93"/>
      <c r="AM51" s="93"/>
      <c r="AN51" s="129"/>
      <c r="AX51"/>
      <c r="AY51"/>
      <c r="AZ51"/>
      <c r="BA51"/>
      <c r="BB51"/>
      <c r="BC51"/>
      <c r="BD51"/>
      <c r="BE51"/>
      <c r="BF51"/>
      <c r="BG51"/>
      <c r="BH51"/>
      <c r="BI51"/>
      <c r="BJ51"/>
      <c r="BK51"/>
      <c r="BL51"/>
      <c r="BM51"/>
      <c r="BN51"/>
      <c r="BO51"/>
      <c r="BP51"/>
      <c r="BQ51"/>
      <c r="BR51"/>
      <c r="BY51"/>
      <c r="BZ51"/>
      <c r="CA51"/>
      <c r="CB51"/>
      <c r="CC51"/>
      <c r="CD51"/>
      <c r="CE51"/>
      <c r="CF51"/>
      <c r="CG51"/>
      <c r="CH51"/>
      <c r="CI51"/>
      <c r="CJ51"/>
      <c r="CK51"/>
      <c r="CL51"/>
      <c r="CM51"/>
      <c r="CN51"/>
      <c r="CO51"/>
      <c r="CP51"/>
      <c r="CQ51"/>
      <c r="CR51"/>
      <c r="CS51"/>
      <c r="CT51"/>
      <c r="CU51"/>
      <c r="CV51"/>
      <c r="CW51"/>
      <c r="CX51"/>
      <c r="CY51"/>
    </row>
    <row r="52" spans="2:103" ht="20.100000000000001" customHeight="1" x14ac:dyDescent="0.25">
      <c r="B52" s="68"/>
      <c r="C52" s="97"/>
      <c r="D52" s="68"/>
      <c r="E52" s="132"/>
      <c r="F52" s="69"/>
      <c r="G52" s="69"/>
      <c r="H52" s="130"/>
      <c r="I52" s="133"/>
      <c r="J52" s="67"/>
      <c r="K52" s="112"/>
      <c r="L52" s="4"/>
      <c r="M52" s="4"/>
      <c r="N52" s="4"/>
      <c r="O52" s="4"/>
      <c r="P52" s="4"/>
      <c r="Q52" s="4"/>
      <c r="R52" s="84"/>
      <c r="S52" s="4"/>
      <c r="T52" s="4"/>
      <c r="U52" s="107"/>
      <c r="V52" s="33"/>
      <c r="W52" s="104"/>
      <c r="X52" s="94"/>
      <c r="Y52" s="94"/>
      <c r="Z52" s="93"/>
      <c r="AA52" s="8"/>
      <c r="AB52" s="93"/>
      <c r="AC52" s="93"/>
      <c r="AD52" s="93"/>
      <c r="AE52" s="8"/>
      <c r="AF52" s="8"/>
      <c r="AG52" s="8"/>
      <c r="AH52" s="8"/>
      <c r="AI52" s="8"/>
      <c r="AJ52" s="8"/>
      <c r="AK52" s="8"/>
      <c r="AL52" s="8"/>
      <c r="AM52" s="93"/>
      <c r="AN52" s="89"/>
      <c r="AX52"/>
      <c r="AY52"/>
      <c r="AZ52"/>
      <c r="BA52"/>
      <c r="BB52"/>
      <c r="BC52"/>
      <c r="BD52"/>
      <c r="BE52"/>
      <c r="BF52"/>
      <c r="BG52"/>
      <c r="BH52"/>
      <c r="BI52"/>
      <c r="BJ52"/>
      <c r="BK52"/>
      <c r="BL52"/>
      <c r="BM52"/>
      <c r="BN52"/>
      <c r="BO52"/>
      <c r="BP52"/>
      <c r="BQ52"/>
      <c r="BR52"/>
      <c r="BY52"/>
      <c r="BZ52"/>
      <c r="CA52"/>
      <c r="CB52"/>
      <c r="CC52"/>
      <c r="CD52"/>
      <c r="CE52"/>
      <c r="CF52"/>
      <c r="CG52"/>
      <c r="CH52"/>
      <c r="CI52"/>
      <c r="CJ52"/>
      <c r="CK52"/>
      <c r="CL52"/>
      <c r="CM52"/>
      <c r="CN52"/>
      <c r="CO52"/>
      <c r="CP52"/>
      <c r="CQ52"/>
      <c r="CR52"/>
      <c r="CS52"/>
      <c r="CT52"/>
      <c r="CU52"/>
      <c r="CV52"/>
      <c r="CW52"/>
      <c r="CX52"/>
      <c r="CY52"/>
    </row>
    <row r="53" spans="2:103" ht="20.100000000000001" customHeight="1" x14ac:dyDescent="0.25">
      <c r="B53" s="68"/>
      <c r="C53" s="97"/>
      <c r="D53" s="68"/>
      <c r="E53" s="132"/>
      <c r="F53" s="69"/>
      <c r="G53" s="69"/>
      <c r="H53" s="130"/>
      <c r="I53" s="133"/>
      <c r="J53" s="67"/>
      <c r="K53" s="112"/>
      <c r="L53" s="92"/>
      <c r="M53" s="92"/>
      <c r="N53" s="92"/>
      <c r="O53" s="92"/>
      <c r="P53" s="92"/>
      <c r="Q53" s="92"/>
      <c r="R53" s="84"/>
      <c r="S53" s="92"/>
      <c r="T53" s="92"/>
      <c r="U53" s="107"/>
      <c r="V53" s="33"/>
      <c r="W53" s="104"/>
      <c r="X53" s="45"/>
      <c r="Y53" s="45"/>
      <c r="Z53" s="93"/>
      <c r="AA53" s="93"/>
      <c r="AB53" s="93"/>
      <c r="AC53" s="93"/>
      <c r="AD53" s="93"/>
      <c r="AE53" s="93"/>
      <c r="AF53" s="93"/>
      <c r="AG53" s="93"/>
      <c r="AH53" s="93"/>
      <c r="AI53" s="93"/>
      <c r="AJ53" s="93"/>
      <c r="AK53" s="93"/>
      <c r="AL53" s="93"/>
      <c r="AM53" s="93"/>
      <c r="AN53" s="89"/>
      <c r="AX53"/>
      <c r="AY53"/>
      <c r="AZ53"/>
      <c r="BA53"/>
      <c r="BB53"/>
      <c r="BC53"/>
      <c r="BD53"/>
      <c r="BE53"/>
      <c r="BF53"/>
      <c r="BG53"/>
      <c r="BH53"/>
      <c r="BI53"/>
      <c r="BJ53"/>
      <c r="BK53"/>
      <c r="BL53"/>
      <c r="BM53"/>
      <c r="BN53"/>
      <c r="BO53"/>
      <c r="BP53"/>
      <c r="BQ53"/>
      <c r="BR53"/>
      <c r="BY53"/>
      <c r="BZ53"/>
      <c r="CA53"/>
      <c r="CB53"/>
      <c r="CC53"/>
      <c r="CD53"/>
      <c r="CE53"/>
      <c r="CF53"/>
      <c r="CG53"/>
      <c r="CH53"/>
      <c r="CI53"/>
      <c r="CJ53"/>
      <c r="CK53"/>
      <c r="CL53"/>
      <c r="CM53"/>
      <c r="CN53"/>
      <c r="CO53"/>
      <c r="CP53"/>
      <c r="CQ53"/>
      <c r="CR53"/>
      <c r="CS53"/>
      <c r="CT53"/>
      <c r="CU53"/>
      <c r="CV53"/>
      <c r="CW53"/>
      <c r="CX53"/>
      <c r="CY53"/>
    </row>
    <row r="54" spans="2:103" ht="20.100000000000001" customHeight="1" x14ac:dyDescent="0.25">
      <c r="B54" s="68"/>
      <c r="C54" s="97"/>
      <c r="D54" s="68"/>
      <c r="E54" s="132"/>
      <c r="F54" s="69"/>
      <c r="G54" s="69"/>
      <c r="H54" s="130"/>
      <c r="I54" s="133"/>
      <c r="J54" s="67"/>
      <c r="K54" s="112"/>
      <c r="L54" s="92"/>
      <c r="M54" s="92"/>
      <c r="N54" s="92"/>
      <c r="O54" s="92"/>
      <c r="P54" s="92"/>
      <c r="Q54" s="92"/>
      <c r="R54" s="84"/>
      <c r="S54" s="92"/>
      <c r="T54" s="92"/>
      <c r="U54" s="107"/>
      <c r="V54" s="33"/>
      <c r="W54" s="104"/>
      <c r="X54" s="45"/>
      <c r="Y54" s="45"/>
      <c r="Z54" s="93"/>
      <c r="AA54" s="93"/>
      <c r="AB54" s="93"/>
      <c r="AC54" s="93"/>
      <c r="AD54" s="93"/>
      <c r="AE54" s="93"/>
      <c r="AF54" s="93"/>
      <c r="AG54" s="93"/>
      <c r="AH54" s="93"/>
      <c r="AI54" s="93"/>
      <c r="AJ54" s="93"/>
      <c r="AK54" s="93"/>
      <c r="AL54" s="93"/>
      <c r="AM54" s="93"/>
      <c r="AN54" s="129"/>
      <c r="AX54"/>
      <c r="AY54"/>
      <c r="AZ54"/>
      <c r="BA54"/>
      <c r="BB54"/>
      <c r="BC54"/>
      <c r="BD54"/>
      <c r="BE54"/>
      <c r="BF54"/>
      <c r="BG54"/>
      <c r="BH54"/>
      <c r="BI54"/>
      <c r="BJ54"/>
      <c r="BK54"/>
      <c r="BL54"/>
      <c r="BM54"/>
      <c r="BN54"/>
      <c r="BO54"/>
      <c r="BP54"/>
      <c r="BQ54"/>
      <c r="BR54"/>
      <c r="BY54"/>
      <c r="BZ54"/>
      <c r="CA54"/>
      <c r="CB54"/>
      <c r="CC54"/>
      <c r="CD54"/>
      <c r="CE54"/>
      <c r="CF54"/>
      <c r="CG54"/>
      <c r="CH54"/>
      <c r="CI54"/>
      <c r="CJ54"/>
      <c r="CK54"/>
      <c r="CL54"/>
      <c r="CM54"/>
      <c r="CN54"/>
      <c r="CO54"/>
      <c r="CP54"/>
      <c r="CQ54"/>
      <c r="CR54"/>
      <c r="CS54"/>
      <c r="CT54"/>
      <c r="CU54"/>
      <c r="CV54"/>
      <c r="CW54"/>
      <c r="CX54"/>
      <c r="CY54"/>
    </row>
    <row r="55" spans="2:103" ht="20.100000000000001" customHeight="1" x14ac:dyDescent="0.25">
      <c r="B55" s="68"/>
      <c r="C55" s="97"/>
      <c r="D55" s="68"/>
      <c r="E55" s="132"/>
      <c r="F55" s="69"/>
      <c r="G55" s="69"/>
      <c r="H55" s="130"/>
      <c r="I55" s="133"/>
      <c r="J55" s="67"/>
      <c r="K55" s="112"/>
      <c r="L55" s="92"/>
      <c r="M55" s="92"/>
      <c r="N55" s="92"/>
      <c r="O55" s="92"/>
      <c r="P55" s="92"/>
      <c r="Q55" s="92"/>
      <c r="R55" s="84"/>
      <c r="S55" s="92"/>
      <c r="T55" s="92"/>
      <c r="U55" s="107"/>
      <c r="V55" s="33"/>
      <c r="W55" s="104"/>
      <c r="X55" s="45"/>
      <c r="Y55" s="94"/>
      <c r="Z55" s="93"/>
      <c r="AA55" s="93"/>
      <c r="AB55" s="93"/>
      <c r="AC55" s="93"/>
      <c r="AD55" s="93"/>
      <c r="AE55" s="93"/>
      <c r="AF55" s="93"/>
      <c r="AG55" s="93"/>
      <c r="AH55" s="93"/>
      <c r="AI55" s="93"/>
      <c r="AJ55" s="93"/>
      <c r="AK55" s="93"/>
      <c r="AL55" s="93"/>
      <c r="AM55" s="93"/>
      <c r="AN55" s="89"/>
      <c r="AX55"/>
      <c r="AY55"/>
      <c r="AZ55"/>
      <c r="BA55"/>
      <c r="BB55"/>
      <c r="BC55"/>
      <c r="BD55"/>
      <c r="BE55"/>
      <c r="BF55"/>
      <c r="BG55"/>
      <c r="BH55"/>
      <c r="BI55"/>
      <c r="BJ55"/>
      <c r="BK55"/>
      <c r="BL55"/>
      <c r="BM55"/>
      <c r="BN55"/>
      <c r="BO55"/>
      <c r="BP55"/>
      <c r="BQ55"/>
      <c r="BR55"/>
      <c r="BY55"/>
      <c r="BZ55"/>
      <c r="CA55"/>
      <c r="CB55"/>
      <c r="CC55"/>
      <c r="CD55"/>
      <c r="CE55"/>
      <c r="CF55"/>
      <c r="CG55"/>
      <c r="CH55"/>
      <c r="CI55"/>
      <c r="CJ55"/>
      <c r="CK55"/>
      <c r="CL55"/>
      <c r="CM55"/>
      <c r="CN55"/>
      <c r="CO55"/>
      <c r="CP55"/>
      <c r="CQ55"/>
      <c r="CR55"/>
      <c r="CS55"/>
      <c r="CT55"/>
      <c r="CU55"/>
      <c r="CV55"/>
      <c r="CW55"/>
      <c r="CX55"/>
      <c r="CY55"/>
    </row>
    <row r="56" spans="2:103" ht="20.100000000000001" customHeight="1" x14ac:dyDescent="0.25">
      <c r="B56" s="68"/>
      <c r="C56" s="97"/>
      <c r="D56" s="68"/>
      <c r="E56" s="132"/>
      <c r="F56" s="69"/>
      <c r="G56" s="69"/>
      <c r="H56" s="130"/>
      <c r="I56" s="133"/>
      <c r="J56" s="67"/>
      <c r="K56" s="112"/>
      <c r="L56" s="92"/>
      <c r="M56" s="92"/>
      <c r="N56" s="92"/>
      <c r="O56" s="92"/>
      <c r="P56" s="92"/>
      <c r="Q56" s="92"/>
      <c r="R56" s="84"/>
      <c r="S56" s="92"/>
      <c r="T56" s="92"/>
      <c r="U56" s="107"/>
      <c r="V56" s="33"/>
      <c r="W56" s="104"/>
      <c r="X56" s="45"/>
      <c r="Y56" s="45"/>
      <c r="Z56" s="93"/>
      <c r="AA56" s="93"/>
      <c r="AB56" s="93"/>
      <c r="AC56" s="93"/>
      <c r="AD56" s="93"/>
      <c r="AE56" s="93"/>
      <c r="AF56" s="93"/>
      <c r="AG56" s="93"/>
      <c r="AH56" s="93"/>
      <c r="AI56" s="93"/>
      <c r="AJ56" s="93"/>
      <c r="AK56" s="93"/>
      <c r="AL56" s="93"/>
      <c r="AM56" s="93"/>
      <c r="AN56" s="89"/>
      <c r="AX56"/>
      <c r="AY56"/>
      <c r="AZ56"/>
      <c r="BA56"/>
      <c r="BB56"/>
      <c r="BC56"/>
      <c r="BD56"/>
      <c r="BE56"/>
      <c r="BF56"/>
      <c r="BG56"/>
      <c r="BH56"/>
      <c r="BI56"/>
      <c r="BJ56"/>
      <c r="BK56"/>
      <c r="BL56"/>
      <c r="BM56"/>
      <c r="BN56"/>
      <c r="BO56"/>
      <c r="BP56"/>
      <c r="BQ56"/>
      <c r="BR56"/>
      <c r="BY56"/>
      <c r="BZ56"/>
      <c r="CA56"/>
      <c r="CB56"/>
      <c r="CC56"/>
      <c r="CD56"/>
      <c r="CE56"/>
      <c r="CF56"/>
      <c r="CG56"/>
      <c r="CH56"/>
      <c r="CI56"/>
      <c r="CJ56"/>
      <c r="CK56"/>
      <c r="CL56"/>
      <c r="CM56"/>
      <c r="CN56"/>
      <c r="CO56"/>
      <c r="CP56"/>
      <c r="CQ56"/>
      <c r="CR56"/>
      <c r="CS56"/>
      <c r="CT56"/>
      <c r="CU56"/>
      <c r="CV56"/>
      <c r="CW56"/>
      <c r="CX56"/>
      <c r="CY56"/>
    </row>
    <row r="57" spans="2:103" ht="20.100000000000001" customHeight="1" x14ac:dyDescent="0.25">
      <c r="B57" s="68"/>
      <c r="C57" s="97"/>
      <c r="D57" s="68"/>
      <c r="E57" s="132"/>
      <c r="F57" s="69"/>
      <c r="G57" s="69"/>
      <c r="H57" s="130"/>
      <c r="I57" s="133"/>
      <c r="J57" s="67"/>
      <c r="K57" s="112"/>
      <c r="L57" s="92"/>
      <c r="M57" s="92"/>
      <c r="N57" s="92"/>
      <c r="O57" s="92"/>
      <c r="P57" s="92"/>
      <c r="Q57" s="92"/>
      <c r="R57" s="84"/>
      <c r="S57" s="92"/>
      <c r="T57" s="92"/>
      <c r="U57" s="107"/>
      <c r="V57" s="33"/>
      <c r="W57" s="104"/>
      <c r="X57" s="45"/>
      <c r="Y57" s="45"/>
      <c r="Z57" s="93"/>
      <c r="AA57" s="8"/>
      <c r="AB57" s="93"/>
      <c r="AC57" s="93"/>
      <c r="AD57" s="93"/>
      <c r="AE57" s="93"/>
      <c r="AF57" s="93"/>
      <c r="AG57" s="93"/>
      <c r="AH57" s="93"/>
      <c r="AI57" s="93"/>
      <c r="AJ57" s="93"/>
      <c r="AK57" s="93"/>
      <c r="AL57" s="93"/>
      <c r="AM57" s="93"/>
      <c r="AN57" s="89"/>
      <c r="AX57"/>
      <c r="AY57"/>
      <c r="AZ57"/>
      <c r="BA57"/>
      <c r="BB57"/>
      <c r="BC57"/>
      <c r="BD57"/>
      <c r="BE57"/>
      <c r="BF57"/>
      <c r="BG57"/>
      <c r="BH57"/>
      <c r="BI57"/>
      <c r="BJ57"/>
      <c r="BK57"/>
      <c r="BL57"/>
      <c r="BM57"/>
      <c r="BN57"/>
      <c r="BO57"/>
      <c r="BP57"/>
      <c r="BQ57"/>
      <c r="BR57"/>
      <c r="BY57"/>
      <c r="BZ57"/>
      <c r="CA57"/>
      <c r="CB57"/>
      <c r="CC57"/>
      <c r="CD57"/>
      <c r="CE57"/>
      <c r="CF57"/>
      <c r="CG57"/>
      <c r="CH57"/>
      <c r="CI57"/>
      <c r="CJ57"/>
      <c r="CK57"/>
      <c r="CL57"/>
      <c r="CM57"/>
      <c r="CN57"/>
      <c r="CO57"/>
      <c r="CP57"/>
      <c r="CQ57"/>
      <c r="CR57"/>
      <c r="CS57"/>
      <c r="CT57"/>
      <c r="CU57"/>
      <c r="CV57"/>
      <c r="CW57"/>
      <c r="CX57"/>
      <c r="CY57"/>
    </row>
    <row r="58" spans="2:103" ht="20.100000000000001" customHeight="1" x14ac:dyDescent="0.25">
      <c r="B58" s="68"/>
      <c r="C58" s="97"/>
      <c r="D58" s="68"/>
      <c r="E58" s="132"/>
      <c r="F58" s="69"/>
      <c r="G58" s="69"/>
      <c r="H58" s="130"/>
      <c r="I58" s="133"/>
      <c r="J58" s="67"/>
      <c r="K58" s="112"/>
      <c r="L58" s="92"/>
      <c r="M58" s="92"/>
      <c r="N58" s="92"/>
      <c r="O58" s="92"/>
      <c r="P58" s="92"/>
      <c r="Q58" s="92"/>
      <c r="R58" s="84"/>
      <c r="S58" s="92"/>
      <c r="T58" s="92"/>
      <c r="U58" s="107"/>
      <c r="V58" s="33"/>
      <c r="W58" s="104"/>
      <c r="X58" s="45"/>
      <c r="Y58" s="45"/>
      <c r="Z58" s="93"/>
      <c r="AA58" s="93"/>
      <c r="AB58" s="93"/>
      <c r="AC58" s="93"/>
      <c r="AD58" s="93"/>
      <c r="AE58" s="93"/>
      <c r="AF58" s="93"/>
      <c r="AG58" s="93"/>
      <c r="AH58" s="93"/>
      <c r="AI58" s="93"/>
      <c r="AJ58" s="93"/>
      <c r="AK58" s="93"/>
      <c r="AL58" s="93"/>
      <c r="AM58" s="93"/>
      <c r="AN58" s="89"/>
      <c r="AX58"/>
      <c r="AY58"/>
      <c r="AZ58"/>
      <c r="BA58"/>
      <c r="BB58"/>
      <c r="BC58"/>
      <c r="BD58"/>
      <c r="BE58"/>
      <c r="BF58"/>
      <c r="BG58"/>
      <c r="BH58"/>
      <c r="BI58"/>
      <c r="BJ58"/>
      <c r="BK58"/>
      <c r="BL58"/>
      <c r="BM58"/>
      <c r="BN58"/>
      <c r="BO58"/>
      <c r="BP58"/>
      <c r="BQ58"/>
      <c r="BR58"/>
      <c r="BY58"/>
      <c r="BZ58"/>
      <c r="CA58"/>
      <c r="CB58"/>
      <c r="CC58"/>
      <c r="CD58"/>
      <c r="CE58"/>
      <c r="CF58"/>
      <c r="CG58"/>
      <c r="CH58"/>
      <c r="CI58"/>
      <c r="CJ58"/>
      <c r="CK58"/>
      <c r="CL58"/>
      <c r="CM58"/>
      <c r="CN58"/>
      <c r="CO58"/>
      <c r="CP58"/>
      <c r="CQ58"/>
      <c r="CR58"/>
      <c r="CS58"/>
      <c r="CT58"/>
      <c r="CU58"/>
      <c r="CV58"/>
      <c r="CW58"/>
      <c r="CX58"/>
      <c r="CY58"/>
    </row>
    <row r="59" spans="2:103" ht="20.100000000000001" customHeight="1" x14ac:dyDescent="0.25">
      <c r="B59" s="68"/>
      <c r="C59" s="97"/>
      <c r="D59" s="68"/>
      <c r="E59" s="132"/>
      <c r="F59" s="69"/>
      <c r="G59" s="69"/>
      <c r="H59" s="130"/>
      <c r="I59" s="133"/>
      <c r="J59" s="67"/>
      <c r="K59" s="112"/>
      <c r="L59" s="92"/>
      <c r="M59" s="92"/>
      <c r="N59" s="92"/>
      <c r="O59" s="92"/>
      <c r="P59" s="92"/>
      <c r="Q59" s="92"/>
      <c r="R59" s="84"/>
      <c r="S59" s="92"/>
      <c r="T59" s="92"/>
      <c r="U59" s="107"/>
      <c r="V59" s="33"/>
      <c r="W59" s="104"/>
      <c r="X59" s="45"/>
      <c r="Y59" s="45"/>
      <c r="Z59" s="93"/>
      <c r="AA59" s="8"/>
      <c r="AB59" s="93"/>
      <c r="AC59" s="93"/>
      <c r="AD59" s="93"/>
      <c r="AE59" s="93"/>
      <c r="AF59" s="93"/>
      <c r="AG59" s="93"/>
      <c r="AH59" s="93"/>
      <c r="AI59" s="93"/>
      <c r="AJ59" s="93"/>
      <c r="AK59" s="93"/>
      <c r="AL59" s="93"/>
      <c r="AM59" s="93"/>
      <c r="AN59" s="89"/>
      <c r="AX59"/>
      <c r="AY59"/>
      <c r="AZ59"/>
      <c r="BA59"/>
      <c r="BB59"/>
      <c r="BC59"/>
      <c r="BD59"/>
      <c r="BE59"/>
      <c r="BF59"/>
      <c r="BG59"/>
      <c r="BH59"/>
      <c r="BI59"/>
      <c r="BJ59"/>
      <c r="BK59"/>
      <c r="BL59"/>
      <c r="BM59"/>
      <c r="BN59"/>
      <c r="BO59"/>
      <c r="BP59"/>
      <c r="BQ59"/>
      <c r="BR59"/>
      <c r="BY59"/>
      <c r="BZ59"/>
      <c r="CA59"/>
      <c r="CB59"/>
      <c r="CC59"/>
      <c r="CD59"/>
      <c r="CE59"/>
      <c r="CF59"/>
      <c r="CG59"/>
      <c r="CH59"/>
      <c r="CI59"/>
      <c r="CJ59"/>
      <c r="CK59"/>
      <c r="CL59"/>
      <c r="CM59"/>
      <c r="CN59"/>
      <c r="CO59"/>
      <c r="CP59"/>
      <c r="CQ59"/>
      <c r="CR59"/>
      <c r="CS59"/>
      <c r="CT59"/>
      <c r="CU59"/>
      <c r="CV59"/>
      <c r="CW59"/>
      <c r="CX59"/>
      <c r="CY59"/>
    </row>
    <row r="60" spans="2:103" ht="20.100000000000001" customHeight="1" x14ac:dyDescent="0.25">
      <c r="B60" s="68"/>
      <c r="C60" s="97"/>
      <c r="D60" s="68"/>
      <c r="E60" s="132"/>
      <c r="F60" s="69"/>
      <c r="G60" s="69"/>
      <c r="H60" s="130"/>
      <c r="I60" s="133"/>
      <c r="J60" s="67"/>
      <c r="K60" s="112"/>
      <c r="L60" s="4"/>
      <c r="M60" s="4"/>
      <c r="N60" s="4"/>
      <c r="O60" s="4"/>
      <c r="P60" s="4"/>
      <c r="Q60" s="4"/>
      <c r="R60" s="84"/>
      <c r="S60" s="4"/>
      <c r="T60" s="4"/>
      <c r="U60" s="107"/>
      <c r="V60" s="33"/>
      <c r="W60" s="104"/>
      <c r="X60" s="94"/>
      <c r="Y60" s="94"/>
      <c r="Z60" s="93"/>
      <c r="AA60" s="8"/>
      <c r="AB60" s="93"/>
      <c r="AC60" s="93"/>
      <c r="AD60" s="93"/>
      <c r="AE60" s="8"/>
      <c r="AF60" s="8"/>
      <c r="AG60" s="8"/>
      <c r="AH60" s="8"/>
      <c r="AI60" s="8"/>
      <c r="AJ60" s="8"/>
      <c r="AK60" s="8"/>
      <c r="AL60" s="8"/>
      <c r="AM60" s="93"/>
      <c r="AN60" s="89"/>
      <c r="AX60"/>
      <c r="AY60"/>
      <c r="AZ60"/>
      <c r="BA60"/>
      <c r="BB60"/>
      <c r="BC60"/>
      <c r="BD60"/>
      <c r="BE60"/>
      <c r="BF60"/>
      <c r="BG60"/>
      <c r="BH60"/>
      <c r="BI60"/>
      <c r="BJ60"/>
      <c r="BK60"/>
      <c r="BL60"/>
      <c r="BM60"/>
      <c r="BN60"/>
      <c r="BO60"/>
      <c r="BP60"/>
      <c r="BQ60"/>
      <c r="BR60"/>
      <c r="BY60"/>
      <c r="BZ60"/>
      <c r="CA60"/>
      <c r="CB60"/>
      <c r="CC60"/>
      <c r="CD60"/>
      <c r="CE60"/>
      <c r="CF60"/>
      <c r="CG60"/>
      <c r="CH60"/>
      <c r="CI60"/>
      <c r="CJ60"/>
      <c r="CK60"/>
      <c r="CL60"/>
      <c r="CM60"/>
      <c r="CN60"/>
      <c r="CO60"/>
      <c r="CP60"/>
      <c r="CQ60"/>
      <c r="CR60"/>
      <c r="CS60"/>
      <c r="CT60"/>
      <c r="CU60"/>
      <c r="CV60"/>
      <c r="CW60"/>
      <c r="CX60"/>
      <c r="CY60"/>
    </row>
    <row r="61" spans="2:103" ht="20.100000000000001" customHeight="1" x14ac:dyDescent="0.25">
      <c r="B61" s="68"/>
      <c r="C61" s="97"/>
      <c r="D61" s="68"/>
      <c r="E61" s="132"/>
      <c r="F61" s="69"/>
      <c r="G61" s="69"/>
      <c r="H61" s="130"/>
      <c r="I61" s="133"/>
      <c r="J61" s="67"/>
      <c r="K61" s="112"/>
      <c r="L61" s="92"/>
      <c r="M61" s="92"/>
      <c r="N61" s="92"/>
      <c r="O61" s="92"/>
      <c r="P61" s="92"/>
      <c r="Q61" s="92"/>
      <c r="R61" s="84"/>
      <c r="S61" s="92"/>
      <c r="T61" s="92"/>
      <c r="U61" s="107"/>
      <c r="V61" s="33"/>
      <c r="W61" s="104"/>
      <c r="X61" s="45"/>
      <c r="Y61" s="45"/>
      <c r="Z61" s="93"/>
      <c r="AA61" s="8"/>
      <c r="AB61" s="93"/>
      <c r="AC61" s="93"/>
      <c r="AD61" s="93"/>
      <c r="AE61" s="93"/>
      <c r="AF61" s="93"/>
      <c r="AG61" s="93"/>
      <c r="AH61" s="93"/>
      <c r="AI61" s="93"/>
      <c r="AJ61" s="93"/>
      <c r="AK61" s="93"/>
      <c r="AL61" s="93"/>
      <c r="AM61" s="93"/>
      <c r="AN61" s="89"/>
      <c r="AX61"/>
      <c r="AY61"/>
      <c r="AZ61"/>
      <c r="BA61"/>
      <c r="BB61"/>
      <c r="BC61"/>
      <c r="BD61"/>
      <c r="BE61"/>
      <c r="BF61"/>
      <c r="BG61"/>
      <c r="BH61"/>
      <c r="BI61"/>
      <c r="BJ61"/>
      <c r="BK61"/>
      <c r="BL61"/>
      <c r="BM61"/>
      <c r="BN61"/>
      <c r="BO61"/>
      <c r="BP61"/>
      <c r="BQ61"/>
      <c r="BR61"/>
      <c r="BY61"/>
      <c r="BZ61"/>
      <c r="CA61"/>
      <c r="CB61"/>
      <c r="CC61"/>
      <c r="CD61"/>
      <c r="CE61"/>
      <c r="CF61"/>
      <c r="CG61"/>
      <c r="CH61"/>
      <c r="CI61"/>
      <c r="CJ61"/>
      <c r="CK61"/>
      <c r="CL61"/>
      <c r="CM61"/>
      <c r="CN61"/>
      <c r="CO61"/>
      <c r="CP61"/>
      <c r="CQ61"/>
      <c r="CR61"/>
      <c r="CS61"/>
      <c r="CT61"/>
      <c r="CU61"/>
      <c r="CV61"/>
      <c r="CW61"/>
      <c r="CX61"/>
      <c r="CY61"/>
    </row>
    <row r="62" spans="2:103" ht="20.100000000000001" customHeight="1" x14ac:dyDescent="0.25">
      <c r="B62" s="68"/>
      <c r="C62" s="97"/>
      <c r="D62" s="68"/>
      <c r="E62" s="132"/>
      <c r="F62" s="69"/>
      <c r="G62" s="69"/>
      <c r="H62" s="130"/>
      <c r="I62" s="133"/>
      <c r="J62" s="67"/>
      <c r="K62" s="112"/>
      <c r="L62" s="92"/>
      <c r="M62" s="92"/>
      <c r="N62" s="92"/>
      <c r="O62" s="92"/>
      <c r="P62" s="92"/>
      <c r="Q62" s="92"/>
      <c r="R62" s="84"/>
      <c r="S62" s="92"/>
      <c r="T62" s="92"/>
      <c r="U62" s="107"/>
      <c r="V62" s="33"/>
      <c r="W62" s="104"/>
      <c r="X62" s="45"/>
      <c r="Y62" s="45"/>
      <c r="Z62" s="93"/>
      <c r="AA62" s="8"/>
      <c r="AB62" s="93"/>
      <c r="AC62" s="93"/>
      <c r="AD62" s="93"/>
      <c r="AE62" s="93"/>
      <c r="AF62" s="93"/>
      <c r="AG62" s="93"/>
      <c r="AH62" s="93"/>
      <c r="AI62" s="93"/>
      <c r="AJ62" s="93"/>
      <c r="AK62" s="93"/>
      <c r="AL62" s="93"/>
      <c r="AM62" s="93"/>
      <c r="AN62" s="89"/>
      <c r="AX62"/>
      <c r="AY62"/>
      <c r="AZ62"/>
      <c r="BA62"/>
      <c r="BB62"/>
      <c r="BC62"/>
      <c r="BD62"/>
      <c r="BE62"/>
      <c r="BF62"/>
      <c r="BG62"/>
      <c r="BH62"/>
      <c r="BI62"/>
      <c r="BJ62"/>
      <c r="BK62"/>
      <c r="BL62"/>
      <c r="BM62"/>
      <c r="BN62"/>
      <c r="BO62"/>
      <c r="BP62"/>
      <c r="BQ62"/>
      <c r="BR62"/>
      <c r="BY62"/>
      <c r="BZ62"/>
      <c r="CA62"/>
      <c r="CB62"/>
      <c r="CC62"/>
      <c r="CD62"/>
      <c r="CE62"/>
      <c r="CF62"/>
      <c r="CG62"/>
      <c r="CH62"/>
      <c r="CI62"/>
      <c r="CJ62"/>
      <c r="CK62"/>
      <c r="CL62"/>
      <c r="CM62"/>
      <c r="CN62"/>
      <c r="CO62"/>
      <c r="CP62"/>
      <c r="CQ62"/>
      <c r="CR62"/>
      <c r="CS62"/>
      <c r="CT62"/>
      <c r="CU62"/>
      <c r="CV62"/>
      <c r="CW62"/>
      <c r="CX62"/>
      <c r="CY62"/>
    </row>
    <row r="63" spans="2:103" ht="20.100000000000001" customHeight="1" x14ac:dyDescent="0.25">
      <c r="B63" s="68"/>
      <c r="C63" s="68"/>
      <c r="D63" s="68"/>
      <c r="E63" s="68"/>
      <c r="F63" s="69"/>
      <c r="G63" s="69"/>
      <c r="H63" s="69"/>
      <c r="I63" s="70"/>
      <c r="J63" s="67"/>
      <c r="K63" s="112"/>
      <c r="L63" s="4"/>
      <c r="M63" s="4"/>
      <c r="N63" s="4"/>
      <c r="O63" s="4"/>
      <c r="P63" s="4"/>
      <c r="Q63" s="4"/>
      <c r="R63" s="84"/>
      <c r="S63" s="4"/>
      <c r="T63" s="4"/>
      <c r="U63" s="107"/>
      <c r="V63" s="33"/>
      <c r="W63" s="104"/>
      <c r="X63" s="94"/>
      <c r="Y63" s="94"/>
      <c r="Z63" s="93"/>
      <c r="AA63" s="8"/>
      <c r="AB63" s="93"/>
      <c r="AC63" s="93"/>
      <c r="AD63" s="93"/>
      <c r="AE63" s="8"/>
      <c r="AF63" s="8"/>
      <c r="AG63" s="8"/>
      <c r="AH63" s="8"/>
      <c r="AI63" s="8"/>
      <c r="AJ63" s="8"/>
      <c r="AK63" s="8"/>
      <c r="AL63" s="8"/>
      <c r="AM63" s="93"/>
      <c r="AN63" s="89"/>
      <c r="AX63"/>
      <c r="AY63"/>
      <c r="AZ63"/>
      <c r="BA63"/>
      <c r="BB63"/>
      <c r="BC63"/>
      <c r="BD63"/>
      <c r="BE63"/>
      <c r="BF63"/>
      <c r="BG63"/>
      <c r="BH63"/>
      <c r="BI63"/>
      <c r="BJ63"/>
      <c r="BK63"/>
      <c r="BL63"/>
      <c r="BM63"/>
      <c r="BN63"/>
      <c r="BO63"/>
      <c r="BP63"/>
      <c r="BQ63"/>
      <c r="BR63"/>
      <c r="BY63"/>
      <c r="BZ63"/>
      <c r="CA63"/>
      <c r="CB63"/>
      <c r="CC63"/>
      <c r="CD63"/>
      <c r="CE63"/>
      <c r="CF63"/>
      <c r="CG63"/>
      <c r="CH63"/>
      <c r="CI63"/>
      <c r="CJ63"/>
      <c r="CK63"/>
      <c r="CL63"/>
      <c r="CM63"/>
      <c r="CN63"/>
      <c r="CO63"/>
      <c r="CP63"/>
      <c r="CQ63"/>
      <c r="CR63"/>
      <c r="CS63"/>
      <c r="CT63"/>
      <c r="CU63"/>
      <c r="CV63"/>
      <c r="CW63"/>
      <c r="CX63"/>
      <c r="CY63"/>
    </row>
    <row r="64" spans="2:103" ht="20.100000000000001" customHeight="1" x14ac:dyDescent="0.25">
      <c r="B64" s="68"/>
      <c r="C64" s="68"/>
      <c r="D64" s="68"/>
      <c r="E64" s="68"/>
      <c r="F64" s="69"/>
      <c r="G64" s="69"/>
      <c r="H64" s="69"/>
      <c r="I64" s="70"/>
      <c r="J64" s="67"/>
      <c r="K64" s="112"/>
      <c r="L64" s="4"/>
      <c r="M64" s="4"/>
      <c r="N64" s="4"/>
      <c r="O64" s="4"/>
      <c r="P64" s="4"/>
      <c r="Q64" s="4"/>
      <c r="R64" s="84"/>
      <c r="S64" s="4"/>
      <c r="T64" s="4"/>
      <c r="U64" s="107"/>
      <c r="V64" s="33"/>
      <c r="W64" s="104"/>
      <c r="X64" s="94"/>
      <c r="Y64" s="94"/>
      <c r="Z64" s="93"/>
      <c r="AA64" s="8"/>
      <c r="AB64" s="93"/>
      <c r="AC64" s="93"/>
      <c r="AD64" s="93"/>
      <c r="AE64" s="8"/>
      <c r="AF64" s="8"/>
      <c r="AG64" s="8"/>
      <c r="AH64" s="8"/>
      <c r="AI64" s="8"/>
      <c r="AJ64" s="8"/>
      <c r="AK64" s="8"/>
      <c r="AL64" s="8"/>
      <c r="AM64" s="93"/>
      <c r="AN64" s="89"/>
      <c r="AX64"/>
      <c r="AY64"/>
      <c r="AZ64"/>
      <c r="BA64"/>
      <c r="BB64"/>
      <c r="BC64"/>
      <c r="BD64"/>
      <c r="BE64"/>
      <c r="BF64"/>
      <c r="BG64"/>
      <c r="BH64"/>
      <c r="BI64"/>
      <c r="BJ64"/>
      <c r="BK64"/>
      <c r="BL64"/>
      <c r="BM64"/>
      <c r="BN64"/>
      <c r="BO64"/>
      <c r="BP64"/>
      <c r="BQ64"/>
      <c r="BR64"/>
      <c r="BY64"/>
      <c r="BZ64"/>
      <c r="CA64"/>
      <c r="CB64"/>
      <c r="CC64"/>
      <c r="CD64"/>
      <c r="CE64"/>
      <c r="CF64"/>
      <c r="CG64"/>
      <c r="CH64"/>
      <c r="CI64"/>
      <c r="CJ64"/>
      <c r="CK64"/>
      <c r="CL64"/>
      <c r="CM64"/>
      <c r="CN64"/>
      <c r="CO64"/>
      <c r="CP64"/>
      <c r="CQ64"/>
      <c r="CR64"/>
      <c r="CS64"/>
      <c r="CT64"/>
      <c r="CU64"/>
      <c r="CV64"/>
      <c r="CW64"/>
      <c r="CX64"/>
      <c r="CY64"/>
    </row>
    <row r="65" spans="2:103" ht="20.100000000000001" customHeight="1" x14ac:dyDescent="0.25">
      <c r="B65" s="68"/>
      <c r="C65" s="68"/>
      <c r="D65" s="68"/>
      <c r="E65" s="68"/>
      <c r="F65" s="69"/>
      <c r="G65" s="69"/>
      <c r="H65" s="69"/>
      <c r="I65" s="70"/>
      <c r="J65" s="67"/>
      <c r="K65" s="112"/>
      <c r="L65" s="4"/>
      <c r="M65" s="4"/>
      <c r="N65" s="4"/>
      <c r="O65" s="4"/>
      <c r="P65" s="4"/>
      <c r="Q65" s="4"/>
      <c r="R65" s="84"/>
      <c r="S65" s="4"/>
      <c r="T65" s="4"/>
      <c r="U65" s="107"/>
      <c r="V65" s="33"/>
      <c r="W65" s="104"/>
      <c r="X65" s="94"/>
      <c r="Y65" s="94"/>
      <c r="Z65" s="93"/>
      <c r="AA65" s="8"/>
      <c r="AB65" s="93"/>
      <c r="AC65" s="93"/>
      <c r="AD65" s="93"/>
      <c r="AE65" s="8"/>
      <c r="AF65" s="8"/>
      <c r="AG65" s="8"/>
      <c r="AH65" s="8"/>
      <c r="AI65" s="8"/>
      <c r="AJ65" s="8"/>
      <c r="AK65" s="8"/>
      <c r="AL65" s="8"/>
      <c r="AM65" s="93"/>
      <c r="AN65" s="89"/>
      <c r="AX65"/>
      <c r="AY65"/>
      <c r="AZ65"/>
      <c r="BA65"/>
      <c r="BB65"/>
      <c r="BC65"/>
      <c r="BD65"/>
      <c r="BE65"/>
      <c r="BF65"/>
      <c r="BG65"/>
      <c r="BH65"/>
      <c r="BI65"/>
      <c r="BJ65"/>
      <c r="BK65"/>
      <c r="BL65"/>
      <c r="BM65"/>
      <c r="BN65"/>
      <c r="BO65"/>
      <c r="BP65"/>
      <c r="BQ65"/>
      <c r="BR65"/>
      <c r="BY65"/>
      <c r="BZ65"/>
      <c r="CA65"/>
      <c r="CB65"/>
      <c r="CC65"/>
      <c r="CD65"/>
      <c r="CE65"/>
      <c r="CF65"/>
      <c r="CG65"/>
      <c r="CH65"/>
      <c r="CI65"/>
      <c r="CJ65"/>
      <c r="CK65"/>
      <c r="CL65"/>
      <c r="CM65"/>
      <c r="CN65"/>
      <c r="CO65"/>
      <c r="CP65"/>
      <c r="CQ65"/>
      <c r="CR65"/>
      <c r="CS65"/>
      <c r="CT65"/>
      <c r="CU65"/>
      <c r="CV65"/>
      <c r="CW65"/>
      <c r="CX65"/>
      <c r="CY65"/>
    </row>
    <row r="66" spans="2:103" ht="20.100000000000001" customHeight="1" x14ac:dyDescent="0.25">
      <c r="B66" s="68"/>
      <c r="C66" s="68"/>
      <c r="D66" s="68"/>
      <c r="E66" s="68"/>
      <c r="F66" s="69"/>
      <c r="G66" s="69"/>
      <c r="H66" s="69"/>
      <c r="I66" s="70"/>
      <c r="J66" s="67"/>
      <c r="K66" s="112"/>
      <c r="L66" s="4"/>
      <c r="M66" s="4"/>
      <c r="N66" s="4"/>
      <c r="O66" s="4"/>
      <c r="P66" s="4"/>
      <c r="Q66" s="4"/>
      <c r="R66" s="84"/>
      <c r="S66" s="4"/>
      <c r="T66" s="4"/>
      <c r="U66" s="107"/>
      <c r="V66" s="33"/>
      <c r="W66" s="104"/>
      <c r="X66" s="94"/>
      <c r="Y66" s="94"/>
      <c r="Z66" s="93"/>
      <c r="AA66" s="8"/>
      <c r="AB66" s="93"/>
      <c r="AC66" s="93"/>
      <c r="AD66" s="93"/>
      <c r="AE66" s="8"/>
      <c r="AF66" s="8"/>
      <c r="AG66" s="8"/>
      <c r="AH66" s="8"/>
      <c r="AI66" s="8"/>
      <c r="AJ66" s="8"/>
      <c r="AK66" s="8"/>
      <c r="AL66" s="8"/>
      <c r="AM66" s="93"/>
      <c r="AN66" s="89"/>
      <c r="AX66"/>
      <c r="AY66"/>
      <c r="AZ66"/>
      <c r="BA66"/>
      <c r="BB66"/>
      <c r="BC66"/>
      <c r="BD66"/>
      <c r="BE66"/>
      <c r="BF66"/>
      <c r="BG66"/>
      <c r="BH66"/>
      <c r="BI66"/>
      <c r="BJ66"/>
      <c r="BK66"/>
      <c r="BL66"/>
      <c r="BM66"/>
      <c r="BN66"/>
      <c r="BO66"/>
      <c r="BP66"/>
      <c r="BQ66"/>
      <c r="BR66"/>
      <c r="BY66"/>
      <c r="BZ66"/>
      <c r="CA66"/>
      <c r="CB66"/>
      <c r="CC66"/>
      <c r="CD66"/>
      <c r="CE66"/>
      <c r="CF66"/>
      <c r="CG66"/>
      <c r="CH66"/>
      <c r="CI66"/>
      <c r="CJ66"/>
      <c r="CK66"/>
      <c r="CL66"/>
      <c r="CM66"/>
      <c r="CN66"/>
      <c r="CO66"/>
      <c r="CP66"/>
      <c r="CQ66"/>
      <c r="CR66"/>
      <c r="CS66"/>
      <c r="CT66"/>
      <c r="CU66"/>
      <c r="CV66"/>
      <c r="CW66"/>
      <c r="CX66"/>
      <c r="CY66"/>
    </row>
    <row r="67" spans="2:103" ht="20.100000000000001" customHeight="1" x14ac:dyDescent="0.25">
      <c r="B67" s="68"/>
      <c r="C67" s="68"/>
      <c r="D67" s="68"/>
      <c r="E67" s="68"/>
      <c r="F67" s="69"/>
      <c r="G67" s="69"/>
      <c r="H67" s="69"/>
      <c r="I67" s="70"/>
      <c r="J67" s="67"/>
      <c r="K67" s="112"/>
      <c r="L67" s="4"/>
      <c r="M67" s="4"/>
      <c r="N67" s="4"/>
      <c r="O67" s="4"/>
      <c r="P67" s="4"/>
      <c r="Q67" s="4"/>
      <c r="R67" s="84"/>
      <c r="S67" s="4"/>
      <c r="T67" s="4"/>
      <c r="U67" s="107"/>
      <c r="V67" s="33"/>
      <c r="W67" s="104"/>
      <c r="X67" s="94"/>
      <c r="Y67" s="94"/>
      <c r="Z67" s="93"/>
      <c r="AA67" s="8"/>
      <c r="AB67" s="93"/>
      <c r="AC67" s="93"/>
      <c r="AD67" s="93"/>
      <c r="AE67" s="8"/>
      <c r="AF67" s="8"/>
      <c r="AG67" s="8"/>
      <c r="AH67" s="8"/>
      <c r="AI67" s="8"/>
      <c r="AJ67" s="8"/>
      <c r="AK67" s="8"/>
      <c r="AL67" s="8"/>
      <c r="AM67" s="93"/>
      <c r="AN67" s="89"/>
      <c r="AX67"/>
      <c r="AY67"/>
      <c r="AZ67"/>
      <c r="BA67"/>
      <c r="BB67"/>
      <c r="BC67"/>
      <c r="BD67"/>
      <c r="BE67"/>
      <c r="BF67"/>
      <c r="BG67"/>
      <c r="BH67"/>
      <c r="BI67"/>
      <c r="BJ67"/>
      <c r="BK67"/>
      <c r="BL67"/>
      <c r="BM67"/>
      <c r="BN67"/>
      <c r="BO67"/>
      <c r="BP67"/>
      <c r="BQ67"/>
      <c r="BR67"/>
      <c r="BY67"/>
      <c r="BZ67"/>
      <c r="CA67"/>
      <c r="CB67"/>
      <c r="CC67"/>
      <c r="CD67"/>
      <c r="CE67"/>
      <c r="CF67"/>
      <c r="CG67"/>
      <c r="CH67"/>
      <c r="CI67"/>
      <c r="CJ67"/>
      <c r="CK67"/>
      <c r="CL67"/>
      <c r="CM67"/>
      <c r="CN67"/>
      <c r="CO67"/>
      <c r="CP67"/>
      <c r="CQ67"/>
      <c r="CR67"/>
      <c r="CS67"/>
      <c r="CT67"/>
      <c r="CU67"/>
      <c r="CV67"/>
      <c r="CW67"/>
      <c r="CX67"/>
      <c r="CY67"/>
    </row>
    <row r="68" spans="2:103" ht="20.100000000000001" customHeight="1" x14ac:dyDescent="0.25">
      <c r="B68" s="68"/>
      <c r="C68" s="68"/>
      <c r="D68" s="68"/>
      <c r="E68" s="68"/>
      <c r="F68" s="69"/>
      <c r="G68" s="69"/>
      <c r="H68" s="69"/>
      <c r="I68" s="70"/>
      <c r="J68" s="67"/>
      <c r="K68" s="112"/>
      <c r="L68" s="4"/>
      <c r="M68" s="4"/>
      <c r="N68" s="4"/>
      <c r="O68" s="4"/>
      <c r="P68" s="4"/>
      <c r="Q68" s="4"/>
      <c r="R68" s="84"/>
      <c r="S68" s="4"/>
      <c r="T68" s="4"/>
      <c r="U68" s="107"/>
      <c r="V68" s="33"/>
      <c r="W68" s="104"/>
      <c r="X68" s="94"/>
      <c r="Y68" s="94"/>
      <c r="Z68" s="93"/>
      <c r="AA68" s="8"/>
      <c r="AB68" s="93"/>
      <c r="AC68" s="93"/>
      <c r="AD68" s="93"/>
      <c r="AE68" s="8"/>
      <c r="AF68" s="8"/>
      <c r="AG68" s="8"/>
      <c r="AH68" s="8"/>
      <c r="AI68" s="8"/>
      <c r="AJ68" s="8"/>
      <c r="AK68" s="8"/>
      <c r="AL68" s="8"/>
      <c r="AM68" s="93"/>
      <c r="AN68" s="89"/>
      <c r="AX68"/>
      <c r="AY68"/>
      <c r="AZ68"/>
      <c r="BA68"/>
      <c r="BB68"/>
      <c r="BC68"/>
      <c r="BD68"/>
      <c r="BE68"/>
      <c r="BF68"/>
      <c r="BG68"/>
      <c r="BH68"/>
      <c r="BI68"/>
      <c r="BJ68"/>
      <c r="BK68"/>
      <c r="BL68"/>
      <c r="BM68"/>
      <c r="BN68"/>
      <c r="BO68"/>
      <c r="BP68"/>
      <c r="BQ68"/>
      <c r="BR68"/>
      <c r="BY68"/>
      <c r="BZ68"/>
      <c r="CA68"/>
      <c r="CB68"/>
      <c r="CC68"/>
      <c r="CD68"/>
      <c r="CE68"/>
      <c r="CF68"/>
      <c r="CG68"/>
      <c r="CH68"/>
      <c r="CI68"/>
      <c r="CJ68"/>
      <c r="CK68"/>
      <c r="CL68"/>
      <c r="CM68"/>
      <c r="CN68"/>
      <c r="CO68"/>
      <c r="CP68"/>
      <c r="CQ68"/>
      <c r="CR68"/>
      <c r="CS68"/>
      <c r="CT68"/>
      <c r="CU68"/>
      <c r="CV68"/>
      <c r="CW68"/>
      <c r="CX68"/>
      <c r="CY68"/>
    </row>
    <row r="69" spans="2:103" ht="20.100000000000001" customHeight="1" x14ac:dyDescent="0.25">
      <c r="B69" s="68"/>
      <c r="C69" s="68"/>
      <c r="D69" s="68"/>
      <c r="E69" s="68"/>
      <c r="F69" s="69"/>
      <c r="G69" s="69"/>
      <c r="H69" s="69"/>
      <c r="I69" s="70"/>
      <c r="J69" s="67"/>
      <c r="K69" s="112"/>
      <c r="L69" s="4"/>
      <c r="M69" s="4"/>
      <c r="N69" s="4"/>
      <c r="O69" s="4"/>
      <c r="P69" s="4"/>
      <c r="Q69" s="4"/>
      <c r="R69" s="84"/>
      <c r="S69" s="4"/>
      <c r="T69" s="4"/>
      <c r="U69" s="107"/>
      <c r="V69" s="33"/>
      <c r="W69" s="104"/>
      <c r="X69" s="94"/>
      <c r="Y69" s="94"/>
      <c r="Z69" s="93"/>
      <c r="AA69" s="8"/>
      <c r="AB69" s="93"/>
      <c r="AC69" s="93"/>
      <c r="AD69" s="93"/>
      <c r="AE69" s="8"/>
      <c r="AF69" s="8"/>
      <c r="AG69" s="8"/>
      <c r="AH69" s="8"/>
      <c r="AI69" s="8"/>
      <c r="AJ69" s="8"/>
      <c r="AK69" s="8"/>
      <c r="AL69" s="8"/>
      <c r="AM69" s="93"/>
      <c r="AN69" s="89"/>
      <c r="AX69"/>
      <c r="AY69"/>
      <c r="AZ69"/>
      <c r="BA69"/>
      <c r="BB69"/>
      <c r="BC69"/>
      <c r="BD69"/>
      <c r="BE69"/>
      <c r="BF69"/>
      <c r="BG69"/>
      <c r="BH69"/>
      <c r="BI69"/>
      <c r="BJ69"/>
      <c r="BK69"/>
      <c r="BL69"/>
      <c r="BM69"/>
      <c r="BN69"/>
      <c r="BO69"/>
      <c r="BP69"/>
      <c r="BQ69"/>
      <c r="BR69"/>
      <c r="BY69"/>
      <c r="BZ69"/>
      <c r="CA69"/>
      <c r="CB69"/>
      <c r="CC69"/>
      <c r="CD69"/>
      <c r="CE69"/>
      <c r="CF69"/>
      <c r="CG69"/>
      <c r="CH69"/>
      <c r="CI69"/>
      <c r="CJ69"/>
      <c r="CK69"/>
      <c r="CL69"/>
      <c r="CM69"/>
      <c r="CN69"/>
      <c r="CO69"/>
      <c r="CP69"/>
      <c r="CQ69"/>
      <c r="CR69"/>
      <c r="CS69"/>
      <c r="CT69"/>
      <c r="CU69"/>
      <c r="CV69"/>
      <c r="CW69"/>
      <c r="CX69"/>
      <c r="CY69"/>
    </row>
    <row r="70" spans="2:103" ht="20.100000000000001" customHeight="1" x14ac:dyDescent="0.25">
      <c r="B70" s="68"/>
      <c r="C70" s="68"/>
      <c r="D70" s="68"/>
      <c r="E70" s="68"/>
      <c r="F70" s="69"/>
      <c r="G70" s="69"/>
      <c r="H70" s="69"/>
      <c r="I70" s="70"/>
      <c r="J70" s="67"/>
      <c r="K70" s="112"/>
      <c r="L70" s="4"/>
      <c r="M70" s="4"/>
      <c r="N70" s="4"/>
      <c r="O70" s="4"/>
      <c r="P70" s="4"/>
      <c r="Q70" s="4"/>
      <c r="R70" s="84"/>
      <c r="S70" s="4"/>
      <c r="T70" s="4"/>
      <c r="U70" s="107"/>
      <c r="V70" s="33"/>
      <c r="W70" s="104"/>
      <c r="X70" s="94"/>
      <c r="Y70" s="94"/>
      <c r="Z70" s="93"/>
      <c r="AA70" s="8"/>
      <c r="AB70" s="93"/>
      <c r="AC70" s="93"/>
      <c r="AD70" s="93"/>
      <c r="AE70" s="8"/>
      <c r="AF70" s="8"/>
      <c r="AG70" s="8"/>
      <c r="AH70" s="8"/>
      <c r="AI70" s="8"/>
      <c r="AJ70" s="8"/>
      <c r="AK70" s="8"/>
      <c r="AL70" s="8"/>
      <c r="AM70" s="93"/>
      <c r="AN70" s="89"/>
      <c r="AX70"/>
      <c r="AY70"/>
      <c r="AZ70"/>
      <c r="BA70"/>
      <c r="BB70"/>
      <c r="BC70"/>
      <c r="BD70"/>
      <c r="BE70"/>
      <c r="BF70"/>
      <c r="BG70"/>
      <c r="BH70"/>
      <c r="BI70"/>
      <c r="BJ70"/>
      <c r="BK70"/>
      <c r="BL70"/>
      <c r="BM70"/>
      <c r="BN70"/>
      <c r="BO70"/>
      <c r="BP70"/>
      <c r="BQ70"/>
      <c r="BR70"/>
      <c r="BY70"/>
      <c r="BZ70"/>
      <c r="CA70"/>
      <c r="CB70"/>
      <c r="CC70"/>
      <c r="CD70"/>
      <c r="CE70"/>
      <c r="CF70"/>
      <c r="CG70"/>
      <c r="CH70"/>
      <c r="CI70"/>
      <c r="CJ70"/>
      <c r="CK70"/>
      <c r="CL70"/>
      <c r="CM70"/>
      <c r="CN70"/>
      <c r="CO70"/>
      <c r="CP70"/>
      <c r="CQ70"/>
      <c r="CR70"/>
      <c r="CS70"/>
      <c r="CT70"/>
      <c r="CU70"/>
      <c r="CV70"/>
      <c r="CW70"/>
      <c r="CX70"/>
      <c r="CY70"/>
    </row>
    <row r="71" spans="2:103" ht="20.100000000000001" customHeight="1" x14ac:dyDescent="0.25">
      <c r="B71" s="68"/>
      <c r="C71" s="68"/>
      <c r="D71" s="68"/>
      <c r="E71" s="68"/>
      <c r="F71" s="69"/>
      <c r="G71" s="69"/>
      <c r="H71" s="69"/>
      <c r="I71" s="70"/>
      <c r="J71" s="67"/>
      <c r="K71" s="112"/>
      <c r="L71" s="4"/>
      <c r="M71" s="4"/>
      <c r="N71" s="4"/>
      <c r="O71" s="4"/>
      <c r="P71" s="4"/>
      <c r="Q71" s="4"/>
      <c r="R71" s="84"/>
      <c r="S71" s="4"/>
      <c r="T71" s="4"/>
      <c r="U71" s="107"/>
      <c r="V71" s="33"/>
      <c r="W71" s="104"/>
      <c r="X71" s="94"/>
      <c r="Y71" s="94"/>
      <c r="Z71" s="93"/>
      <c r="AA71" s="8"/>
      <c r="AB71" s="93"/>
      <c r="AC71" s="93"/>
      <c r="AD71" s="93"/>
      <c r="AE71" s="8"/>
      <c r="AF71" s="8"/>
      <c r="AG71" s="8"/>
      <c r="AH71" s="8"/>
      <c r="AI71" s="8"/>
      <c r="AJ71" s="8"/>
      <c r="AK71" s="8"/>
      <c r="AL71" s="8"/>
      <c r="AM71" s="93"/>
      <c r="AN71" s="89"/>
      <c r="AX71"/>
      <c r="AY71"/>
      <c r="AZ71"/>
      <c r="BA71"/>
      <c r="BB71"/>
      <c r="BC71"/>
      <c r="BD71"/>
      <c r="BE71"/>
      <c r="BF71"/>
      <c r="BG71"/>
      <c r="BH71"/>
      <c r="BI71"/>
      <c r="BJ71"/>
      <c r="BK71"/>
      <c r="BL71"/>
      <c r="BM71"/>
      <c r="BN71"/>
      <c r="BO71"/>
      <c r="BP71"/>
      <c r="BQ71"/>
      <c r="BR71"/>
      <c r="BY71"/>
      <c r="BZ71"/>
      <c r="CA71"/>
      <c r="CB71"/>
      <c r="CC71"/>
      <c r="CD71"/>
      <c r="CE71"/>
      <c r="CF71"/>
      <c r="CG71"/>
      <c r="CH71"/>
      <c r="CI71"/>
      <c r="CJ71"/>
      <c r="CK71"/>
      <c r="CL71"/>
      <c r="CM71"/>
      <c r="CN71"/>
      <c r="CO71"/>
      <c r="CP71"/>
      <c r="CQ71"/>
      <c r="CR71"/>
      <c r="CS71"/>
      <c r="CT71"/>
      <c r="CU71"/>
      <c r="CV71"/>
      <c r="CW71"/>
      <c r="CX71"/>
      <c r="CY71"/>
    </row>
    <row r="72" spans="2:103" ht="20.100000000000001" customHeight="1" x14ac:dyDescent="0.25">
      <c r="B72" s="68"/>
      <c r="C72" s="68"/>
      <c r="D72" s="68"/>
      <c r="E72" s="68"/>
      <c r="F72" s="69"/>
      <c r="G72" s="69"/>
      <c r="H72" s="69"/>
      <c r="I72" s="70"/>
      <c r="J72" s="67"/>
      <c r="K72" s="112"/>
      <c r="L72" s="4"/>
      <c r="M72" s="4"/>
      <c r="N72" s="4"/>
      <c r="O72" s="4"/>
      <c r="P72" s="4"/>
      <c r="Q72" s="4"/>
      <c r="R72" s="84"/>
      <c r="S72" s="4"/>
      <c r="T72" s="4"/>
      <c r="U72" s="107"/>
      <c r="V72" s="33"/>
      <c r="W72" s="104"/>
      <c r="X72" s="94"/>
      <c r="Y72" s="94"/>
      <c r="Z72" s="93"/>
      <c r="AA72" s="8"/>
      <c r="AB72" s="93"/>
      <c r="AC72" s="93"/>
      <c r="AD72" s="93"/>
      <c r="AE72" s="8"/>
      <c r="AF72" s="8"/>
      <c r="AG72" s="8"/>
      <c r="AH72" s="8"/>
      <c r="AI72" s="8"/>
      <c r="AJ72" s="8"/>
      <c r="AK72" s="8"/>
      <c r="AL72" s="8"/>
      <c r="AM72" s="93"/>
      <c r="AN72" s="89"/>
      <c r="AX72"/>
      <c r="AY72"/>
      <c r="AZ72"/>
      <c r="BA72"/>
      <c r="BB72"/>
      <c r="BC72"/>
      <c r="BD72"/>
      <c r="BE72"/>
      <c r="BF72"/>
      <c r="BG72"/>
      <c r="BH72"/>
      <c r="BI72"/>
      <c r="BJ72"/>
      <c r="BK72"/>
      <c r="BL72"/>
      <c r="BM72"/>
      <c r="BN72"/>
      <c r="BO72"/>
      <c r="BP72"/>
      <c r="BQ72"/>
      <c r="BR72"/>
      <c r="BY72"/>
      <c r="BZ72"/>
      <c r="CA72"/>
      <c r="CB72"/>
      <c r="CC72"/>
      <c r="CD72"/>
      <c r="CE72"/>
      <c r="CF72"/>
      <c r="CG72"/>
      <c r="CH72"/>
      <c r="CI72"/>
      <c r="CJ72"/>
      <c r="CK72"/>
      <c r="CL72"/>
      <c r="CM72"/>
      <c r="CN72"/>
      <c r="CO72"/>
      <c r="CP72"/>
      <c r="CQ72"/>
      <c r="CR72"/>
      <c r="CS72"/>
      <c r="CT72"/>
      <c r="CU72"/>
      <c r="CV72"/>
      <c r="CW72"/>
      <c r="CX72"/>
      <c r="CY72"/>
    </row>
    <row r="73" spans="2:103" ht="20.100000000000001" customHeight="1" x14ac:dyDescent="0.25">
      <c r="B73" s="68"/>
      <c r="C73" s="68"/>
      <c r="D73" s="68"/>
      <c r="E73" s="68"/>
      <c r="F73" s="69"/>
      <c r="G73" s="69"/>
      <c r="H73" s="69"/>
      <c r="I73" s="70"/>
      <c r="J73" s="67"/>
      <c r="K73" s="112"/>
      <c r="L73" s="4"/>
      <c r="M73" s="4"/>
      <c r="N73" s="4"/>
      <c r="O73" s="4"/>
      <c r="P73" s="4"/>
      <c r="Q73" s="4"/>
      <c r="R73" s="84"/>
      <c r="S73" s="4"/>
      <c r="T73" s="4"/>
      <c r="U73" s="107"/>
      <c r="V73" s="33"/>
      <c r="W73" s="104"/>
      <c r="X73" s="94"/>
      <c r="Y73" s="94"/>
      <c r="Z73" s="93"/>
      <c r="AA73" s="8"/>
      <c r="AB73" s="93"/>
      <c r="AC73" s="93"/>
      <c r="AD73" s="93"/>
      <c r="AE73" s="8"/>
      <c r="AF73" s="8"/>
      <c r="AG73" s="8"/>
      <c r="AH73" s="8"/>
      <c r="AI73" s="8"/>
      <c r="AJ73" s="8"/>
      <c r="AK73" s="8"/>
      <c r="AL73" s="8"/>
      <c r="AM73" s="93"/>
      <c r="AN73" s="89"/>
      <c r="AX73"/>
      <c r="AY73"/>
      <c r="AZ73"/>
      <c r="BA73"/>
      <c r="BB73"/>
      <c r="BC73"/>
      <c r="BD73"/>
      <c r="BE73"/>
      <c r="BF73"/>
      <c r="BG73"/>
      <c r="BH73"/>
      <c r="BI73"/>
      <c r="BJ73"/>
      <c r="BK73"/>
      <c r="BL73"/>
      <c r="BM73"/>
      <c r="BN73"/>
      <c r="BO73"/>
      <c r="BP73"/>
      <c r="BQ73"/>
      <c r="BR73"/>
      <c r="BY73"/>
      <c r="BZ73"/>
      <c r="CA73"/>
      <c r="CB73"/>
      <c r="CC73"/>
      <c r="CD73"/>
      <c r="CE73"/>
      <c r="CF73"/>
      <c r="CG73"/>
      <c r="CH73"/>
      <c r="CI73"/>
      <c r="CJ73"/>
      <c r="CK73"/>
      <c r="CL73"/>
      <c r="CM73"/>
      <c r="CN73"/>
      <c r="CO73"/>
      <c r="CP73"/>
      <c r="CQ73"/>
      <c r="CR73"/>
      <c r="CS73"/>
      <c r="CT73"/>
      <c r="CU73"/>
      <c r="CV73"/>
      <c r="CW73"/>
      <c r="CX73"/>
      <c r="CY73"/>
    </row>
    <row r="74" spans="2:103" ht="20.100000000000001" customHeight="1" x14ac:dyDescent="0.25">
      <c r="B74" s="68"/>
      <c r="C74" s="68"/>
      <c r="D74" s="68"/>
      <c r="E74" s="68"/>
      <c r="F74" s="69"/>
      <c r="G74" s="69"/>
      <c r="H74" s="69"/>
      <c r="I74" s="70"/>
      <c r="J74" s="67"/>
      <c r="K74" s="112"/>
      <c r="L74" s="4"/>
      <c r="M74" s="4"/>
      <c r="N74" s="4"/>
      <c r="O74" s="4"/>
      <c r="P74" s="4"/>
      <c r="Q74" s="4"/>
      <c r="R74" s="84"/>
      <c r="S74" s="4"/>
      <c r="T74" s="4"/>
      <c r="U74" s="107"/>
      <c r="V74" s="33"/>
      <c r="W74" s="104"/>
      <c r="X74" s="94"/>
      <c r="Y74" s="94"/>
      <c r="Z74" s="93"/>
      <c r="AA74" s="8"/>
      <c r="AB74" s="93"/>
      <c r="AC74" s="93"/>
      <c r="AD74" s="93"/>
      <c r="AE74" s="8"/>
      <c r="AF74" s="8"/>
      <c r="AG74" s="8"/>
      <c r="AH74" s="8"/>
      <c r="AI74" s="8"/>
      <c r="AJ74" s="8"/>
      <c r="AK74" s="8"/>
      <c r="AL74" s="8"/>
      <c r="AM74" s="93"/>
      <c r="AN74" s="89"/>
      <c r="AX74"/>
      <c r="AY74"/>
      <c r="AZ74"/>
      <c r="BA74"/>
      <c r="BB74"/>
      <c r="BC74"/>
      <c r="BD74"/>
      <c r="BE74"/>
      <c r="BF74"/>
      <c r="BG74"/>
      <c r="BH74"/>
      <c r="BI74"/>
      <c r="BJ74"/>
      <c r="BK74"/>
      <c r="BL74"/>
      <c r="BM74"/>
      <c r="BN74"/>
      <c r="BO74"/>
      <c r="BP74"/>
      <c r="BQ74"/>
      <c r="BR74"/>
      <c r="BY74"/>
      <c r="BZ74"/>
      <c r="CA74"/>
      <c r="CB74"/>
      <c r="CC74"/>
      <c r="CD74"/>
      <c r="CE74"/>
      <c r="CF74"/>
      <c r="CG74"/>
      <c r="CH74"/>
      <c r="CI74"/>
      <c r="CJ74"/>
      <c r="CK74"/>
      <c r="CL74"/>
      <c r="CM74"/>
      <c r="CN74"/>
      <c r="CO74"/>
      <c r="CP74"/>
      <c r="CQ74"/>
      <c r="CR74"/>
      <c r="CS74"/>
      <c r="CT74"/>
      <c r="CU74"/>
      <c r="CV74"/>
      <c r="CW74"/>
      <c r="CX74"/>
      <c r="CY74"/>
    </row>
    <row r="75" spans="2:103" ht="20.100000000000001" customHeight="1" x14ac:dyDescent="0.25">
      <c r="B75" s="68"/>
      <c r="C75" s="68"/>
      <c r="D75" s="68"/>
      <c r="E75" s="68"/>
      <c r="F75" s="69"/>
      <c r="G75" s="69"/>
      <c r="H75" s="69"/>
      <c r="I75" s="70"/>
      <c r="J75" s="67"/>
      <c r="K75" s="112"/>
      <c r="L75" s="4"/>
      <c r="M75" s="4"/>
      <c r="N75" s="4"/>
      <c r="O75" s="4"/>
      <c r="P75" s="4"/>
      <c r="Q75" s="4"/>
      <c r="R75" s="84"/>
      <c r="S75" s="4"/>
      <c r="T75" s="4"/>
      <c r="U75" s="107"/>
      <c r="V75" s="33"/>
      <c r="W75" s="104"/>
      <c r="X75" s="94"/>
      <c r="Y75" s="94"/>
      <c r="Z75" s="93"/>
      <c r="AA75" s="8"/>
      <c r="AB75" s="93"/>
      <c r="AC75" s="93"/>
      <c r="AD75" s="93"/>
      <c r="AE75" s="8"/>
      <c r="AF75" s="8"/>
      <c r="AG75" s="8"/>
      <c r="AH75" s="8"/>
      <c r="AI75" s="8"/>
      <c r="AJ75" s="8"/>
      <c r="AK75" s="8"/>
      <c r="AL75" s="8"/>
      <c r="AM75" s="93"/>
      <c r="AN75" s="89"/>
      <c r="AX75"/>
      <c r="AY75"/>
      <c r="AZ75"/>
      <c r="BA75"/>
      <c r="BB75"/>
      <c r="BC75"/>
      <c r="BD75"/>
      <c r="BE75"/>
      <c r="BF75"/>
      <c r="BG75"/>
      <c r="BH75"/>
      <c r="BI75"/>
      <c r="BJ75"/>
      <c r="BK75"/>
      <c r="BL75"/>
      <c r="BM75"/>
      <c r="BN75"/>
      <c r="BO75"/>
      <c r="BP75"/>
      <c r="BQ75"/>
      <c r="BR75"/>
      <c r="BY75"/>
      <c r="BZ75"/>
      <c r="CA75"/>
      <c r="CB75"/>
      <c r="CC75"/>
      <c r="CD75"/>
      <c r="CE75"/>
      <c r="CF75"/>
      <c r="CG75"/>
      <c r="CH75"/>
      <c r="CI75"/>
      <c r="CJ75"/>
      <c r="CK75"/>
      <c r="CL75"/>
      <c r="CM75"/>
      <c r="CN75"/>
      <c r="CO75"/>
      <c r="CP75"/>
      <c r="CQ75"/>
      <c r="CR75"/>
      <c r="CS75"/>
      <c r="CT75"/>
      <c r="CU75"/>
      <c r="CV75"/>
      <c r="CW75"/>
      <c r="CX75"/>
      <c r="CY75"/>
    </row>
    <row r="76" spans="2:103" ht="20.100000000000001" customHeight="1" x14ac:dyDescent="0.25">
      <c r="B76" s="68"/>
      <c r="C76" s="68"/>
      <c r="D76" s="68"/>
      <c r="E76" s="68"/>
      <c r="F76" s="69"/>
      <c r="G76" s="69"/>
      <c r="H76" s="69"/>
      <c r="I76" s="70"/>
      <c r="J76" s="67"/>
      <c r="K76" s="112"/>
      <c r="L76" s="4"/>
      <c r="M76" s="4"/>
      <c r="N76" s="4"/>
      <c r="O76" s="4"/>
      <c r="P76" s="4"/>
      <c r="Q76" s="4"/>
      <c r="R76" s="84"/>
      <c r="S76" s="4"/>
      <c r="T76" s="4"/>
      <c r="U76" s="107"/>
      <c r="V76" s="33"/>
      <c r="W76" s="104"/>
      <c r="X76" s="94"/>
      <c r="Y76" s="94"/>
      <c r="Z76" s="93"/>
      <c r="AA76" s="8"/>
      <c r="AB76" s="93"/>
      <c r="AC76" s="93"/>
      <c r="AD76" s="93"/>
      <c r="AE76" s="8"/>
      <c r="AF76" s="8"/>
      <c r="AG76" s="8"/>
      <c r="AH76" s="8"/>
      <c r="AI76" s="8"/>
      <c r="AJ76" s="8"/>
      <c r="AK76" s="8"/>
      <c r="AL76" s="8"/>
      <c r="AM76" s="93"/>
      <c r="AN76" s="89"/>
      <c r="AX76"/>
      <c r="AY76"/>
      <c r="AZ76"/>
      <c r="BA76"/>
      <c r="BB76"/>
      <c r="BC76"/>
      <c r="BD76"/>
      <c r="BE76"/>
      <c r="BF76"/>
      <c r="BG76"/>
      <c r="BH76"/>
      <c r="BI76"/>
      <c r="BJ76"/>
      <c r="BK76"/>
      <c r="BL76"/>
      <c r="BM76"/>
      <c r="BN76"/>
      <c r="BO76"/>
      <c r="BP76"/>
      <c r="BQ76"/>
      <c r="BR76"/>
      <c r="BY76"/>
      <c r="BZ76"/>
      <c r="CA76"/>
      <c r="CB76"/>
      <c r="CC76"/>
      <c r="CD76"/>
      <c r="CE76"/>
      <c r="CF76"/>
      <c r="CG76"/>
      <c r="CH76"/>
      <c r="CI76"/>
      <c r="CJ76"/>
      <c r="CK76"/>
      <c r="CL76"/>
      <c r="CM76"/>
      <c r="CN76"/>
      <c r="CO76"/>
      <c r="CP76"/>
      <c r="CQ76"/>
      <c r="CR76"/>
      <c r="CS76"/>
      <c r="CT76"/>
      <c r="CU76"/>
      <c r="CV76"/>
      <c r="CW76"/>
      <c r="CX76"/>
      <c r="CY76"/>
    </row>
    <row r="77" spans="2:103" ht="20.100000000000001" customHeight="1" x14ac:dyDescent="0.25">
      <c r="B77" s="68"/>
      <c r="C77" s="68"/>
      <c r="D77" s="68"/>
      <c r="E77" s="68"/>
      <c r="F77" s="69"/>
      <c r="G77" s="69"/>
      <c r="H77" s="69"/>
      <c r="I77" s="70"/>
      <c r="J77" s="67"/>
      <c r="K77" s="112"/>
      <c r="L77" s="4"/>
      <c r="M77" s="4"/>
      <c r="N77" s="4"/>
      <c r="O77" s="4"/>
      <c r="P77" s="4"/>
      <c r="Q77" s="4"/>
      <c r="R77" s="84"/>
      <c r="S77" s="4"/>
      <c r="T77" s="4"/>
      <c r="U77" s="107"/>
      <c r="V77" s="33"/>
      <c r="W77" s="104"/>
      <c r="X77" s="94"/>
      <c r="Y77" s="94"/>
      <c r="Z77" s="93"/>
      <c r="AA77" s="8"/>
      <c r="AB77" s="93"/>
      <c r="AC77" s="93"/>
      <c r="AD77" s="93"/>
      <c r="AE77" s="8"/>
      <c r="AF77" s="8"/>
      <c r="AG77" s="8"/>
      <c r="AH77" s="8"/>
      <c r="AI77" s="8"/>
      <c r="AJ77" s="8"/>
      <c r="AK77" s="8"/>
      <c r="AL77" s="8"/>
      <c r="AM77" s="93"/>
      <c r="AN77" s="89"/>
      <c r="AX77"/>
      <c r="AY77"/>
      <c r="AZ77"/>
      <c r="BA77"/>
      <c r="BB77"/>
      <c r="BC77"/>
      <c r="BD77"/>
      <c r="BE77"/>
      <c r="BF77"/>
      <c r="BG77"/>
      <c r="BH77"/>
      <c r="BI77"/>
      <c r="BJ77"/>
      <c r="BK77"/>
      <c r="BL77"/>
      <c r="BM77"/>
      <c r="BN77"/>
      <c r="BO77"/>
      <c r="BP77"/>
      <c r="BQ77"/>
      <c r="BR77"/>
      <c r="BY77"/>
      <c r="BZ77"/>
      <c r="CA77"/>
      <c r="CB77"/>
      <c r="CC77"/>
      <c r="CD77"/>
      <c r="CE77"/>
      <c r="CF77"/>
      <c r="CG77"/>
      <c r="CH77"/>
      <c r="CI77"/>
      <c r="CJ77"/>
      <c r="CK77"/>
      <c r="CL77"/>
      <c r="CM77"/>
      <c r="CN77"/>
      <c r="CO77"/>
      <c r="CP77"/>
      <c r="CQ77"/>
      <c r="CR77"/>
      <c r="CS77"/>
      <c r="CT77"/>
      <c r="CU77"/>
      <c r="CV77"/>
      <c r="CW77"/>
      <c r="CX77"/>
      <c r="CY77"/>
    </row>
    <row r="78" spans="2:103" ht="20.100000000000001" customHeight="1" x14ac:dyDescent="0.25">
      <c r="B78" s="68"/>
      <c r="C78" s="68"/>
      <c r="D78" s="68"/>
      <c r="E78" s="68"/>
      <c r="F78" s="69"/>
      <c r="G78" s="69"/>
      <c r="H78" s="69"/>
      <c r="I78" s="70"/>
      <c r="J78" s="67"/>
      <c r="K78" s="112"/>
      <c r="L78" s="4"/>
      <c r="M78" s="4"/>
      <c r="N78" s="4"/>
      <c r="O78" s="4"/>
      <c r="P78" s="4"/>
      <c r="Q78" s="4"/>
      <c r="R78" s="84"/>
      <c r="S78" s="4"/>
      <c r="T78" s="4"/>
      <c r="U78" s="107"/>
      <c r="V78" s="33"/>
      <c r="W78" s="104"/>
      <c r="X78" s="94"/>
      <c r="Y78" s="94"/>
      <c r="Z78" s="93"/>
      <c r="AA78" s="8"/>
      <c r="AB78" s="93"/>
      <c r="AC78" s="93"/>
      <c r="AD78" s="93"/>
      <c r="AE78" s="8"/>
      <c r="AF78" s="8"/>
      <c r="AG78" s="8"/>
      <c r="AH78" s="8"/>
      <c r="AI78" s="8"/>
      <c r="AJ78" s="8"/>
      <c r="AK78" s="8"/>
      <c r="AL78" s="8"/>
      <c r="AM78" s="93"/>
      <c r="AN78" s="89"/>
      <c r="AX78"/>
      <c r="AY78"/>
      <c r="AZ78"/>
      <c r="BA78"/>
      <c r="BB78"/>
      <c r="BC78"/>
      <c r="BD78"/>
      <c r="BE78"/>
      <c r="BF78"/>
      <c r="BG78"/>
      <c r="BH78"/>
      <c r="BI78"/>
      <c r="BJ78"/>
      <c r="BK78"/>
      <c r="BL78"/>
      <c r="BM78"/>
      <c r="BN78"/>
      <c r="BO78"/>
      <c r="BP78"/>
      <c r="BQ78"/>
      <c r="BR78"/>
      <c r="BY78"/>
      <c r="BZ78"/>
      <c r="CA78"/>
      <c r="CB78"/>
      <c r="CC78"/>
      <c r="CD78"/>
      <c r="CE78"/>
      <c r="CF78"/>
      <c r="CG78"/>
      <c r="CH78"/>
      <c r="CI78"/>
      <c r="CJ78"/>
      <c r="CK78"/>
      <c r="CL78"/>
      <c r="CM78"/>
      <c r="CN78"/>
      <c r="CO78"/>
      <c r="CP78"/>
      <c r="CQ78"/>
      <c r="CR78"/>
      <c r="CS78"/>
      <c r="CT78"/>
      <c r="CU78"/>
      <c r="CV78"/>
      <c r="CW78"/>
      <c r="CX78"/>
      <c r="CY78"/>
    </row>
    <row r="79" spans="2:103" ht="20.100000000000001" customHeight="1" x14ac:dyDescent="0.25">
      <c r="B79" s="68"/>
      <c r="C79" s="68"/>
      <c r="D79" s="68"/>
      <c r="E79" s="68"/>
      <c r="F79" s="69"/>
      <c r="G79" s="69"/>
      <c r="H79" s="69"/>
      <c r="I79" s="70"/>
      <c r="J79" s="67"/>
      <c r="K79" s="112"/>
      <c r="L79" s="4"/>
      <c r="M79" s="4"/>
      <c r="N79" s="4"/>
      <c r="O79" s="4"/>
      <c r="P79" s="4"/>
      <c r="Q79" s="4"/>
      <c r="R79" s="84"/>
      <c r="S79" s="4"/>
      <c r="T79" s="4"/>
      <c r="U79" s="107"/>
      <c r="V79" s="33"/>
      <c r="W79" s="104"/>
      <c r="X79" s="94"/>
      <c r="Y79" s="94"/>
      <c r="Z79" s="93"/>
      <c r="AA79" s="8"/>
      <c r="AB79" s="93"/>
      <c r="AC79" s="93"/>
      <c r="AD79" s="93"/>
      <c r="AE79" s="8"/>
      <c r="AF79" s="8"/>
      <c r="AG79" s="8"/>
      <c r="AH79" s="8"/>
      <c r="AI79" s="8"/>
      <c r="AJ79" s="8"/>
      <c r="AK79" s="8"/>
      <c r="AL79" s="8"/>
      <c r="AM79" s="93"/>
      <c r="AN79" s="89"/>
      <c r="AX79"/>
      <c r="AY79"/>
      <c r="AZ79"/>
      <c r="BA79"/>
      <c r="BB79"/>
      <c r="BC79"/>
      <c r="BD79"/>
      <c r="BE79"/>
      <c r="BF79"/>
      <c r="BG79"/>
      <c r="BH79"/>
      <c r="BI79"/>
      <c r="BJ79"/>
      <c r="BK79"/>
      <c r="BL79"/>
      <c r="BM79"/>
      <c r="BN79"/>
      <c r="BO79"/>
      <c r="BP79"/>
      <c r="BQ79"/>
      <c r="BR79"/>
      <c r="BY79"/>
      <c r="BZ79"/>
      <c r="CA79"/>
      <c r="CB79"/>
      <c r="CC79"/>
      <c r="CD79"/>
      <c r="CE79"/>
      <c r="CF79"/>
      <c r="CG79"/>
      <c r="CH79"/>
      <c r="CI79"/>
      <c r="CJ79"/>
      <c r="CK79"/>
      <c r="CL79"/>
      <c r="CM79"/>
      <c r="CN79"/>
      <c r="CO79"/>
      <c r="CP79"/>
      <c r="CQ79"/>
      <c r="CR79"/>
      <c r="CS79"/>
      <c r="CT79"/>
      <c r="CU79"/>
      <c r="CV79"/>
      <c r="CW79"/>
      <c r="CX79"/>
      <c r="CY79"/>
    </row>
    <row r="80" spans="2:103" ht="20.100000000000001" customHeight="1" x14ac:dyDescent="0.25">
      <c r="B80" s="68"/>
      <c r="C80" s="68"/>
      <c r="D80" s="68"/>
      <c r="E80" s="68"/>
      <c r="F80" s="69"/>
      <c r="G80" s="69"/>
      <c r="H80" s="69"/>
      <c r="I80" s="70"/>
      <c r="J80" s="67"/>
      <c r="K80" s="112"/>
      <c r="L80" s="4"/>
      <c r="M80" s="4"/>
      <c r="N80" s="4"/>
      <c r="O80" s="4"/>
      <c r="P80" s="4"/>
      <c r="Q80" s="4"/>
      <c r="R80" s="84"/>
      <c r="S80" s="4"/>
      <c r="T80" s="4"/>
      <c r="U80" s="107"/>
      <c r="V80" s="33"/>
      <c r="W80" s="104"/>
      <c r="X80" s="94"/>
      <c r="Y80" s="94"/>
      <c r="Z80" s="93"/>
      <c r="AA80" s="8"/>
      <c r="AB80" s="93"/>
      <c r="AC80" s="93"/>
      <c r="AD80" s="93"/>
      <c r="AE80" s="8"/>
      <c r="AF80" s="8"/>
      <c r="AG80" s="8"/>
      <c r="AH80" s="8"/>
      <c r="AI80" s="8"/>
      <c r="AJ80" s="8"/>
      <c r="AK80" s="8"/>
      <c r="AL80" s="8"/>
      <c r="AM80" s="93"/>
      <c r="AN80" s="89"/>
      <c r="AX80"/>
      <c r="AY80"/>
      <c r="AZ80"/>
      <c r="BA80"/>
      <c r="BB80"/>
      <c r="BC80"/>
      <c r="BD80"/>
      <c r="BE80"/>
      <c r="BF80"/>
      <c r="BG80"/>
      <c r="BH80"/>
      <c r="BI80"/>
      <c r="BJ80"/>
      <c r="BK80"/>
      <c r="BL80"/>
      <c r="BM80"/>
      <c r="BN80"/>
      <c r="BO80"/>
      <c r="BP80"/>
      <c r="BQ80"/>
      <c r="BR80"/>
      <c r="BY80"/>
      <c r="BZ80"/>
      <c r="CA80"/>
      <c r="CB80"/>
      <c r="CC80"/>
      <c r="CD80"/>
      <c r="CE80"/>
      <c r="CF80"/>
      <c r="CG80"/>
      <c r="CH80"/>
      <c r="CI80"/>
      <c r="CJ80"/>
      <c r="CK80"/>
      <c r="CL80"/>
      <c r="CM80"/>
      <c r="CN80"/>
      <c r="CO80"/>
      <c r="CP80"/>
      <c r="CQ80"/>
      <c r="CR80"/>
      <c r="CS80"/>
      <c r="CT80"/>
      <c r="CU80"/>
      <c r="CV80"/>
      <c r="CW80"/>
      <c r="CX80"/>
      <c r="CY80"/>
    </row>
    <row r="81" spans="2:103" ht="20.100000000000001" customHeight="1" x14ac:dyDescent="0.25">
      <c r="B81" s="68"/>
      <c r="C81" s="68"/>
      <c r="D81" s="68"/>
      <c r="E81" s="68"/>
      <c r="F81" s="69"/>
      <c r="G81" s="69"/>
      <c r="H81" s="69"/>
      <c r="I81" s="70"/>
      <c r="J81" s="67"/>
      <c r="K81" s="112"/>
      <c r="L81" s="4"/>
      <c r="M81" s="4"/>
      <c r="N81" s="4"/>
      <c r="O81" s="4"/>
      <c r="P81" s="4"/>
      <c r="Q81" s="4"/>
      <c r="R81" s="84"/>
      <c r="S81" s="4"/>
      <c r="T81" s="4"/>
      <c r="U81" s="107"/>
      <c r="V81" s="33"/>
      <c r="W81" s="104"/>
      <c r="X81" s="94"/>
      <c r="Y81" s="94"/>
      <c r="Z81" s="93"/>
      <c r="AA81" s="8"/>
      <c r="AB81" s="93"/>
      <c r="AC81" s="93"/>
      <c r="AD81" s="93"/>
      <c r="AE81" s="8"/>
      <c r="AF81" s="8"/>
      <c r="AG81" s="8"/>
      <c r="AH81" s="8"/>
      <c r="AI81" s="8"/>
      <c r="AJ81" s="8"/>
      <c r="AK81" s="8"/>
      <c r="AL81" s="8"/>
      <c r="AM81" s="93"/>
      <c r="AN81" s="89"/>
      <c r="AX81"/>
      <c r="AY81"/>
      <c r="AZ81"/>
      <c r="BA81"/>
      <c r="BB81"/>
      <c r="BC81"/>
      <c r="BD81"/>
      <c r="BE81"/>
      <c r="BF81"/>
      <c r="BG81"/>
      <c r="BH81"/>
      <c r="BI81"/>
      <c r="BJ81"/>
      <c r="BK81"/>
      <c r="BL81"/>
      <c r="BM81"/>
      <c r="BN81"/>
      <c r="BO81"/>
      <c r="BP81"/>
      <c r="BQ81"/>
      <c r="BR81"/>
      <c r="BY81"/>
      <c r="BZ81"/>
      <c r="CA81"/>
      <c r="CB81"/>
      <c r="CC81"/>
      <c r="CD81"/>
      <c r="CE81"/>
      <c r="CF81"/>
      <c r="CG81"/>
      <c r="CH81"/>
      <c r="CI81"/>
      <c r="CJ81"/>
      <c r="CK81"/>
      <c r="CL81"/>
      <c r="CM81"/>
      <c r="CN81"/>
      <c r="CO81"/>
      <c r="CP81"/>
      <c r="CQ81"/>
      <c r="CR81"/>
      <c r="CS81"/>
      <c r="CT81"/>
      <c r="CU81"/>
      <c r="CV81"/>
      <c r="CW81"/>
      <c r="CX81"/>
      <c r="CY81"/>
    </row>
    <row r="82" spans="2:103" ht="20.100000000000001" customHeight="1" x14ac:dyDescent="0.25">
      <c r="B82" s="68"/>
      <c r="C82" s="68"/>
      <c r="D82" s="68"/>
      <c r="E82" s="68"/>
      <c r="F82" s="69"/>
      <c r="G82" s="69"/>
      <c r="H82" s="69"/>
      <c r="I82" s="70"/>
      <c r="J82" s="67"/>
      <c r="K82" s="112"/>
      <c r="L82" s="4"/>
      <c r="M82" s="4"/>
      <c r="N82" s="4"/>
      <c r="O82" s="4"/>
      <c r="P82" s="4"/>
      <c r="Q82" s="4"/>
      <c r="R82" s="84"/>
      <c r="S82" s="4"/>
      <c r="T82" s="4"/>
      <c r="U82" s="107"/>
      <c r="V82" s="33"/>
      <c r="W82" s="104"/>
      <c r="X82" s="94"/>
      <c r="Y82" s="94"/>
      <c r="Z82" s="93"/>
      <c r="AA82" s="8"/>
      <c r="AB82" s="93"/>
      <c r="AC82" s="93"/>
      <c r="AD82" s="93"/>
      <c r="AE82" s="8"/>
      <c r="AF82" s="8"/>
      <c r="AG82" s="8"/>
      <c r="AH82" s="8"/>
      <c r="AI82" s="8"/>
      <c r="AJ82" s="8"/>
      <c r="AK82" s="8"/>
      <c r="AL82" s="8"/>
      <c r="AM82" s="93"/>
      <c r="AN82" s="89"/>
      <c r="AX82"/>
      <c r="AY82"/>
      <c r="AZ82"/>
      <c r="BA82"/>
      <c r="BB82"/>
      <c r="BC82"/>
      <c r="BD82"/>
      <c r="BE82"/>
      <c r="BF82"/>
      <c r="BG82"/>
      <c r="BH82"/>
      <c r="BI82"/>
      <c r="BJ82"/>
      <c r="BK82"/>
      <c r="BL82"/>
      <c r="BM82"/>
      <c r="BN82"/>
      <c r="BO82"/>
      <c r="BP82"/>
      <c r="BQ82"/>
      <c r="BR82"/>
      <c r="BY82"/>
      <c r="BZ82"/>
      <c r="CA82"/>
      <c r="CB82"/>
      <c r="CC82"/>
      <c r="CD82"/>
      <c r="CE82"/>
      <c r="CF82"/>
      <c r="CG82"/>
      <c r="CH82"/>
      <c r="CI82"/>
      <c r="CJ82"/>
      <c r="CK82"/>
      <c r="CL82"/>
      <c r="CM82"/>
      <c r="CN82"/>
      <c r="CO82"/>
      <c r="CP82"/>
      <c r="CQ82"/>
      <c r="CR82"/>
      <c r="CS82"/>
      <c r="CT82"/>
      <c r="CU82"/>
      <c r="CV82"/>
      <c r="CW82"/>
      <c r="CX82"/>
      <c r="CY82"/>
    </row>
    <row r="83" spans="2:103" ht="20.100000000000001" customHeight="1" x14ac:dyDescent="0.25">
      <c r="B83" s="68"/>
      <c r="C83" s="68"/>
      <c r="D83" s="68"/>
      <c r="E83" s="68"/>
      <c r="F83" s="69"/>
      <c r="G83" s="69"/>
      <c r="H83" s="69"/>
      <c r="I83" s="70"/>
      <c r="J83" s="67"/>
      <c r="K83" s="112"/>
      <c r="L83" s="4"/>
      <c r="M83" s="4"/>
      <c r="N83" s="4"/>
      <c r="O83" s="4"/>
      <c r="P83" s="4"/>
      <c r="Q83" s="4"/>
      <c r="R83" s="84"/>
      <c r="S83" s="4"/>
      <c r="T83" s="4"/>
      <c r="U83" s="107"/>
      <c r="V83" s="33"/>
      <c r="W83" s="104"/>
      <c r="X83" s="94"/>
      <c r="Y83" s="94"/>
      <c r="Z83" s="93"/>
      <c r="AA83" s="8"/>
      <c r="AB83" s="93"/>
      <c r="AC83" s="93"/>
      <c r="AD83" s="93"/>
      <c r="AE83" s="8"/>
      <c r="AF83" s="8"/>
      <c r="AG83" s="8"/>
      <c r="AH83" s="8"/>
      <c r="AI83" s="8"/>
      <c r="AJ83" s="8"/>
      <c r="AK83" s="8"/>
      <c r="AL83" s="8"/>
      <c r="AM83" s="93"/>
      <c r="AN83" s="89"/>
      <c r="AX83"/>
      <c r="AY83"/>
      <c r="AZ83"/>
      <c r="BA83"/>
      <c r="BB83"/>
      <c r="BC83"/>
      <c r="BD83"/>
      <c r="BE83"/>
      <c r="BF83"/>
      <c r="BG83"/>
      <c r="BH83"/>
      <c r="BI83"/>
      <c r="BJ83"/>
      <c r="BK83"/>
      <c r="BL83"/>
      <c r="BM83"/>
      <c r="BN83"/>
      <c r="BO83"/>
      <c r="BP83"/>
      <c r="BQ83"/>
      <c r="BR83"/>
      <c r="BY83"/>
      <c r="BZ83"/>
      <c r="CA83"/>
      <c r="CB83"/>
      <c r="CC83"/>
      <c r="CD83"/>
      <c r="CE83"/>
      <c r="CF83"/>
      <c r="CG83"/>
      <c r="CH83"/>
      <c r="CI83"/>
      <c r="CJ83"/>
      <c r="CK83"/>
      <c r="CL83"/>
      <c r="CM83"/>
      <c r="CN83"/>
      <c r="CO83"/>
      <c r="CP83"/>
      <c r="CQ83"/>
      <c r="CR83"/>
      <c r="CS83"/>
      <c r="CT83"/>
      <c r="CU83"/>
      <c r="CV83"/>
      <c r="CW83"/>
      <c r="CX83"/>
      <c r="CY83"/>
    </row>
    <row r="84" spans="2:103" ht="20.100000000000001" customHeight="1" x14ac:dyDescent="0.25">
      <c r="B84" s="68"/>
      <c r="C84" s="68"/>
      <c r="D84" s="68"/>
      <c r="E84" s="68"/>
      <c r="F84" s="69"/>
      <c r="G84" s="69"/>
      <c r="H84" s="69"/>
      <c r="I84" s="70"/>
      <c r="J84" s="67"/>
      <c r="K84" s="112"/>
      <c r="L84" s="4"/>
      <c r="M84" s="4"/>
      <c r="N84" s="4"/>
      <c r="O84" s="4"/>
      <c r="P84" s="4"/>
      <c r="Q84" s="4"/>
      <c r="R84" s="84"/>
      <c r="S84" s="4"/>
      <c r="T84" s="4"/>
      <c r="U84" s="107"/>
      <c r="V84" s="33"/>
      <c r="W84" s="104"/>
      <c r="X84" s="94"/>
      <c r="Y84" s="94"/>
      <c r="Z84" s="93"/>
      <c r="AA84" s="8"/>
      <c r="AB84" s="93"/>
      <c r="AC84" s="93"/>
      <c r="AD84" s="93"/>
      <c r="AE84" s="8"/>
      <c r="AF84" s="8"/>
      <c r="AG84" s="8"/>
      <c r="AH84" s="8"/>
      <c r="AI84" s="8"/>
      <c r="AJ84" s="8"/>
      <c r="AK84" s="8"/>
      <c r="AL84" s="8"/>
      <c r="AM84" s="93"/>
      <c r="AN84" s="89"/>
      <c r="AX84"/>
      <c r="AY84"/>
      <c r="AZ84"/>
      <c r="BA84"/>
      <c r="BB84"/>
      <c r="BC84"/>
      <c r="BD84"/>
      <c r="BE84"/>
      <c r="BF84"/>
      <c r="BG84"/>
      <c r="BH84"/>
      <c r="BI84"/>
      <c r="BJ84"/>
      <c r="BK84"/>
      <c r="BL84"/>
      <c r="BM84"/>
      <c r="BN84"/>
      <c r="BO84"/>
      <c r="BP84"/>
      <c r="BQ84"/>
      <c r="BR84"/>
      <c r="BY84"/>
      <c r="BZ84"/>
      <c r="CA84"/>
      <c r="CB84"/>
      <c r="CC84"/>
      <c r="CD84"/>
      <c r="CE84"/>
      <c r="CF84"/>
      <c r="CG84"/>
      <c r="CH84"/>
      <c r="CI84"/>
      <c r="CJ84"/>
      <c r="CK84"/>
      <c r="CL84"/>
      <c r="CM84"/>
      <c r="CN84"/>
      <c r="CO84"/>
      <c r="CP84"/>
      <c r="CQ84"/>
      <c r="CR84"/>
      <c r="CS84"/>
      <c r="CT84"/>
      <c r="CU84"/>
      <c r="CV84"/>
      <c r="CW84"/>
      <c r="CX84"/>
      <c r="CY84"/>
    </row>
    <row r="85" spans="2:103" ht="20.100000000000001" customHeight="1" x14ac:dyDescent="0.25">
      <c r="B85" s="68"/>
      <c r="C85" s="68"/>
      <c r="D85" s="68"/>
      <c r="E85" s="68"/>
      <c r="F85" s="69"/>
      <c r="G85" s="69"/>
      <c r="H85" s="69"/>
      <c r="I85" s="70"/>
      <c r="J85" s="67"/>
      <c r="K85" s="112"/>
      <c r="L85" s="4"/>
      <c r="M85" s="4"/>
      <c r="N85" s="4"/>
      <c r="O85" s="4"/>
      <c r="P85" s="4"/>
      <c r="Q85" s="4"/>
      <c r="R85" s="84"/>
      <c r="S85" s="4"/>
      <c r="T85" s="4"/>
      <c r="U85" s="107"/>
      <c r="V85" s="33"/>
      <c r="W85" s="104"/>
      <c r="X85" s="94"/>
      <c r="Y85" s="94"/>
      <c r="Z85" s="93"/>
      <c r="AA85" s="8"/>
      <c r="AB85" s="93"/>
      <c r="AC85" s="93"/>
      <c r="AD85" s="93"/>
      <c r="AE85" s="8"/>
      <c r="AF85" s="8"/>
      <c r="AG85" s="8"/>
      <c r="AH85" s="8"/>
      <c r="AI85" s="8"/>
      <c r="AJ85" s="8"/>
      <c r="AK85" s="8"/>
      <c r="AL85" s="8"/>
      <c r="AM85" s="93"/>
      <c r="AN85" s="89"/>
      <c r="AX85"/>
      <c r="AY85"/>
      <c r="AZ85"/>
      <c r="BA85"/>
      <c r="BB85"/>
      <c r="BC85"/>
      <c r="BD85"/>
      <c r="BE85"/>
      <c r="BF85"/>
      <c r="BG85"/>
      <c r="BH85"/>
      <c r="BI85"/>
      <c r="BJ85"/>
      <c r="BK85"/>
      <c r="BL85"/>
      <c r="BM85"/>
      <c r="BN85"/>
      <c r="BO85"/>
      <c r="BP85"/>
      <c r="BQ85"/>
      <c r="BR85"/>
      <c r="BY85"/>
      <c r="BZ85"/>
      <c r="CA85"/>
      <c r="CB85"/>
      <c r="CC85"/>
      <c r="CD85"/>
      <c r="CE85"/>
      <c r="CF85"/>
      <c r="CG85"/>
      <c r="CH85"/>
      <c r="CI85"/>
      <c r="CJ85"/>
      <c r="CK85"/>
      <c r="CL85"/>
      <c r="CM85"/>
      <c r="CN85"/>
      <c r="CO85"/>
      <c r="CP85"/>
      <c r="CQ85"/>
      <c r="CR85"/>
      <c r="CS85"/>
      <c r="CT85"/>
      <c r="CU85"/>
      <c r="CV85"/>
      <c r="CW85"/>
      <c r="CX85"/>
      <c r="CY85"/>
    </row>
    <row r="86" spans="2:103" ht="20.100000000000001" customHeight="1" x14ac:dyDescent="0.25">
      <c r="B86" s="68"/>
      <c r="C86" s="68"/>
      <c r="D86" s="68"/>
      <c r="E86" s="68"/>
      <c r="F86" s="69"/>
      <c r="G86" s="69"/>
      <c r="H86" s="69"/>
      <c r="I86" s="70"/>
      <c r="J86" s="67"/>
      <c r="K86" s="112"/>
      <c r="L86" s="4"/>
      <c r="M86" s="4"/>
      <c r="N86" s="4"/>
      <c r="O86" s="4"/>
      <c r="P86" s="4"/>
      <c r="Q86" s="4"/>
      <c r="R86" s="84"/>
      <c r="S86" s="4"/>
      <c r="T86" s="4"/>
      <c r="U86" s="107"/>
      <c r="V86" s="33"/>
      <c r="W86" s="104"/>
      <c r="X86" s="94"/>
      <c r="Y86" s="94"/>
      <c r="Z86" s="93"/>
      <c r="AA86" s="8"/>
      <c r="AB86" s="93"/>
      <c r="AC86" s="93"/>
      <c r="AD86" s="93"/>
      <c r="AE86" s="8"/>
      <c r="AF86" s="8"/>
      <c r="AG86" s="8"/>
      <c r="AH86" s="8"/>
      <c r="AI86" s="8"/>
      <c r="AJ86" s="8"/>
      <c r="AK86" s="8"/>
      <c r="AL86" s="8"/>
      <c r="AM86" s="93"/>
      <c r="AN86" s="89"/>
      <c r="AX86"/>
      <c r="AY86"/>
      <c r="AZ86"/>
      <c r="BA86"/>
      <c r="BB86"/>
      <c r="BC86"/>
      <c r="BD86"/>
      <c r="BE86"/>
      <c r="BF86"/>
      <c r="BG86"/>
      <c r="BH86"/>
      <c r="BI86"/>
      <c r="BJ86"/>
      <c r="BK86"/>
      <c r="BL86"/>
      <c r="BM86"/>
      <c r="BN86"/>
      <c r="BO86"/>
      <c r="BP86"/>
      <c r="BQ86"/>
      <c r="BR86"/>
      <c r="BY86"/>
      <c r="BZ86"/>
      <c r="CA86"/>
      <c r="CB86"/>
      <c r="CC86"/>
      <c r="CD86"/>
      <c r="CE86"/>
      <c r="CF86"/>
      <c r="CG86"/>
      <c r="CH86"/>
      <c r="CI86"/>
      <c r="CJ86"/>
      <c r="CK86"/>
      <c r="CL86"/>
      <c r="CM86"/>
      <c r="CN86"/>
      <c r="CO86"/>
      <c r="CP86"/>
      <c r="CQ86"/>
      <c r="CR86"/>
      <c r="CS86"/>
      <c r="CT86"/>
      <c r="CU86"/>
      <c r="CV86"/>
      <c r="CW86"/>
      <c r="CX86"/>
      <c r="CY86"/>
    </row>
    <row r="87" spans="2:103" ht="20.100000000000001" customHeight="1" x14ac:dyDescent="0.25">
      <c r="B87" s="68"/>
      <c r="C87" s="68"/>
      <c r="D87" s="68"/>
      <c r="E87" s="68"/>
      <c r="F87" s="69"/>
      <c r="G87" s="69"/>
      <c r="H87" s="69"/>
      <c r="I87" s="70"/>
      <c r="J87" s="67"/>
      <c r="K87" s="112"/>
      <c r="L87" s="4"/>
      <c r="M87" s="4"/>
      <c r="N87" s="4"/>
      <c r="O87" s="4"/>
      <c r="P87" s="4"/>
      <c r="Q87" s="4"/>
      <c r="R87" s="84"/>
      <c r="S87" s="4"/>
      <c r="T87" s="4"/>
      <c r="U87" s="107"/>
      <c r="V87" s="33"/>
      <c r="W87" s="104"/>
      <c r="X87" s="94"/>
      <c r="Y87" s="94"/>
      <c r="Z87" s="93"/>
      <c r="AA87" s="8"/>
      <c r="AB87" s="93"/>
      <c r="AC87" s="93"/>
      <c r="AD87" s="93"/>
      <c r="AE87" s="8"/>
      <c r="AF87" s="8"/>
      <c r="AG87" s="8"/>
      <c r="AH87" s="8"/>
      <c r="AI87" s="8"/>
      <c r="AJ87" s="8"/>
      <c r="AK87" s="8"/>
      <c r="AL87" s="8"/>
      <c r="AM87" s="93"/>
      <c r="AN87" s="89"/>
      <c r="AX87"/>
      <c r="AY87"/>
      <c r="AZ87"/>
      <c r="BA87"/>
      <c r="BB87"/>
      <c r="BC87"/>
      <c r="BD87"/>
      <c r="BE87"/>
      <c r="BF87"/>
      <c r="BG87"/>
      <c r="BH87"/>
      <c r="BI87"/>
      <c r="BJ87"/>
      <c r="BK87"/>
      <c r="BL87"/>
      <c r="BM87"/>
      <c r="BN87"/>
      <c r="BO87"/>
      <c r="BP87"/>
      <c r="BQ87"/>
      <c r="BR87"/>
      <c r="BY87"/>
      <c r="BZ87"/>
      <c r="CA87"/>
      <c r="CB87"/>
      <c r="CC87"/>
      <c r="CD87"/>
      <c r="CE87"/>
      <c r="CF87"/>
      <c r="CG87"/>
      <c r="CH87"/>
      <c r="CI87"/>
      <c r="CJ87"/>
      <c r="CK87"/>
      <c r="CL87"/>
      <c r="CM87"/>
      <c r="CN87"/>
      <c r="CO87"/>
      <c r="CP87"/>
      <c r="CQ87"/>
      <c r="CR87"/>
      <c r="CS87"/>
      <c r="CT87"/>
      <c r="CU87"/>
      <c r="CV87"/>
      <c r="CW87"/>
      <c r="CX87"/>
      <c r="CY87"/>
    </row>
    <row r="88" spans="2:103" ht="20.100000000000001" customHeight="1" x14ac:dyDescent="0.25">
      <c r="B88" s="68"/>
      <c r="C88" s="68"/>
      <c r="D88" s="68"/>
      <c r="E88" s="68"/>
      <c r="F88" s="69"/>
      <c r="G88" s="69"/>
      <c r="H88" s="69"/>
      <c r="I88" s="70"/>
      <c r="J88" s="67"/>
      <c r="K88" s="112"/>
      <c r="L88" s="4"/>
      <c r="M88" s="4"/>
      <c r="N88" s="4"/>
      <c r="O88" s="4"/>
      <c r="P88" s="4"/>
      <c r="Q88" s="4"/>
      <c r="R88" s="84"/>
      <c r="S88" s="4"/>
      <c r="T88" s="4"/>
      <c r="U88" s="107"/>
      <c r="V88" s="33"/>
      <c r="W88" s="104"/>
      <c r="X88" s="94"/>
      <c r="Y88" s="94"/>
      <c r="Z88" s="93"/>
      <c r="AA88" s="8"/>
      <c r="AB88" s="93"/>
      <c r="AC88" s="93"/>
      <c r="AD88" s="93"/>
      <c r="AE88" s="8"/>
      <c r="AF88" s="8"/>
      <c r="AG88" s="8"/>
      <c r="AH88" s="8"/>
      <c r="AI88" s="8"/>
      <c r="AJ88" s="8"/>
      <c r="AK88" s="8"/>
      <c r="AL88" s="8"/>
      <c r="AM88" s="93"/>
      <c r="AN88" s="89"/>
      <c r="AX88"/>
      <c r="AY88"/>
      <c r="AZ88"/>
      <c r="BA88"/>
      <c r="BB88"/>
      <c r="BC88"/>
      <c r="BD88"/>
      <c r="BE88"/>
      <c r="BF88"/>
      <c r="BG88"/>
      <c r="BH88"/>
      <c r="BI88"/>
      <c r="BJ88"/>
      <c r="BK88"/>
      <c r="BL88"/>
      <c r="BM88"/>
      <c r="BN88"/>
      <c r="BO88"/>
      <c r="BP88"/>
      <c r="BQ88"/>
      <c r="BR88"/>
      <c r="BY88"/>
      <c r="BZ88"/>
      <c r="CA88"/>
      <c r="CB88"/>
      <c r="CC88"/>
      <c r="CD88"/>
      <c r="CE88"/>
      <c r="CF88"/>
      <c r="CG88"/>
      <c r="CH88"/>
      <c r="CI88"/>
      <c r="CJ88"/>
      <c r="CK88"/>
      <c r="CL88"/>
      <c r="CM88"/>
      <c r="CN88"/>
      <c r="CO88"/>
      <c r="CP88"/>
      <c r="CQ88"/>
      <c r="CR88"/>
      <c r="CS88"/>
      <c r="CT88"/>
      <c r="CU88"/>
      <c r="CV88"/>
      <c r="CW88"/>
      <c r="CX88"/>
      <c r="CY88"/>
    </row>
    <row r="89" spans="2:103" ht="20.100000000000001" customHeight="1" x14ac:dyDescent="0.25">
      <c r="B89" s="68"/>
      <c r="C89" s="68"/>
      <c r="D89" s="68"/>
      <c r="E89" s="68"/>
      <c r="F89" s="69"/>
      <c r="G89" s="69"/>
      <c r="H89" s="69"/>
      <c r="I89" s="70"/>
      <c r="J89" s="67"/>
      <c r="K89" s="112"/>
      <c r="L89" s="4"/>
      <c r="M89" s="4"/>
      <c r="N89" s="4"/>
      <c r="O89" s="4"/>
      <c r="P89" s="4"/>
      <c r="Q89" s="4"/>
      <c r="R89" s="84"/>
      <c r="S89" s="4"/>
      <c r="T89" s="4"/>
      <c r="U89" s="107"/>
      <c r="V89" s="33"/>
      <c r="W89" s="104"/>
      <c r="X89" s="94"/>
      <c r="Y89" s="94"/>
      <c r="Z89" s="93"/>
      <c r="AA89" s="8"/>
      <c r="AB89" s="93"/>
      <c r="AC89" s="93"/>
      <c r="AD89" s="93"/>
      <c r="AE89" s="8"/>
      <c r="AF89" s="8"/>
      <c r="AG89" s="8"/>
      <c r="AH89" s="8"/>
      <c r="AI89" s="8"/>
      <c r="AJ89" s="8"/>
      <c r="AK89" s="8"/>
      <c r="AL89" s="8"/>
      <c r="AM89" s="93"/>
      <c r="AN89" s="89"/>
      <c r="AX89"/>
      <c r="AY89"/>
      <c r="AZ89"/>
      <c r="BA89"/>
      <c r="BB89"/>
      <c r="BC89"/>
      <c r="BD89"/>
      <c r="BE89"/>
      <c r="BF89"/>
      <c r="BG89"/>
      <c r="BH89"/>
      <c r="BI89"/>
      <c r="BJ89"/>
      <c r="BK89"/>
      <c r="BL89"/>
      <c r="BM89"/>
      <c r="BN89"/>
      <c r="BO89"/>
      <c r="BP89"/>
      <c r="BQ89"/>
      <c r="BR89"/>
      <c r="BY89"/>
      <c r="BZ89"/>
      <c r="CA89"/>
      <c r="CB89"/>
      <c r="CC89"/>
      <c r="CD89"/>
      <c r="CE89"/>
      <c r="CF89"/>
      <c r="CG89"/>
      <c r="CH89"/>
      <c r="CI89"/>
      <c r="CJ89"/>
      <c r="CK89"/>
      <c r="CL89"/>
      <c r="CM89"/>
      <c r="CN89"/>
      <c r="CO89"/>
      <c r="CP89"/>
      <c r="CQ89"/>
      <c r="CR89"/>
      <c r="CS89"/>
      <c r="CT89"/>
      <c r="CU89"/>
      <c r="CV89"/>
      <c r="CW89"/>
      <c r="CX89"/>
      <c r="CY89"/>
    </row>
    <row r="90" spans="2:103" ht="20.100000000000001" customHeight="1" x14ac:dyDescent="0.25">
      <c r="B90" s="68"/>
      <c r="C90" s="68"/>
      <c r="D90" s="68"/>
      <c r="E90" s="68"/>
      <c r="F90" s="69"/>
      <c r="G90" s="69"/>
      <c r="H90" s="69"/>
      <c r="I90" s="70"/>
      <c r="J90" s="67"/>
      <c r="K90" s="112"/>
      <c r="L90" s="4"/>
      <c r="M90" s="4"/>
      <c r="N90" s="4"/>
      <c r="O90" s="4"/>
      <c r="P90" s="4"/>
      <c r="Q90" s="4"/>
      <c r="R90" s="84"/>
      <c r="S90" s="4"/>
      <c r="T90" s="4"/>
      <c r="U90" s="107"/>
      <c r="V90" s="33"/>
      <c r="W90" s="104"/>
      <c r="X90" s="94"/>
      <c r="Y90" s="94"/>
      <c r="Z90" s="93"/>
      <c r="AA90" s="8"/>
      <c r="AB90" s="93"/>
      <c r="AC90" s="93"/>
      <c r="AD90" s="93"/>
      <c r="AE90" s="8"/>
      <c r="AF90" s="8"/>
      <c r="AG90" s="8"/>
      <c r="AH90" s="8"/>
      <c r="AI90" s="8"/>
      <c r="AJ90" s="8"/>
      <c r="AK90" s="8"/>
      <c r="AL90" s="8"/>
      <c r="AM90" s="93"/>
      <c r="AN90" s="89"/>
      <c r="AX90"/>
      <c r="AY90"/>
      <c r="AZ90"/>
      <c r="BA90"/>
      <c r="BB90"/>
      <c r="BC90"/>
      <c r="BD90"/>
      <c r="BE90"/>
      <c r="BF90"/>
      <c r="BG90"/>
      <c r="BH90"/>
      <c r="BI90"/>
      <c r="BJ90"/>
      <c r="BK90"/>
      <c r="BL90"/>
      <c r="BM90"/>
      <c r="BN90"/>
      <c r="BO90"/>
      <c r="BP90"/>
      <c r="BQ90"/>
      <c r="BR90"/>
      <c r="BY90"/>
      <c r="BZ90"/>
      <c r="CA90"/>
      <c r="CB90"/>
      <c r="CC90"/>
      <c r="CD90"/>
      <c r="CE90"/>
      <c r="CF90"/>
      <c r="CG90"/>
      <c r="CH90"/>
      <c r="CI90"/>
      <c r="CJ90"/>
      <c r="CK90"/>
      <c r="CL90"/>
      <c r="CM90"/>
      <c r="CN90"/>
      <c r="CO90"/>
      <c r="CP90"/>
      <c r="CQ90"/>
      <c r="CR90"/>
      <c r="CS90"/>
      <c r="CT90"/>
      <c r="CU90"/>
      <c r="CV90"/>
      <c r="CW90"/>
      <c r="CX90"/>
      <c r="CY90"/>
    </row>
    <row r="91" spans="2:103" ht="20.100000000000001" customHeight="1" x14ac:dyDescent="0.25">
      <c r="B91" s="68"/>
      <c r="C91" s="68"/>
      <c r="D91" s="68"/>
      <c r="E91" s="68"/>
      <c r="F91" s="69"/>
      <c r="G91" s="69"/>
      <c r="H91" s="69"/>
      <c r="I91" s="70"/>
      <c r="J91" s="67"/>
      <c r="K91" s="112"/>
      <c r="L91" s="4"/>
      <c r="M91" s="4"/>
      <c r="N91" s="4"/>
      <c r="O91" s="4"/>
      <c r="P91" s="4"/>
      <c r="Q91" s="4"/>
      <c r="R91" s="84"/>
      <c r="S91" s="4"/>
      <c r="T91" s="4"/>
      <c r="U91" s="107"/>
      <c r="V91" s="33"/>
      <c r="W91" s="104"/>
      <c r="X91" s="94"/>
      <c r="Y91" s="94"/>
      <c r="Z91" s="93"/>
      <c r="AA91" s="8"/>
      <c r="AB91" s="93"/>
      <c r="AC91" s="93"/>
      <c r="AD91" s="93"/>
      <c r="AE91" s="8"/>
      <c r="AF91" s="8"/>
      <c r="AG91" s="8"/>
      <c r="AH91" s="8"/>
      <c r="AI91" s="8"/>
      <c r="AJ91" s="8"/>
      <c r="AK91" s="8"/>
      <c r="AL91" s="8"/>
      <c r="AM91" s="93"/>
      <c r="AN91" s="89"/>
      <c r="AX91"/>
      <c r="AY91"/>
      <c r="AZ91"/>
      <c r="BA91"/>
      <c r="BB91"/>
      <c r="BC91"/>
      <c r="BD91"/>
      <c r="BE91"/>
      <c r="BF91"/>
      <c r="BG91"/>
      <c r="BH91"/>
      <c r="BI91"/>
      <c r="BJ91"/>
      <c r="BK91"/>
      <c r="BL91"/>
      <c r="BM91"/>
      <c r="BN91"/>
      <c r="BO91"/>
      <c r="BP91"/>
      <c r="BQ91"/>
      <c r="BR91"/>
      <c r="BY91"/>
      <c r="BZ91"/>
      <c r="CA91"/>
      <c r="CB91"/>
      <c r="CC91"/>
      <c r="CD91"/>
      <c r="CE91"/>
      <c r="CF91"/>
      <c r="CG91"/>
      <c r="CH91"/>
      <c r="CI91"/>
      <c r="CJ91"/>
      <c r="CK91"/>
      <c r="CL91"/>
      <c r="CM91"/>
      <c r="CN91"/>
      <c r="CO91"/>
      <c r="CP91"/>
      <c r="CQ91"/>
      <c r="CR91"/>
      <c r="CS91"/>
      <c r="CT91"/>
      <c r="CU91"/>
      <c r="CV91"/>
      <c r="CW91"/>
      <c r="CX91"/>
      <c r="CY91"/>
    </row>
    <row r="92" spans="2:103" ht="20.100000000000001" customHeight="1" x14ac:dyDescent="0.25">
      <c r="B92" s="68"/>
      <c r="C92" s="68"/>
      <c r="D92" s="68"/>
      <c r="E92" s="68"/>
      <c r="F92" s="69"/>
      <c r="G92" s="69"/>
      <c r="H92" s="69"/>
      <c r="I92" s="70"/>
      <c r="J92" s="67"/>
      <c r="K92" s="112"/>
      <c r="L92" s="4"/>
      <c r="M92" s="4"/>
      <c r="N92" s="4"/>
      <c r="O92" s="4"/>
      <c r="P92" s="4"/>
      <c r="Q92" s="4"/>
      <c r="R92" s="84"/>
      <c r="S92" s="4"/>
      <c r="T92" s="4"/>
      <c r="U92" s="107"/>
      <c r="V92" s="33"/>
      <c r="W92" s="104"/>
      <c r="X92" s="94"/>
      <c r="Y92" s="94"/>
      <c r="Z92" s="93"/>
      <c r="AA92" s="8"/>
      <c r="AB92" s="93"/>
      <c r="AC92" s="93"/>
      <c r="AD92" s="93"/>
      <c r="AE92" s="8"/>
      <c r="AF92" s="8"/>
      <c r="AG92" s="8"/>
      <c r="AH92" s="8"/>
      <c r="AI92" s="8"/>
      <c r="AJ92" s="8"/>
      <c r="AK92" s="8"/>
      <c r="AL92" s="8"/>
      <c r="AM92" s="93"/>
      <c r="AN92" s="89"/>
      <c r="AX92"/>
      <c r="AY92"/>
      <c r="AZ92"/>
      <c r="BA92"/>
      <c r="BB92"/>
      <c r="BC92"/>
      <c r="BD92"/>
      <c r="BE92"/>
      <c r="BF92"/>
      <c r="BG92"/>
      <c r="BH92"/>
      <c r="BI92"/>
      <c r="BJ92"/>
      <c r="BK92"/>
      <c r="BL92"/>
      <c r="BM92"/>
      <c r="BN92"/>
      <c r="BO92"/>
      <c r="BP92"/>
      <c r="BQ92"/>
      <c r="BR92"/>
      <c r="BY92"/>
      <c r="BZ92"/>
      <c r="CA92"/>
      <c r="CB92"/>
      <c r="CC92"/>
      <c r="CD92"/>
      <c r="CE92"/>
      <c r="CF92"/>
      <c r="CG92"/>
      <c r="CH92"/>
      <c r="CI92"/>
      <c r="CJ92"/>
      <c r="CK92"/>
      <c r="CL92"/>
      <c r="CM92"/>
      <c r="CN92"/>
      <c r="CO92"/>
      <c r="CP92"/>
      <c r="CQ92"/>
      <c r="CR92"/>
      <c r="CS92"/>
      <c r="CT92"/>
      <c r="CU92"/>
      <c r="CV92"/>
      <c r="CW92"/>
      <c r="CX92"/>
      <c r="CY92"/>
    </row>
    <row r="93" spans="2:103" ht="20.100000000000001" customHeight="1" x14ac:dyDescent="0.25">
      <c r="B93" s="68"/>
      <c r="C93" s="68"/>
      <c r="D93" s="68"/>
      <c r="E93" s="68"/>
      <c r="F93" s="69"/>
      <c r="G93" s="69"/>
      <c r="H93" s="69"/>
      <c r="I93" s="70"/>
      <c r="J93" s="67"/>
      <c r="K93" s="112"/>
      <c r="L93" s="4"/>
      <c r="M93" s="4"/>
      <c r="N93" s="4"/>
      <c r="O93" s="4"/>
      <c r="P93" s="4"/>
      <c r="Q93" s="4"/>
      <c r="R93" s="84"/>
      <c r="S93" s="4"/>
      <c r="T93" s="4"/>
      <c r="U93" s="107"/>
      <c r="V93" s="33"/>
      <c r="W93" s="104"/>
      <c r="X93" s="94"/>
      <c r="Y93" s="94"/>
      <c r="Z93" s="93"/>
      <c r="AA93" s="8"/>
      <c r="AB93" s="93"/>
      <c r="AC93" s="93"/>
      <c r="AD93" s="93"/>
      <c r="AE93" s="8"/>
      <c r="AF93" s="8"/>
      <c r="AG93" s="8"/>
      <c r="AH93" s="8"/>
      <c r="AI93" s="8"/>
      <c r="AJ93" s="8"/>
      <c r="AK93" s="8"/>
      <c r="AL93" s="8"/>
      <c r="AM93" s="93"/>
      <c r="AN93" s="89"/>
      <c r="AX93"/>
      <c r="AY93"/>
      <c r="AZ93"/>
      <c r="BA93"/>
      <c r="BB93"/>
      <c r="BC93"/>
      <c r="BD93"/>
      <c r="BE93"/>
      <c r="BF93"/>
      <c r="BG93"/>
      <c r="BH93"/>
      <c r="BI93"/>
      <c r="BJ93"/>
      <c r="BK93"/>
      <c r="BL93"/>
      <c r="BM93"/>
      <c r="BN93"/>
      <c r="BO93"/>
      <c r="BP93"/>
      <c r="BQ93"/>
      <c r="BR93"/>
      <c r="BY93"/>
      <c r="BZ93"/>
      <c r="CA93"/>
      <c r="CB93"/>
      <c r="CC93"/>
      <c r="CD93"/>
      <c r="CE93"/>
      <c r="CF93"/>
      <c r="CG93"/>
      <c r="CH93"/>
      <c r="CI93"/>
      <c r="CJ93"/>
      <c r="CK93"/>
      <c r="CL93"/>
      <c r="CM93"/>
      <c r="CN93"/>
      <c r="CO93"/>
      <c r="CP93"/>
      <c r="CQ93"/>
      <c r="CR93"/>
      <c r="CS93"/>
      <c r="CT93"/>
      <c r="CU93"/>
      <c r="CV93"/>
      <c r="CW93"/>
      <c r="CX93"/>
      <c r="CY93"/>
    </row>
    <row r="94" spans="2:103" ht="20.100000000000001" customHeight="1" x14ac:dyDescent="0.25">
      <c r="B94" s="68"/>
      <c r="C94" s="68"/>
      <c r="D94" s="68"/>
      <c r="E94" s="68"/>
      <c r="F94" s="69"/>
      <c r="G94" s="69"/>
      <c r="H94" s="69"/>
      <c r="I94" s="70"/>
      <c r="J94" s="67"/>
      <c r="K94" s="112"/>
      <c r="L94" s="4"/>
      <c r="M94" s="4"/>
      <c r="N94" s="4"/>
      <c r="O94" s="4"/>
      <c r="P94" s="4"/>
      <c r="Q94" s="4"/>
      <c r="R94" s="84"/>
      <c r="S94" s="4"/>
      <c r="T94" s="4"/>
      <c r="U94" s="107"/>
      <c r="V94" s="33"/>
      <c r="W94" s="104"/>
      <c r="X94" s="94"/>
      <c r="Y94" s="94"/>
      <c r="Z94" s="93"/>
      <c r="AA94" s="8"/>
      <c r="AB94" s="93"/>
      <c r="AC94" s="93"/>
      <c r="AD94" s="93"/>
      <c r="AE94" s="8"/>
      <c r="AF94" s="8"/>
      <c r="AG94" s="8"/>
      <c r="AH94" s="8"/>
      <c r="AI94" s="8"/>
      <c r="AJ94" s="8"/>
      <c r="AK94" s="8"/>
      <c r="AL94" s="8"/>
      <c r="AM94" s="93"/>
      <c r="AN94" s="89"/>
      <c r="AX94"/>
      <c r="AY94"/>
      <c r="AZ94"/>
      <c r="BA94"/>
      <c r="BB94"/>
      <c r="BC94"/>
      <c r="BD94"/>
      <c r="BE94"/>
      <c r="BF94"/>
      <c r="BG94"/>
      <c r="BH94"/>
      <c r="BI94"/>
      <c r="BJ94"/>
      <c r="BK94"/>
      <c r="BL94"/>
      <c r="BM94"/>
      <c r="BN94"/>
      <c r="BO94"/>
      <c r="BP94"/>
      <c r="BQ94"/>
      <c r="BR94"/>
      <c r="BY94"/>
      <c r="BZ94"/>
      <c r="CA94"/>
      <c r="CB94"/>
      <c r="CC94"/>
      <c r="CD94"/>
      <c r="CE94"/>
      <c r="CF94"/>
      <c r="CG94"/>
      <c r="CH94"/>
      <c r="CI94"/>
      <c r="CJ94"/>
      <c r="CK94"/>
      <c r="CL94"/>
      <c r="CM94"/>
      <c r="CN94"/>
      <c r="CO94"/>
      <c r="CP94"/>
      <c r="CQ94"/>
      <c r="CR94"/>
      <c r="CS94"/>
      <c r="CT94"/>
      <c r="CU94"/>
      <c r="CV94"/>
      <c r="CW94"/>
      <c r="CX94"/>
      <c r="CY94"/>
    </row>
    <row r="95" spans="2:103" ht="20.100000000000001" customHeight="1" x14ac:dyDescent="0.25">
      <c r="B95" s="68"/>
      <c r="C95" s="68"/>
      <c r="D95" s="68"/>
      <c r="E95" s="68"/>
      <c r="F95" s="69"/>
      <c r="G95" s="69"/>
      <c r="H95" s="69"/>
      <c r="I95" s="70"/>
      <c r="J95" s="67"/>
      <c r="K95" s="112"/>
      <c r="L95" s="4"/>
      <c r="M95" s="4"/>
      <c r="N95" s="4"/>
      <c r="O95" s="4"/>
      <c r="P95" s="4"/>
      <c r="Q95" s="4"/>
      <c r="R95" s="84"/>
      <c r="S95" s="4"/>
      <c r="T95" s="4"/>
      <c r="U95" s="107"/>
      <c r="V95" s="33"/>
      <c r="W95" s="104"/>
      <c r="X95" s="94"/>
      <c r="Y95" s="94"/>
      <c r="Z95" s="93"/>
      <c r="AA95" s="8"/>
      <c r="AB95" s="93"/>
      <c r="AC95" s="93"/>
      <c r="AD95" s="93"/>
      <c r="AE95" s="8"/>
      <c r="AF95" s="8"/>
      <c r="AG95" s="8"/>
      <c r="AH95" s="8"/>
      <c r="AI95" s="8"/>
      <c r="AJ95" s="8"/>
      <c r="AK95" s="8"/>
      <c r="AL95" s="8"/>
      <c r="AM95" s="93"/>
      <c r="AN95" s="89"/>
      <c r="AX95"/>
      <c r="AY95"/>
      <c r="AZ95"/>
      <c r="BA95"/>
      <c r="BB95"/>
      <c r="BC95"/>
      <c r="BD95"/>
      <c r="BE95"/>
      <c r="BF95"/>
      <c r="BG95"/>
      <c r="BH95"/>
      <c r="BI95"/>
      <c r="BJ95"/>
      <c r="BK95"/>
      <c r="BL95"/>
      <c r="BM95"/>
      <c r="BN95"/>
      <c r="BO95"/>
      <c r="BP95"/>
      <c r="BQ95"/>
      <c r="BR95"/>
      <c r="BY95"/>
      <c r="BZ95"/>
      <c r="CA95"/>
      <c r="CB95"/>
      <c r="CC95"/>
      <c r="CD95"/>
      <c r="CE95"/>
      <c r="CF95"/>
      <c r="CG95"/>
      <c r="CH95"/>
      <c r="CI95"/>
      <c r="CJ95"/>
      <c r="CK95"/>
      <c r="CL95"/>
      <c r="CM95"/>
      <c r="CN95"/>
      <c r="CO95"/>
      <c r="CP95"/>
      <c r="CQ95"/>
      <c r="CR95"/>
      <c r="CS95"/>
      <c r="CT95"/>
      <c r="CU95"/>
      <c r="CV95"/>
      <c r="CW95"/>
      <c r="CX95"/>
      <c r="CY95"/>
    </row>
    <row r="96" spans="2:103" ht="20.100000000000001" customHeight="1" x14ac:dyDescent="0.25">
      <c r="B96" s="68"/>
      <c r="C96" s="68"/>
      <c r="D96" s="68"/>
      <c r="E96" s="68"/>
      <c r="F96" s="69"/>
      <c r="G96" s="69"/>
      <c r="H96" s="69"/>
      <c r="I96" s="70"/>
      <c r="J96" s="67"/>
      <c r="K96" s="112"/>
      <c r="L96" s="4"/>
      <c r="M96" s="4"/>
      <c r="N96" s="4"/>
      <c r="O96" s="4"/>
      <c r="P96" s="4"/>
      <c r="Q96" s="4"/>
      <c r="R96" s="84"/>
      <c r="S96" s="4"/>
      <c r="T96" s="4"/>
      <c r="U96" s="107"/>
      <c r="V96" s="33"/>
      <c r="W96" s="104"/>
      <c r="X96" s="94"/>
      <c r="Y96" s="94"/>
      <c r="Z96" s="93"/>
      <c r="AA96" s="8"/>
      <c r="AB96" s="93"/>
      <c r="AC96" s="93"/>
      <c r="AD96" s="93"/>
      <c r="AE96" s="8"/>
      <c r="AF96" s="8"/>
      <c r="AG96" s="8"/>
      <c r="AH96" s="8"/>
      <c r="AI96" s="8"/>
      <c r="AJ96" s="8"/>
      <c r="AK96" s="8"/>
      <c r="AL96" s="8"/>
      <c r="AM96" s="93"/>
      <c r="AN96" s="89"/>
      <c r="AX96"/>
      <c r="AY96"/>
      <c r="AZ96"/>
      <c r="BA96"/>
      <c r="BB96"/>
      <c r="BC96"/>
      <c r="BD96"/>
      <c r="BE96"/>
      <c r="BF96"/>
      <c r="BG96"/>
      <c r="BH96"/>
      <c r="BI96"/>
      <c r="BJ96"/>
      <c r="BK96"/>
      <c r="BL96"/>
      <c r="BM96"/>
      <c r="BN96"/>
      <c r="BO96"/>
      <c r="BP96"/>
      <c r="BQ96"/>
      <c r="BR96"/>
      <c r="BY96"/>
      <c r="BZ96"/>
      <c r="CA96"/>
      <c r="CB96"/>
      <c r="CC96"/>
      <c r="CD96"/>
      <c r="CE96"/>
      <c r="CF96"/>
      <c r="CG96"/>
      <c r="CH96"/>
      <c r="CI96"/>
      <c r="CJ96"/>
      <c r="CK96"/>
      <c r="CL96"/>
      <c r="CM96"/>
      <c r="CN96"/>
      <c r="CO96"/>
      <c r="CP96"/>
      <c r="CQ96"/>
      <c r="CR96"/>
      <c r="CS96"/>
      <c r="CT96"/>
      <c r="CU96"/>
      <c r="CV96"/>
      <c r="CW96"/>
      <c r="CX96"/>
      <c r="CY96"/>
    </row>
    <row r="97" spans="2:103" ht="20.100000000000001" customHeight="1" x14ac:dyDescent="0.25">
      <c r="B97" s="68"/>
      <c r="C97" s="68"/>
      <c r="D97" s="68"/>
      <c r="E97" s="68"/>
      <c r="F97" s="69"/>
      <c r="G97" s="69"/>
      <c r="H97" s="69"/>
      <c r="I97" s="70"/>
      <c r="J97" s="67"/>
      <c r="K97" s="112"/>
      <c r="L97" s="4"/>
      <c r="M97" s="4"/>
      <c r="N97" s="4"/>
      <c r="O97" s="4"/>
      <c r="P97" s="4"/>
      <c r="Q97" s="4"/>
      <c r="R97" s="84"/>
      <c r="S97" s="4"/>
      <c r="T97" s="4"/>
      <c r="U97" s="107"/>
      <c r="V97" s="33"/>
      <c r="W97" s="104"/>
      <c r="X97" s="94"/>
      <c r="Y97" s="94"/>
      <c r="Z97" s="93"/>
      <c r="AA97" s="8"/>
      <c r="AB97" s="93"/>
      <c r="AC97" s="93"/>
      <c r="AD97" s="93"/>
      <c r="AE97" s="8"/>
      <c r="AF97" s="8"/>
      <c r="AG97" s="8"/>
      <c r="AH97" s="8"/>
      <c r="AI97" s="8"/>
      <c r="AJ97" s="8"/>
      <c r="AK97" s="8"/>
      <c r="AL97" s="8"/>
      <c r="AM97" s="93"/>
      <c r="AN97" s="89"/>
      <c r="AX97"/>
      <c r="AY97"/>
      <c r="AZ97"/>
      <c r="BA97"/>
      <c r="BB97"/>
      <c r="BC97"/>
      <c r="BD97"/>
      <c r="BE97"/>
      <c r="BF97"/>
      <c r="BG97"/>
      <c r="BH97"/>
      <c r="BI97"/>
      <c r="BJ97"/>
      <c r="BK97"/>
      <c r="BL97"/>
      <c r="BM97"/>
      <c r="BN97"/>
      <c r="BO97"/>
      <c r="BP97"/>
      <c r="BQ97"/>
      <c r="BR97"/>
      <c r="BY97"/>
      <c r="BZ97"/>
      <c r="CA97"/>
      <c r="CB97"/>
      <c r="CC97"/>
      <c r="CD97"/>
      <c r="CE97"/>
      <c r="CF97"/>
      <c r="CG97"/>
      <c r="CH97"/>
      <c r="CI97"/>
      <c r="CJ97"/>
      <c r="CK97"/>
      <c r="CL97"/>
      <c r="CM97"/>
      <c r="CN97"/>
      <c r="CO97"/>
      <c r="CP97"/>
      <c r="CQ97"/>
      <c r="CR97"/>
      <c r="CS97"/>
      <c r="CT97"/>
      <c r="CU97"/>
      <c r="CV97"/>
      <c r="CW97"/>
      <c r="CX97"/>
      <c r="CY97"/>
    </row>
    <row r="98" spans="2:103" ht="20.100000000000001" customHeight="1" x14ac:dyDescent="0.25">
      <c r="B98" s="68"/>
      <c r="C98" s="68"/>
      <c r="D98" s="68"/>
      <c r="E98" s="68"/>
      <c r="F98" s="69"/>
      <c r="G98" s="69"/>
      <c r="H98" s="69"/>
      <c r="I98" s="70"/>
      <c r="J98" s="67"/>
      <c r="K98" s="112"/>
      <c r="L98" s="4"/>
      <c r="M98" s="4"/>
      <c r="N98" s="4"/>
      <c r="O98" s="4"/>
      <c r="P98" s="4"/>
      <c r="Q98" s="4"/>
      <c r="R98" s="84"/>
      <c r="S98" s="4"/>
      <c r="T98" s="4"/>
      <c r="U98" s="107"/>
      <c r="V98" s="33"/>
      <c r="W98" s="104"/>
      <c r="X98" s="94"/>
      <c r="Y98" s="94"/>
      <c r="Z98" s="93"/>
      <c r="AA98" s="8"/>
      <c r="AB98" s="93"/>
      <c r="AC98" s="93"/>
      <c r="AD98" s="93"/>
      <c r="AE98" s="8"/>
      <c r="AF98" s="8"/>
      <c r="AG98" s="8"/>
      <c r="AH98" s="8"/>
      <c r="AI98" s="8"/>
      <c r="AJ98" s="8"/>
      <c r="AK98" s="8"/>
      <c r="AL98" s="8"/>
      <c r="AM98" s="93"/>
      <c r="AN98" s="89"/>
      <c r="AX98"/>
      <c r="AY98"/>
      <c r="AZ98"/>
      <c r="BA98"/>
      <c r="BB98"/>
      <c r="BC98"/>
      <c r="BD98"/>
      <c r="BE98"/>
      <c r="BF98"/>
      <c r="BG98"/>
      <c r="BH98"/>
      <c r="BI98"/>
      <c r="BJ98"/>
      <c r="BK98"/>
      <c r="BL98"/>
      <c r="BM98"/>
      <c r="BN98"/>
      <c r="BO98"/>
      <c r="BP98"/>
      <c r="BQ98"/>
      <c r="BR98"/>
      <c r="BY98"/>
      <c r="BZ98"/>
      <c r="CA98"/>
      <c r="CB98"/>
      <c r="CC98"/>
      <c r="CD98"/>
      <c r="CE98"/>
      <c r="CF98"/>
      <c r="CG98"/>
      <c r="CH98"/>
      <c r="CI98"/>
      <c r="CJ98"/>
      <c r="CK98"/>
      <c r="CL98"/>
      <c r="CM98"/>
      <c r="CN98"/>
      <c r="CO98"/>
      <c r="CP98"/>
      <c r="CQ98"/>
      <c r="CR98"/>
      <c r="CS98"/>
      <c r="CT98"/>
      <c r="CU98"/>
      <c r="CV98"/>
      <c r="CW98"/>
      <c r="CX98"/>
      <c r="CY98"/>
    </row>
    <row r="99" spans="2:103" ht="20.100000000000001" customHeight="1" x14ac:dyDescent="0.25">
      <c r="B99" s="68"/>
      <c r="C99" s="68"/>
      <c r="D99" s="68"/>
      <c r="E99" s="68"/>
      <c r="F99" s="69"/>
      <c r="G99" s="69"/>
      <c r="H99" s="69"/>
      <c r="I99" s="70"/>
      <c r="J99" s="67"/>
      <c r="K99" s="112"/>
      <c r="L99" s="4"/>
      <c r="M99" s="4"/>
      <c r="N99" s="4"/>
      <c r="O99" s="4"/>
      <c r="P99" s="4"/>
      <c r="Q99" s="4"/>
      <c r="R99" s="84"/>
      <c r="S99" s="4"/>
      <c r="T99" s="4"/>
      <c r="U99" s="107"/>
      <c r="V99" s="33"/>
      <c r="W99" s="104"/>
      <c r="X99" s="94"/>
      <c r="Y99" s="94"/>
      <c r="Z99" s="93"/>
      <c r="AA99" s="8"/>
      <c r="AB99" s="93"/>
      <c r="AC99" s="93"/>
      <c r="AD99" s="93"/>
      <c r="AE99" s="8"/>
      <c r="AF99" s="8"/>
      <c r="AG99" s="8"/>
      <c r="AH99" s="8"/>
      <c r="AI99" s="8"/>
      <c r="AJ99" s="8"/>
      <c r="AK99" s="8"/>
      <c r="AL99" s="8"/>
      <c r="AM99" s="93"/>
      <c r="AN99" s="89"/>
      <c r="AX99"/>
      <c r="AY99"/>
      <c r="AZ99"/>
      <c r="BA99"/>
      <c r="BB99"/>
      <c r="BC99"/>
      <c r="BD99"/>
      <c r="BE99"/>
      <c r="BF99"/>
      <c r="BG99"/>
      <c r="BH99"/>
      <c r="BI99"/>
      <c r="BJ99"/>
      <c r="BK99"/>
      <c r="BL99"/>
      <c r="BM99"/>
      <c r="BN99"/>
      <c r="BO99"/>
      <c r="BP99"/>
      <c r="BQ99"/>
      <c r="BR99"/>
      <c r="BY99"/>
      <c r="BZ99"/>
      <c r="CA99"/>
      <c r="CB99"/>
      <c r="CC99"/>
      <c r="CD99"/>
      <c r="CE99"/>
      <c r="CF99"/>
      <c r="CG99"/>
      <c r="CH99"/>
      <c r="CI99"/>
      <c r="CJ99"/>
      <c r="CK99"/>
      <c r="CL99"/>
      <c r="CM99"/>
      <c r="CN99"/>
      <c r="CO99"/>
      <c r="CP99"/>
      <c r="CQ99"/>
      <c r="CR99"/>
      <c r="CS99"/>
      <c r="CT99"/>
      <c r="CU99"/>
      <c r="CV99"/>
      <c r="CW99"/>
      <c r="CX99"/>
      <c r="CY99"/>
    </row>
    <row r="100" spans="2:103" ht="20.100000000000001" customHeight="1" x14ac:dyDescent="0.25">
      <c r="B100" s="68"/>
      <c r="C100" s="68"/>
      <c r="D100" s="68"/>
      <c r="E100" s="68"/>
      <c r="F100" s="69"/>
      <c r="G100" s="69"/>
      <c r="H100" s="69"/>
      <c r="I100" s="70"/>
      <c r="J100" s="67"/>
      <c r="K100" s="112"/>
      <c r="L100" s="4"/>
      <c r="M100" s="4"/>
      <c r="N100" s="4"/>
      <c r="O100" s="4"/>
      <c r="P100" s="4"/>
      <c r="Q100" s="4"/>
      <c r="R100" s="84"/>
      <c r="S100" s="4"/>
      <c r="T100" s="4"/>
      <c r="U100" s="107"/>
      <c r="V100" s="33"/>
      <c r="W100" s="104"/>
      <c r="X100" s="94"/>
      <c r="Y100" s="94"/>
      <c r="Z100" s="93"/>
      <c r="AA100" s="8"/>
      <c r="AB100" s="93"/>
      <c r="AC100" s="93"/>
      <c r="AD100" s="93"/>
      <c r="AE100" s="8"/>
      <c r="AF100" s="8"/>
      <c r="AG100" s="8"/>
      <c r="AH100" s="8"/>
      <c r="AI100" s="8"/>
      <c r="AJ100" s="8"/>
      <c r="AK100" s="8"/>
      <c r="AL100" s="8"/>
      <c r="AM100" s="93"/>
      <c r="AN100" s="89"/>
      <c r="AX100"/>
      <c r="AY100"/>
      <c r="AZ100"/>
      <c r="BA100"/>
      <c r="BB100"/>
      <c r="BC100"/>
      <c r="BD100"/>
      <c r="BE100"/>
      <c r="BF100"/>
      <c r="BG100"/>
      <c r="BH100"/>
      <c r="BI100"/>
      <c r="BJ100"/>
      <c r="BK100"/>
      <c r="BL100"/>
      <c r="BM100"/>
      <c r="BN100"/>
      <c r="BO100"/>
      <c r="BP100"/>
      <c r="BQ100"/>
      <c r="BR100"/>
      <c r="BY100"/>
      <c r="BZ100"/>
      <c r="CA100"/>
      <c r="CB100"/>
      <c r="CC100"/>
      <c r="CD100"/>
      <c r="CE100"/>
      <c r="CF100"/>
      <c r="CG100"/>
      <c r="CH100"/>
      <c r="CI100"/>
      <c r="CJ100"/>
      <c r="CK100"/>
      <c r="CL100"/>
      <c r="CM100"/>
      <c r="CN100"/>
      <c r="CO100"/>
      <c r="CP100"/>
      <c r="CQ100"/>
      <c r="CR100"/>
      <c r="CS100"/>
      <c r="CT100"/>
      <c r="CU100"/>
      <c r="CV100"/>
      <c r="CW100"/>
      <c r="CX100"/>
      <c r="CY100"/>
    </row>
    <row r="101" spans="2:103" ht="20.100000000000001" customHeight="1" x14ac:dyDescent="0.25">
      <c r="B101" s="68"/>
      <c r="C101" s="68"/>
      <c r="D101" s="68"/>
      <c r="E101" s="68"/>
      <c r="F101" s="69"/>
      <c r="G101" s="69"/>
      <c r="H101" s="69"/>
      <c r="I101" s="70"/>
      <c r="J101" s="67"/>
      <c r="K101" s="112"/>
      <c r="L101" s="4"/>
      <c r="M101" s="4"/>
      <c r="N101" s="4"/>
      <c r="O101" s="4"/>
      <c r="P101" s="4"/>
      <c r="Q101" s="4"/>
      <c r="R101" s="84"/>
      <c r="S101" s="4"/>
      <c r="T101" s="4"/>
      <c r="U101" s="107"/>
      <c r="V101" s="33"/>
      <c r="W101" s="104"/>
      <c r="X101" s="94"/>
      <c r="Y101" s="94"/>
      <c r="Z101" s="93"/>
      <c r="AA101" s="8"/>
      <c r="AB101" s="93"/>
      <c r="AC101" s="93"/>
      <c r="AD101" s="93"/>
      <c r="AE101" s="8"/>
      <c r="AF101" s="8"/>
      <c r="AG101" s="8"/>
      <c r="AH101" s="8"/>
      <c r="AI101" s="8"/>
      <c r="AJ101" s="8"/>
      <c r="AK101" s="8"/>
      <c r="AL101" s="8"/>
      <c r="AM101" s="93"/>
      <c r="AN101" s="89"/>
      <c r="AX101"/>
      <c r="AY101"/>
      <c r="AZ101"/>
      <c r="BA101"/>
      <c r="BB101"/>
      <c r="BC101"/>
      <c r="BD101"/>
      <c r="BE101"/>
      <c r="BF101"/>
      <c r="BG101"/>
      <c r="BH101"/>
      <c r="BI101"/>
      <c r="BJ101"/>
      <c r="BK101"/>
      <c r="BL101"/>
      <c r="BM101"/>
      <c r="BN101"/>
      <c r="BO101"/>
      <c r="BP101"/>
      <c r="BQ101"/>
      <c r="BR101"/>
      <c r="BY101"/>
      <c r="BZ101"/>
      <c r="CA101"/>
      <c r="CB101"/>
      <c r="CC101"/>
      <c r="CD101"/>
      <c r="CE101"/>
      <c r="CF101"/>
      <c r="CG101"/>
      <c r="CH101"/>
      <c r="CI101"/>
      <c r="CJ101"/>
      <c r="CK101"/>
      <c r="CL101"/>
      <c r="CM101"/>
      <c r="CN101"/>
      <c r="CO101"/>
      <c r="CP101"/>
      <c r="CQ101"/>
      <c r="CR101"/>
      <c r="CS101"/>
      <c r="CT101"/>
      <c r="CU101"/>
      <c r="CV101"/>
      <c r="CW101"/>
      <c r="CX101"/>
      <c r="CY101"/>
    </row>
    <row r="102" spans="2:103" ht="20.100000000000001" customHeight="1" x14ac:dyDescent="0.25">
      <c r="B102" s="68"/>
      <c r="C102" s="68"/>
      <c r="D102" s="68"/>
      <c r="E102" s="68"/>
      <c r="F102" s="69"/>
      <c r="G102" s="69"/>
      <c r="H102" s="69"/>
      <c r="I102" s="70"/>
      <c r="J102" s="67"/>
      <c r="K102" s="112"/>
      <c r="L102" s="4"/>
      <c r="M102" s="4"/>
      <c r="N102" s="4"/>
      <c r="O102" s="4"/>
      <c r="P102" s="4"/>
      <c r="Q102" s="4"/>
      <c r="R102" s="84"/>
      <c r="S102" s="4"/>
      <c r="T102" s="4"/>
      <c r="U102" s="107"/>
      <c r="V102" s="33"/>
      <c r="W102" s="104"/>
      <c r="X102" s="94"/>
      <c r="Y102" s="94"/>
      <c r="Z102" s="93"/>
      <c r="AA102" s="8"/>
      <c r="AB102" s="93"/>
      <c r="AC102" s="93"/>
      <c r="AD102" s="93"/>
      <c r="AE102" s="8"/>
      <c r="AF102" s="8"/>
      <c r="AG102" s="8"/>
      <c r="AH102" s="8"/>
      <c r="AI102" s="8"/>
      <c r="AJ102" s="8"/>
      <c r="AK102" s="8"/>
      <c r="AL102" s="8"/>
      <c r="AM102" s="93"/>
      <c r="AN102" s="89"/>
      <c r="AX102"/>
      <c r="AY102"/>
      <c r="AZ102"/>
      <c r="BA102"/>
      <c r="BB102"/>
      <c r="BC102"/>
      <c r="BD102"/>
      <c r="BE102"/>
      <c r="BF102"/>
      <c r="BG102"/>
      <c r="BH102"/>
      <c r="BI102"/>
      <c r="BJ102"/>
      <c r="BK102"/>
      <c r="BL102"/>
      <c r="BM102"/>
      <c r="BN102"/>
      <c r="BO102"/>
      <c r="BP102"/>
      <c r="BQ102"/>
      <c r="BR102"/>
      <c r="BY102"/>
      <c r="BZ102"/>
      <c r="CA102"/>
      <c r="CB102"/>
      <c r="CC102"/>
      <c r="CD102"/>
      <c r="CE102"/>
      <c r="CF102"/>
      <c r="CG102"/>
      <c r="CH102"/>
      <c r="CI102"/>
      <c r="CJ102"/>
      <c r="CK102"/>
      <c r="CL102"/>
      <c r="CM102"/>
      <c r="CN102"/>
      <c r="CO102"/>
      <c r="CP102"/>
      <c r="CQ102"/>
      <c r="CR102"/>
      <c r="CS102"/>
      <c r="CT102"/>
      <c r="CU102"/>
      <c r="CV102"/>
      <c r="CW102"/>
      <c r="CX102"/>
      <c r="CY102"/>
    </row>
    <row r="103" spans="2:103" ht="20.100000000000001" customHeight="1" x14ac:dyDescent="0.25">
      <c r="B103" s="68"/>
      <c r="C103" s="68"/>
      <c r="D103" s="68"/>
      <c r="E103" s="68"/>
      <c r="F103" s="69"/>
      <c r="G103" s="69"/>
      <c r="H103" s="69"/>
      <c r="I103" s="70"/>
      <c r="J103" s="67"/>
      <c r="K103" s="112"/>
      <c r="L103" s="4"/>
      <c r="M103" s="4"/>
      <c r="N103" s="4"/>
      <c r="O103" s="4"/>
      <c r="P103" s="4"/>
      <c r="Q103" s="4"/>
      <c r="R103" s="84"/>
      <c r="S103" s="4"/>
      <c r="T103" s="4"/>
      <c r="U103" s="107"/>
      <c r="V103" s="33"/>
      <c r="W103" s="104"/>
      <c r="X103" s="94"/>
      <c r="Y103" s="94"/>
      <c r="Z103" s="93"/>
      <c r="AA103" s="8"/>
      <c r="AB103" s="93"/>
      <c r="AC103" s="93"/>
      <c r="AD103" s="93"/>
      <c r="AE103" s="8"/>
      <c r="AF103" s="8"/>
      <c r="AG103" s="8"/>
      <c r="AH103" s="8"/>
      <c r="AI103" s="8"/>
      <c r="AJ103" s="8"/>
      <c r="AK103" s="8"/>
      <c r="AL103" s="8"/>
      <c r="AM103" s="93"/>
      <c r="AN103" s="89"/>
      <c r="AX103"/>
      <c r="AY103"/>
      <c r="AZ103"/>
      <c r="BA103"/>
      <c r="BB103"/>
      <c r="BC103"/>
      <c r="BD103"/>
      <c r="BE103"/>
      <c r="BF103"/>
      <c r="BG103"/>
      <c r="BH103"/>
      <c r="BI103"/>
      <c r="BJ103"/>
      <c r="BK103"/>
      <c r="BL103"/>
      <c r="BM103"/>
      <c r="BN103"/>
      <c r="BO103"/>
      <c r="BP103"/>
      <c r="BQ103"/>
      <c r="BR103"/>
      <c r="BY103"/>
      <c r="BZ103"/>
      <c r="CA103"/>
      <c r="CB103"/>
      <c r="CC103"/>
      <c r="CD103"/>
      <c r="CE103"/>
      <c r="CF103"/>
      <c r="CG103"/>
      <c r="CH103"/>
      <c r="CI103"/>
      <c r="CJ103"/>
      <c r="CK103"/>
      <c r="CL103"/>
      <c r="CM103"/>
      <c r="CN103"/>
      <c r="CO103"/>
      <c r="CP103"/>
      <c r="CQ103"/>
      <c r="CR103"/>
      <c r="CS103"/>
      <c r="CT103"/>
      <c r="CU103"/>
      <c r="CV103"/>
      <c r="CW103"/>
      <c r="CX103"/>
      <c r="CY103"/>
    </row>
    <row r="104" spans="2:103" ht="20.100000000000001" customHeight="1" x14ac:dyDescent="0.25">
      <c r="B104" s="68"/>
      <c r="C104" s="68"/>
      <c r="D104" s="68"/>
      <c r="E104" s="68"/>
      <c r="F104" s="69"/>
      <c r="G104" s="69"/>
      <c r="H104" s="69"/>
      <c r="I104" s="70"/>
      <c r="J104" s="67"/>
      <c r="K104" s="112"/>
      <c r="L104" s="4"/>
      <c r="M104" s="4"/>
      <c r="N104" s="4"/>
      <c r="O104" s="4"/>
      <c r="P104" s="4"/>
      <c r="Q104" s="4"/>
      <c r="R104" s="84"/>
      <c r="S104" s="4"/>
      <c r="T104" s="4"/>
      <c r="U104" s="107"/>
      <c r="V104" s="33"/>
      <c r="W104" s="104"/>
      <c r="X104" s="94"/>
      <c r="Y104" s="94"/>
      <c r="Z104" s="93"/>
      <c r="AA104" s="8"/>
      <c r="AB104" s="93"/>
      <c r="AC104" s="93"/>
      <c r="AD104" s="93"/>
      <c r="AE104" s="8"/>
      <c r="AF104" s="8"/>
      <c r="AG104" s="8"/>
      <c r="AH104" s="8"/>
      <c r="AI104" s="8"/>
      <c r="AJ104" s="8"/>
      <c r="AK104" s="8"/>
      <c r="AL104" s="8"/>
      <c r="AM104" s="93"/>
      <c r="AN104" s="89"/>
      <c r="AX104"/>
      <c r="AY104"/>
      <c r="AZ104"/>
      <c r="BA104"/>
      <c r="BB104"/>
      <c r="BC104"/>
      <c r="BD104"/>
      <c r="BE104"/>
      <c r="BF104"/>
      <c r="BG104"/>
      <c r="BH104"/>
      <c r="BI104"/>
      <c r="BJ104"/>
      <c r="BK104"/>
      <c r="BL104"/>
      <c r="BM104"/>
      <c r="BN104"/>
      <c r="BO104"/>
      <c r="BP104"/>
      <c r="BQ104"/>
      <c r="BR104"/>
      <c r="BY104"/>
      <c r="BZ104"/>
      <c r="CA104"/>
      <c r="CB104"/>
      <c r="CC104"/>
      <c r="CD104"/>
      <c r="CE104"/>
      <c r="CF104"/>
      <c r="CG104"/>
      <c r="CH104"/>
      <c r="CI104"/>
      <c r="CJ104"/>
      <c r="CK104"/>
      <c r="CL104"/>
      <c r="CM104"/>
      <c r="CN104"/>
      <c r="CO104"/>
      <c r="CP104"/>
      <c r="CQ104"/>
      <c r="CR104"/>
      <c r="CS104"/>
      <c r="CT104"/>
      <c r="CU104"/>
      <c r="CV104"/>
      <c r="CW104"/>
      <c r="CX104"/>
      <c r="CY104"/>
    </row>
    <row r="105" spans="2:103" ht="20.100000000000001" customHeight="1" x14ac:dyDescent="0.25">
      <c r="B105" s="68"/>
      <c r="C105" s="68"/>
      <c r="D105" s="68"/>
      <c r="E105" s="68"/>
      <c r="F105" s="69"/>
      <c r="G105" s="69"/>
      <c r="H105" s="69"/>
      <c r="I105" s="70"/>
      <c r="J105" s="67"/>
      <c r="K105" s="112"/>
      <c r="L105" s="4"/>
      <c r="M105" s="4"/>
      <c r="N105" s="4"/>
      <c r="O105" s="4"/>
      <c r="P105" s="4"/>
      <c r="Q105" s="4"/>
      <c r="R105" s="84"/>
      <c r="S105" s="4"/>
      <c r="T105" s="4"/>
      <c r="U105" s="107"/>
      <c r="V105" s="33"/>
      <c r="W105" s="104"/>
      <c r="X105" s="94"/>
      <c r="Y105" s="94"/>
      <c r="Z105" s="93"/>
      <c r="AA105" s="8"/>
      <c r="AB105" s="93"/>
      <c r="AC105" s="93"/>
      <c r="AD105" s="93"/>
      <c r="AE105" s="8"/>
      <c r="AF105" s="8"/>
      <c r="AG105" s="8"/>
      <c r="AH105" s="8"/>
      <c r="AI105" s="8"/>
      <c r="AJ105" s="8"/>
      <c r="AK105" s="8"/>
      <c r="AL105" s="8"/>
      <c r="AM105" s="93"/>
      <c r="AN105" s="89"/>
      <c r="AX105"/>
      <c r="AY105"/>
      <c r="AZ105"/>
      <c r="BA105"/>
      <c r="BB105"/>
      <c r="BC105"/>
      <c r="BD105"/>
      <c r="BE105"/>
      <c r="BF105"/>
      <c r="BG105"/>
      <c r="BH105"/>
      <c r="BI105"/>
      <c r="BJ105"/>
      <c r="BK105"/>
      <c r="BL105"/>
      <c r="BM105"/>
      <c r="BN105"/>
      <c r="BO105"/>
      <c r="BP105"/>
      <c r="BQ105"/>
      <c r="BR105"/>
      <c r="BY105"/>
      <c r="BZ105"/>
      <c r="CA105"/>
      <c r="CB105"/>
      <c r="CC105"/>
      <c r="CD105"/>
      <c r="CE105"/>
      <c r="CF105"/>
      <c r="CG105"/>
      <c r="CH105"/>
      <c r="CI105"/>
      <c r="CJ105"/>
      <c r="CK105"/>
      <c r="CL105"/>
      <c r="CM105"/>
      <c r="CN105"/>
      <c r="CO105"/>
      <c r="CP105"/>
      <c r="CQ105"/>
      <c r="CR105"/>
      <c r="CS105"/>
      <c r="CT105"/>
      <c r="CU105"/>
      <c r="CV105"/>
      <c r="CW105"/>
      <c r="CX105"/>
      <c r="CY105"/>
    </row>
    <row r="106" spans="2:103" ht="20.100000000000001" customHeight="1" x14ac:dyDescent="0.25">
      <c r="B106" s="68"/>
      <c r="C106" s="68"/>
      <c r="D106" s="68"/>
      <c r="E106" s="68"/>
      <c r="F106" s="69"/>
      <c r="G106" s="69"/>
      <c r="H106" s="69"/>
      <c r="I106" s="70"/>
      <c r="J106" s="67"/>
      <c r="K106" s="112"/>
      <c r="L106" s="4"/>
      <c r="M106" s="4"/>
      <c r="N106" s="4"/>
      <c r="O106" s="4"/>
      <c r="P106" s="4"/>
      <c r="Q106" s="4"/>
      <c r="R106" s="84"/>
      <c r="S106" s="4"/>
      <c r="T106" s="4"/>
      <c r="U106" s="107"/>
      <c r="V106" s="33"/>
      <c r="W106" s="104"/>
      <c r="X106" s="94"/>
      <c r="Y106" s="94"/>
      <c r="Z106" s="93"/>
      <c r="AA106" s="8"/>
      <c r="AB106" s="93"/>
      <c r="AC106" s="93"/>
      <c r="AD106" s="93"/>
      <c r="AE106" s="8"/>
      <c r="AF106" s="8"/>
      <c r="AG106" s="8"/>
      <c r="AH106" s="8"/>
      <c r="AI106" s="8"/>
      <c r="AJ106" s="8"/>
      <c r="AK106" s="8"/>
      <c r="AL106" s="8"/>
      <c r="AM106" s="93"/>
      <c r="AN106" s="89"/>
      <c r="AX106"/>
      <c r="AY106"/>
      <c r="AZ106"/>
      <c r="BA106"/>
      <c r="BB106"/>
      <c r="BC106"/>
      <c r="BD106"/>
      <c r="BE106"/>
      <c r="BF106"/>
      <c r="BG106"/>
      <c r="BH106"/>
      <c r="BI106"/>
      <c r="BJ106"/>
      <c r="BK106"/>
      <c r="BL106"/>
      <c r="BM106"/>
      <c r="BN106"/>
      <c r="BO106"/>
      <c r="BP106"/>
      <c r="BQ106"/>
      <c r="BR106"/>
      <c r="BY106"/>
      <c r="BZ106"/>
      <c r="CA106"/>
      <c r="CB106"/>
      <c r="CC106"/>
      <c r="CD106"/>
      <c r="CE106"/>
      <c r="CF106"/>
      <c r="CG106"/>
      <c r="CH106"/>
      <c r="CI106"/>
      <c r="CJ106"/>
      <c r="CK106"/>
      <c r="CL106"/>
      <c r="CM106"/>
      <c r="CN106"/>
      <c r="CO106"/>
      <c r="CP106"/>
      <c r="CQ106"/>
      <c r="CR106"/>
      <c r="CS106"/>
      <c r="CT106"/>
      <c r="CU106"/>
      <c r="CV106"/>
      <c r="CW106"/>
      <c r="CX106"/>
      <c r="CY106"/>
    </row>
    <row r="107" spans="2:103" ht="20.100000000000001" customHeight="1" x14ac:dyDescent="0.25">
      <c r="B107" s="68"/>
      <c r="C107" s="68"/>
      <c r="D107" s="68"/>
      <c r="E107" s="68"/>
      <c r="F107" s="69"/>
      <c r="G107" s="69"/>
      <c r="H107" s="69"/>
      <c r="I107" s="70"/>
      <c r="J107" s="67"/>
      <c r="K107" s="112"/>
      <c r="L107" s="4"/>
      <c r="M107" s="4"/>
      <c r="N107" s="4"/>
      <c r="O107" s="4"/>
      <c r="P107" s="4"/>
      <c r="Q107" s="4"/>
      <c r="R107" s="84"/>
      <c r="S107" s="4"/>
      <c r="T107" s="4"/>
      <c r="U107" s="107"/>
      <c r="V107" s="33"/>
      <c r="W107" s="104"/>
      <c r="X107" s="94"/>
      <c r="Y107" s="94"/>
      <c r="Z107" s="93"/>
      <c r="AA107" s="8"/>
      <c r="AB107" s="93"/>
      <c r="AC107" s="93"/>
      <c r="AD107" s="93"/>
      <c r="AE107" s="8"/>
      <c r="AF107" s="8"/>
      <c r="AG107" s="8"/>
      <c r="AH107" s="8"/>
      <c r="AI107" s="8"/>
      <c r="AJ107" s="8"/>
      <c r="AK107" s="8"/>
      <c r="AL107" s="8"/>
      <c r="AM107" s="93"/>
      <c r="AN107" s="89"/>
      <c r="AX107"/>
      <c r="AY107"/>
      <c r="AZ107"/>
      <c r="BA107"/>
      <c r="BB107"/>
      <c r="BC107"/>
      <c r="BD107"/>
      <c r="BE107"/>
      <c r="BF107"/>
      <c r="BG107"/>
      <c r="BH107"/>
      <c r="BI107"/>
      <c r="BJ107"/>
      <c r="BK107"/>
      <c r="BL107"/>
      <c r="BM107"/>
      <c r="BN107"/>
      <c r="BO107"/>
      <c r="BP107"/>
      <c r="BQ107"/>
      <c r="BR107"/>
      <c r="BY107"/>
      <c r="BZ107"/>
      <c r="CA107"/>
      <c r="CB107"/>
      <c r="CC107"/>
      <c r="CD107"/>
      <c r="CE107"/>
      <c r="CF107"/>
      <c r="CG107"/>
      <c r="CH107"/>
      <c r="CI107"/>
      <c r="CJ107"/>
      <c r="CK107"/>
      <c r="CL107"/>
      <c r="CM107"/>
      <c r="CN107"/>
      <c r="CO107"/>
      <c r="CP107"/>
      <c r="CQ107"/>
      <c r="CR107"/>
      <c r="CS107"/>
      <c r="CT107"/>
      <c r="CU107"/>
      <c r="CV107"/>
      <c r="CW107"/>
      <c r="CX107"/>
      <c r="CY107"/>
    </row>
    <row r="108" spans="2:103" ht="20.100000000000001" customHeight="1" x14ac:dyDescent="0.25">
      <c r="B108" s="68"/>
      <c r="C108" s="68"/>
      <c r="D108" s="68"/>
      <c r="E108" s="68"/>
      <c r="F108" s="69"/>
      <c r="G108" s="69"/>
      <c r="H108" s="69"/>
      <c r="I108" s="70"/>
      <c r="J108" s="67"/>
      <c r="K108" s="112"/>
      <c r="L108" s="4"/>
      <c r="M108" s="4"/>
      <c r="N108" s="4"/>
      <c r="O108" s="4"/>
      <c r="P108" s="4"/>
      <c r="Q108" s="4"/>
      <c r="R108" s="84"/>
      <c r="S108" s="4"/>
      <c r="T108" s="4"/>
      <c r="U108" s="107"/>
      <c r="V108" s="33"/>
      <c r="W108" s="104"/>
      <c r="X108" s="94"/>
      <c r="Y108" s="94"/>
      <c r="Z108" s="93"/>
      <c r="AA108" s="8"/>
      <c r="AB108" s="93"/>
      <c r="AC108" s="93"/>
      <c r="AD108" s="93"/>
      <c r="AE108" s="8"/>
      <c r="AF108" s="8"/>
      <c r="AG108" s="8"/>
      <c r="AH108" s="8"/>
      <c r="AI108" s="8"/>
      <c r="AJ108" s="8"/>
      <c r="AK108" s="8"/>
      <c r="AL108" s="8"/>
      <c r="AM108" s="93"/>
      <c r="AN108" s="89"/>
      <c r="AX108"/>
      <c r="AY108"/>
      <c r="AZ108"/>
      <c r="BA108"/>
      <c r="BB108"/>
      <c r="BC108"/>
      <c r="BD108"/>
      <c r="BE108"/>
      <c r="BF108"/>
      <c r="BG108"/>
      <c r="BH108"/>
      <c r="BI108"/>
      <c r="BJ108"/>
      <c r="BK108"/>
      <c r="BL108"/>
      <c r="BM108"/>
      <c r="BN108"/>
      <c r="BO108"/>
      <c r="BP108"/>
      <c r="BQ108"/>
      <c r="BR108"/>
      <c r="BY108"/>
      <c r="BZ108"/>
      <c r="CA108"/>
      <c r="CB108"/>
      <c r="CC108"/>
      <c r="CD108"/>
      <c r="CE108"/>
      <c r="CF108"/>
      <c r="CG108"/>
      <c r="CH108"/>
      <c r="CI108"/>
      <c r="CJ108"/>
      <c r="CK108"/>
      <c r="CL108"/>
      <c r="CM108"/>
      <c r="CN108"/>
      <c r="CO108"/>
      <c r="CP108"/>
      <c r="CQ108"/>
      <c r="CR108"/>
      <c r="CS108"/>
      <c r="CT108"/>
      <c r="CU108"/>
      <c r="CV108"/>
      <c r="CW108"/>
      <c r="CX108"/>
      <c r="CY108"/>
    </row>
    <row r="109" spans="2:103" ht="20.100000000000001" customHeight="1" x14ac:dyDescent="0.25">
      <c r="B109" s="68"/>
      <c r="C109" s="68"/>
      <c r="D109" s="68"/>
      <c r="E109" s="68"/>
      <c r="F109" s="69"/>
      <c r="G109" s="69"/>
      <c r="H109" s="69"/>
      <c r="I109" s="70"/>
      <c r="J109" s="67"/>
      <c r="K109" s="112"/>
      <c r="L109" s="4"/>
      <c r="M109" s="4"/>
      <c r="N109" s="4"/>
      <c r="O109" s="4"/>
      <c r="P109" s="4"/>
      <c r="Q109" s="4"/>
      <c r="R109" s="84"/>
      <c r="S109" s="4"/>
      <c r="T109" s="4"/>
      <c r="U109" s="107"/>
      <c r="V109" s="33"/>
      <c r="W109" s="104"/>
      <c r="X109" s="94"/>
      <c r="Y109" s="94"/>
      <c r="Z109" s="93"/>
      <c r="AA109" s="8"/>
      <c r="AB109" s="93"/>
      <c r="AC109" s="93"/>
      <c r="AD109" s="93"/>
      <c r="AE109" s="8"/>
      <c r="AF109" s="8"/>
      <c r="AG109" s="8"/>
      <c r="AH109" s="8"/>
      <c r="AI109" s="8"/>
      <c r="AJ109" s="8"/>
      <c r="AK109" s="8"/>
      <c r="AL109" s="8"/>
      <c r="AM109" s="93"/>
      <c r="AN109" s="89"/>
      <c r="AX109"/>
      <c r="AY109"/>
      <c r="AZ109"/>
      <c r="BA109"/>
      <c r="BB109"/>
      <c r="BC109"/>
      <c r="BD109"/>
      <c r="BE109"/>
      <c r="BF109"/>
      <c r="BG109"/>
      <c r="BH109"/>
      <c r="BI109"/>
      <c r="BJ109"/>
      <c r="BK109"/>
      <c r="BL109"/>
      <c r="BM109"/>
      <c r="BN109"/>
      <c r="BO109"/>
      <c r="BP109"/>
      <c r="BQ109"/>
      <c r="BR109"/>
      <c r="BY109"/>
      <c r="BZ109"/>
      <c r="CA109"/>
      <c r="CB109"/>
      <c r="CC109"/>
      <c r="CD109"/>
      <c r="CE109"/>
      <c r="CF109"/>
      <c r="CG109"/>
      <c r="CH109"/>
      <c r="CI109"/>
      <c r="CJ109"/>
      <c r="CK109"/>
      <c r="CL109"/>
      <c r="CM109"/>
      <c r="CN109"/>
      <c r="CO109"/>
      <c r="CP109"/>
      <c r="CQ109"/>
      <c r="CR109"/>
      <c r="CS109"/>
      <c r="CT109"/>
      <c r="CU109"/>
      <c r="CV109"/>
      <c r="CW109"/>
      <c r="CX109"/>
      <c r="CY109"/>
    </row>
    <row r="110" spans="2:103" ht="20.100000000000001" customHeight="1" x14ac:dyDescent="0.25">
      <c r="B110" s="68"/>
      <c r="C110" s="68"/>
      <c r="D110" s="68"/>
      <c r="E110" s="68"/>
      <c r="F110" s="69"/>
      <c r="G110" s="69"/>
      <c r="H110" s="69"/>
      <c r="I110" s="70"/>
      <c r="J110" s="67"/>
      <c r="K110" s="112"/>
      <c r="L110" s="4"/>
      <c r="M110" s="4"/>
      <c r="N110" s="4"/>
      <c r="O110" s="4"/>
      <c r="P110" s="4"/>
      <c r="Q110" s="4"/>
      <c r="R110" s="84"/>
      <c r="S110" s="4"/>
      <c r="T110" s="4"/>
      <c r="U110" s="107"/>
      <c r="V110" s="33"/>
      <c r="W110" s="104"/>
      <c r="X110" s="94"/>
      <c r="Y110" s="94"/>
      <c r="Z110" s="93"/>
      <c r="AA110" s="8"/>
      <c r="AB110" s="93"/>
      <c r="AC110" s="93"/>
      <c r="AD110" s="93"/>
      <c r="AE110" s="8"/>
      <c r="AF110" s="8"/>
      <c r="AG110" s="8"/>
      <c r="AH110" s="8"/>
      <c r="AI110" s="8"/>
      <c r="AJ110" s="8"/>
      <c r="AK110" s="8"/>
      <c r="AL110" s="8"/>
      <c r="AM110" s="93"/>
      <c r="AN110" s="89"/>
      <c r="AX110"/>
      <c r="AY110"/>
      <c r="AZ110"/>
      <c r="BA110"/>
      <c r="BB110"/>
      <c r="BC110"/>
      <c r="BD110"/>
      <c r="BE110"/>
      <c r="BF110"/>
      <c r="BG110"/>
      <c r="BH110"/>
      <c r="BI110"/>
      <c r="BJ110"/>
      <c r="BK110"/>
      <c r="BL110"/>
      <c r="BM110"/>
      <c r="BN110"/>
      <c r="BO110"/>
      <c r="BP110"/>
      <c r="BQ110"/>
      <c r="BR110"/>
      <c r="BY110"/>
      <c r="BZ110"/>
      <c r="CA110"/>
      <c r="CB110"/>
      <c r="CC110"/>
      <c r="CD110"/>
      <c r="CE110"/>
      <c r="CF110"/>
      <c r="CG110"/>
      <c r="CH110"/>
      <c r="CI110"/>
      <c r="CJ110"/>
      <c r="CK110"/>
      <c r="CL110"/>
      <c r="CM110"/>
      <c r="CN110"/>
      <c r="CO110"/>
      <c r="CP110"/>
      <c r="CQ110"/>
      <c r="CR110"/>
      <c r="CS110"/>
      <c r="CT110"/>
      <c r="CU110"/>
      <c r="CV110"/>
      <c r="CW110"/>
      <c r="CX110"/>
      <c r="CY110"/>
    </row>
    <row r="111" spans="2:103" ht="20.100000000000001" customHeight="1" x14ac:dyDescent="0.25">
      <c r="B111" s="68"/>
      <c r="C111" s="68"/>
      <c r="D111" s="68"/>
      <c r="E111" s="68"/>
      <c r="F111" s="69"/>
      <c r="G111" s="69"/>
      <c r="H111" s="69"/>
      <c r="I111" s="70"/>
      <c r="J111" s="67"/>
      <c r="K111" s="112"/>
      <c r="L111" s="4"/>
      <c r="M111" s="4"/>
      <c r="N111" s="4"/>
      <c r="O111" s="4"/>
      <c r="P111" s="4"/>
      <c r="Q111" s="4"/>
      <c r="R111" s="84"/>
      <c r="S111" s="4"/>
      <c r="T111" s="4"/>
      <c r="U111" s="107"/>
      <c r="V111" s="33"/>
      <c r="W111" s="104"/>
      <c r="X111" s="94"/>
      <c r="Y111" s="94"/>
      <c r="Z111" s="93"/>
      <c r="AA111" s="8"/>
      <c r="AB111" s="93"/>
      <c r="AC111" s="93"/>
      <c r="AD111" s="93"/>
      <c r="AE111" s="8"/>
      <c r="AF111" s="8"/>
      <c r="AG111" s="8"/>
      <c r="AH111" s="8"/>
      <c r="AI111" s="8"/>
      <c r="AJ111" s="8"/>
      <c r="AK111" s="8"/>
      <c r="AL111" s="8"/>
      <c r="AM111" s="93"/>
      <c r="AN111" s="89"/>
      <c r="AX111"/>
      <c r="AY111"/>
      <c r="AZ111"/>
      <c r="BA111"/>
      <c r="BB111"/>
      <c r="BC111"/>
      <c r="BD111"/>
      <c r="BE111"/>
      <c r="BF111"/>
      <c r="BG111"/>
      <c r="BH111"/>
      <c r="BI111"/>
      <c r="BJ111"/>
      <c r="BK111"/>
      <c r="BL111"/>
      <c r="BM111"/>
      <c r="BN111"/>
      <c r="BO111"/>
      <c r="BP111"/>
      <c r="BQ111"/>
      <c r="BR111"/>
      <c r="BY111"/>
      <c r="BZ111"/>
      <c r="CA111"/>
      <c r="CB111"/>
      <c r="CC111"/>
      <c r="CD111"/>
      <c r="CE111"/>
      <c r="CF111"/>
      <c r="CG111"/>
      <c r="CH111"/>
      <c r="CI111"/>
      <c r="CJ111"/>
      <c r="CK111"/>
      <c r="CL111"/>
      <c r="CM111"/>
      <c r="CN111"/>
      <c r="CO111"/>
      <c r="CP111"/>
      <c r="CQ111"/>
      <c r="CR111"/>
      <c r="CS111"/>
      <c r="CT111"/>
      <c r="CU111"/>
      <c r="CV111"/>
      <c r="CW111"/>
      <c r="CX111"/>
      <c r="CY111"/>
    </row>
    <row r="112" spans="2:103" ht="20.100000000000001" customHeight="1" x14ac:dyDescent="0.25">
      <c r="B112" s="68"/>
      <c r="C112" s="68"/>
      <c r="D112" s="68"/>
      <c r="E112" s="68"/>
      <c r="F112" s="69"/>
      <c r="G112" s="69"/>
      <c r="H112" s="69"/>
      <c r="I112" s="70"/>
      <c r="J112" s="67"/>
      <c r="K112" s="112"/>
      <c r="L112" s="4"/>
      <c r="M112" s="4"/>
      <c r="N112" s="4"/>
      <c r="O112" s="4"/>
      <c r="P112" s="4"/>
      <c r="Q112" s="4"/>
      <c r="R112" s="84"/>
      <c r="S112" s="4"/>
      <c r="T112" s="4"/>
      <c r="U112" s="107"/>
      <c r="V112" s="33"/>
      <c r="W112" s="104"/>
      <c r="X112" s="94"/>
      <c r="Y112" s="94"/>
      <c r="Z112" s="93"/>
      <c r="AA112" s="8"/>
      <c r="AB112" s="93"/>
      <c r="AC112" s="93"/>
      <c r="AD112" s="93"/>
      <c r="AE112" s="8"/>
      <c r="AF112" s="8"/>
      <c r="AG112" s="8"/>
      <c r="AH112" s="8"/>
      <c r="AI112" s="8"/>
      <c r="AJ112" s="8"/>
      <c r="AK112" s="8"/>
      <c r="AL112" s="8"/>
      <c r="AM112" s="93"/>
      <c r="AN112" s="89"/>
      <c r="AX112"/>
      <c r="AY112"/>
      <c r="AZ112"/>
      <c r="BA112"/>
      <c r="BB112"/>
      <c r="BC112"/>
      <c r="BD112"/>
      <c r="BE112"/>
      <c r="BF112"/>
      <c r="BG112"/>
      <c r="BH112"/>
      <c r="BI112"/>
      <c r="BJ112"/>
      <c r="BK112"/>
      <c r="BL112"/>
      <c r="BM112"/>
      <c r="BN112"/>
      <c r="BO112"/>
      <c r="BP112"/>
      <c r="BQ112"/>
      <c r="BR112"/>
      <c r="BY112"/>
      <c r="BZ112"/>
      <c r="CA112"/>
      <c r="CB112"/>
      <c r="CC112"/>
      <c r="CD112"/>
      <c r="CE112"/>
      <c r="CF112"/>
      <c r="CG112"/>
      <c r="CH112"/>
      <c r="CI112"/>
      <c r="CJ112"/>
      <c r="CK112"/>
      <c r="CL112"/>
      <c r="CM112"/>
      <c r="CN112"/>
      <c r="CO112"/>
      <c r="CP112"/>
      <c r="CQ112"/>
      <c r="CR112"/>
      <c r="CS112"/>
      <c r="CT112"/>
      <c r="CU112"/>
      <c r="CV112"/>
      <c r="CW112"/>
      <c r="CX112"/>
      <c r="CY112"/>
    </row>
    <row r="113" spans="2:103" ht="20.100000000000001" customHeight="1" x14ac:dyDescent="0.25">
      <c r="B113" s="68"/>
      <c r="C113" s="68"/>
      <c r="D113" s="68"/>
      <c r="E113" s="68"/>
      <c r="F113" s="69"/>
      <c r="G113" s="69"/>
      <c r="H113" s="69"/>
      <c r="I113" s="70"/>
      <c r="J113" s="67"/>
      <c r="K113" s="112"/>
      <c r="L113" s="4"/>
      <c r="M113" s="4"/>
      <c r="N113" s="4"/>
      <c r="O113" s="4"/>
      <c r="P113" s="4"/>
      <c r="Q113" s="4"/>
      <c r="R113" s="84"/>
      <c r="S113" s="4"/>
      <c r="T113" s="4"/>
      <c r="U113" s="107"/>
      <c r="V113" s="33"/>
      <c r="W113" s="104"/>
      <c r="X113" s="94"/>
      <c r="Y113" s="94"/>
      <c r="Z113" s="93"/>
      <c r="AA113" s="8"/>
      <c r="AB113" s="93"/>
      <c r="AC113" s="93"/>
      <c r="AD113" s="93"/>
      <c r="AE113" s="8"/>
      <c r="AF113" s="8"/>
      <c r="AG113" s="8"/>
      <c r="AH113" s="8"/>
      <c r="AI113" s="8"/>
      <c r="AJ113" s="8"/>
      <c r="AK113" s="8"/>
      <c r="AL113" s="8"/>
      <c r="AM113" s="93"/>
      <c r="AN113" s="89"/>
      <c r="AX113"/>
      <c r="AY113"/>
      <c r="AZ113"/>
      <c r="BA113"/>
      <c r="BB113"/>
      <c r="BC113"/>
      <c r="BD113"/>
      <c r="BE113"/>
      <c r="BF113"/>
      <c r="BG113"/>
      <c r="BH113"/>
      <c r="BI113"/>
      <c r="BJ113"/>
      <c r="BK113"/>
      <c r="BL113"/>
      <c r="BM113"/>
      <c r="BN113"/>
      <c r="BO113"/>
      <c r="BP113"/>
      <c r="BQ113"/>
      <c r="BR113"/>
      <c r="BY113"/>
      <c r="BZ113"/>
      <c r="CA113"/>
      <c r="CB113"/>
      <c r="CC113"/>
      <c r="CD113"/>
      <c r="CE113"/>
      <c r="CF113"/>
      <c r="CG113"/>
      <c r="CH113"/>
      <c r="CI113"/>
      <c r="CJ113"/>
      <c r="CK113"/>
      <c r="CL113"/>
      <c r="CM113"/>
      <c r="CN113"/>
      <c r="CO113"/>
      <c r="CP113"/>
      <c r="CQ113"/>
      <c r="CR113"/>
      <c r="CS113"/>
      <c r="CT113"/>
      <c r="CU113"/>
      <c r="CV113"/>
      <c r="CW113"/>
      <c r="CX113"/>
      <c r="CY113"/>
    </row>
    <row r="114" spans="2:103" ht="20.100000000000001" customHeight="1" x14ac:dyDescent="0.25">
      <c r="B114" s="68"/>
      <c r="C114" s="68"/>
      <c r="D114" s="68"/>
      <c r="E114" s="68"/>
      <c r="F114" s="69"/>
      <c r="G114" s="69"/>
      <c r="H114" s="69"/>
      <c r="I114" s="70"/>
      <c r="J114" s="67"/>
      <c r="K114" s="112"/>
      <c r="L114" s="4"/>
      <c r="M114" s="4"/>
      <c r="N114" s="4"/>
      <c r="O114" s="4"/>
      <c r="P114" s="4"/>
      <c r="Q114" s="4"/>
      <c r="R114" s="84"/>
      <c r="S114" s="4"/>
      <c r="T114" s="4"/>
      <c r="U114" s="107"/>
      <c r="V114" s="33"/>
      <c r="W114" s="104"/>
      <c r="X114" s="94"/>
      <c r="Y114" s="94"/>
      <c r="Z114" s="93"/>
      <c r="AA114" s="8"/>
      <c r="AB114" s="93"/>
      <c r="AC114" s="93"/>
      <c r="AD114" s="93"/>
      <c r="AE114" s="8"/>
      <c r="AF114" s="8"/>
      <c r="AG114" s="8"/>
      <c r="AH114" s="8"/>
      <c r="AI114" s="8"/>
      <c r="AJ114" s="8"/>
      <c r="AK114" s="8"/>
      <c r="AL114" s="8"/>
      <c r="AM114" s="93"/>
      <c r="AN114" s="89"/>
      <c r="AX114"/>
      <c r="AY114"/>
      <c r="AZ114"/>
      <c r="BA114"/>
      <c r="BB114"/>
      <c r="BC114"/>
      <c r="BD114"/>
      <c r="BE114"/>
      <c r="BF114"/>
      <c r="BG114"/>
      <c r="BH114"/>
      <c r="BI114"/>
      <c r="BJ114"/>
      <c r="BK114"/>
      <c r="BL114"/>
      <c r="BM114"/>
      <c r="BN114"/>
      <c r="BO114"/>
      <c r="BP114"/>
      <c r="BQ114"/>
      <c r="BR114"/>
      <c r="BY114"/>
      <c r="BZ114"/>
      <c r="CA114"/>
      <c r="CB114"/>
      <c r="CC114"/>
      <c r="CD114"/>
      <c r="CE114"/>
      <c r="CF114"/>
      <c r="CG114"/>
      <c r="CH114"/>
      <c r="CI114"/>
      <c r="CJ114"/>
      <c r="CK114"/>
      <c r="CL114"/>
      <c r="CM114"/>
      <c r="CN114"/>
      <c r="CO114"/>
      <c r="CP114"/>
      <c r="CQ114"/>
      <c r="CR114"/>
      <c r="CS114"/>
      <c r="CT114"/>
      <c r="CU114"/>
      <c r="CV114"/>
      <c r="CW114"/>
      <c r="CX114"/>
      <c r="CY114"/>
    </row>
    <row r="115" spans="2:103" ht="20.100000000000001" customHeight="1" x14ac:dyDescent="0.25">
      <c r="B115" s="68"/>
      <c r="C115" s="68"/>
      <c r="D115" s="68"/>
      <c r="E115" s="68"/>
      <c r="F115" s="69"/>
      <c r="G115" s="69"/>
      <c r="H115" s="69"/>
      <c r="I115" s="70"/>
      <c r="J115" s="67"/>
      <c r="K115" s="112"/>
      <c r="L115" s="4"/>
      <c r="M115" s="4"/>
      <c r="N115" s="4"/>
      <c r="O115" s="4"/>
      <c r="P115" s="4"/>
      <c r="Q115" s="4"/>
      <c r="R115" s="84"/>
      <c r="S115" s="4"/>
      <c r="T115" s="4"/>
      <c r="U115" s="107"/>
      <c r="V115" s="33"/>
      <c r="W115" s="104"/>
      <c r="X115" s="94"/>
      <c r="Y115" s="94"/>
      <c r="Z115" s="93"/>
      <c r="AA115" s="8"/>
      <c r="AB115" s="93"/>
      <c r="AC115" s="93"/>
      <c r="AD115" s="93"/>
      <c r="AE115" s="8"/>
      <c r="AF115" s="8"/>
      <c r="AG115" s="8"/>
      <c r="AH115" s="8"/>
      <c r="AI115" s="8"/>
      <c r="AJ115" s="8"/>
      <c r="AK115" s="8"/>
      <c r="AL115" s="8"/>
      <c r="AM115" s="93"/>
      <c r="AN115" s="89"/>
      <c r="AX115"/>
      <c r="AY115"/>
      <c r="AZ115"/>
      <c r="BA115"/>
      <c r="BB115"/>
      <c r="BC115"/>
      <c r="BD115"/>
      <c r="BE115"/>
      <c r="BF115"/>
      <c r="BG115"/>
      <c r="BH115"/>
      <c r="BI115"/>
      <c r="BJ115"/>
      <c r="BK115"/>
      <c r="BL115"/>
      <c r="BM115"/>
      <c r="BN115"/>
      <c r="BO115"/>
      <c r="BP115"/>
      <c r="BQ115"/>
      <c r="BR115"/>
      <c r="BY115"/>
      <c r="BZ115"/>
      <c r="CA115"/>
      <c r="CB115"/>
      <c r="CC115"/>
      <c r="CD115"/>
      <c r="CE115"/>
      <c r="CF115"/>
      <c r="CG115"/>
      <c r="CH115"/>
      <c r="CI115"/>
      <c r="CJ115"/>
      <c r="CK115"/>
      <c r="CL115"/>
      <c r="CM115"/>
      <c r="CN115"/>
      <c r="CO115"/>
      <c r="CP115"/>
      <c r="CQ115"/>
      <c r="CR115"/>
      <c r="CS115"/>
      <c r="CT115"/>
      <c r="CU115"/>
      <c r="CV115"/>
      <c r="CW115"/>
      <c r="CX115"/>
      <c r="CY115"/>
    </row>
    <row r="116" spans="2:103" ht="20.100000000000001" customHeight="1" x14ac:dyDescent="0.25">
      <c r="B116" s="68"/>
      <c r="C116" s="68"/>
      <c r="D116" s="68"/>
      <c r="E116" s="68"/>
      <c r="F116" s="69"/>
      <c r="G116" s="69"/>
      <c r="H116" s="69"/>
      <c r="I116" s="70"/>
      <c r="J116" s="67"/>
      <c r="K116" s="112"/>
      <c r="L116" s="4"/>
      <c r="M116" s="4"/>
      <c r="N116" s="4"/>
      <c r="O116" s="4"/>
      <c r="P116" s="4"/>
      <c r="Q116" s="4"/>
      <c r="R116" s="84"/>
      <c r="S116" s="4"/>
      <c r="T116" s="4"/>
      <c r="U116" s="107"/>
      <c r="V116" s="33"/>
      <c r="W116" s="104"/>
      <c r="X116" s="94"/>
      <c r="Y116" s="94"/>
      <c r="Z116" s="93"/>
      <c r="AA116" s="8"/>
      <c r="AB116" s="93"/>
      <c r="AC116" s="93"/>
      <c r="AD116" s="93"/>
      <c r="AE116" s="8"/>
      <c r="AF116" s="8"/>
      <c r="AG116" s="8"/>
      <c r="AH116" s="8"/>
      <c r="AI116" s="8"/>
      <c r="AJ116" s="8"/>
      <c r="AK116" s="8"/>
      <c r="AL116" s="8"/>
      <c r="AM116" s="93"/>
      <c r="AN116" s="89"/>
      <c r="AX116"/>
      <c r="AY116"/>
      <c r="AZ116"/>
      <c r="BA116"/>
      <c r="BB116"/>
      <c r="BC116"/>
      <c r="BD116"/>
      <c r="BE116"/>
      <c r="BF116"/>
      <c r="BG116"/>
      <c r="BH116"/>
      <c r="BI116"/>
      <c r="BJ116"/>
      <c r="BK116"/>
      <c r="BL116"/>
      <c r="BM116"/>
      <c r="BN116"/>
      <c r="BO116"/>
      <c r="BP116"/>
      <c r="BQ116"/>
      <c r="BR116"/>
      <c r="BY116"/>
      <c r="BZ116"/>
      <c r="CA116"/>
      <c r="CB116"/>
      <c r="CC116"/>
      <c r="CD116"/>
      <c r="CE116"/>
      <c r="CF116"/>
      <c r="CG116"/>
      <c r="CH116"/>
      <c r="CI116"/>
      <c r="CJ116"/>
      <c r="CK116"/>
      <c r="CL116"/>
      <c r="CM116"/>
      <c r="CN116"/>
      <c r="CO116"/>
      <c r="CP116"/>
      <c r="CQ116"/>
      <c r="CR116"/>
      <c r="CS116"/>
      <c r="CT116"/>
      <c r="CU116"/>
      <c r="CV116"/>
      <c r="CW116"/>
      <c r="CX116"/>
      <c r="CY116"/>
    </row>
    <row r="117" spans="2:103" ht="20.100000000000001" customHeight="1" x14ac:dyDescent="0.25">
      <c r="B117" s="68"/>
      <c r="C117" s="68"/>
      <c r="D117" s="68"/>
      <c r="E117" s="68"/>
      <c r="F117" s="69"/>
      <c r="G117" s="69"/>
      <c r="H117" s="69"/>
      <c r="I117" s="70"/>
      <c r="J117" s="67"/>
      <c r="K117" s="112"/>
      <c r="L117" s="4"/>
      <c r="M117" s="4"/>
      <c r="N117" s="4"/>
      <c r="O117" s="4"/>
      <c r="P117" s="4"/>
      <c r="Q117" s="4"/>
      <c r="R117" s="84"/>
      <c r="S117" s="4"/>
      <c r="T117" s="4"/>
      <c r="U117" s="107"/>
      <c r="V117" s="33"/>
      <c r="W117" s="104"/>
      <c r="X117" s="94"/>
      <c r="Y117" s="94"/>
      <c r="Z117" s="93"/>
      <c r="AA117" s="8"/>
      <c r="AB117" s="93"/>
      <c r="AC117" s="93"/>
      <c r="AD117" s="93"/>
      <c r="AE117" s="8"/>
      <c r="AF117" s="8"/>
      <c r="AG117" s="8"/>
      <c r="AH117" s="8"/>
      <c r="AI117" s="8"/>
      <c r="AJ117" s="8"/>
      <c r="AK117" s="8"/>
      <c r="AL117" s="8"/>
      <c r="AM117" s="93"/>
      <c r="AN117" s="89"/>
      <c r="AX117"/>
      <c r="AY117"/>
      <c r="AZ117"/>
      <c r="BA117"/>
      <c r="BB117"/>
      <c r="BC117"/>
      <c r="BD117"/>
      <c r="BE117"/>
      <c r="BF117"/>
      <c r="BG117"/>
      <c r="BH117"/>
      <c r="BI117"/>
      <c r="BJ117"/>
      <c r="BK117"/>
      <c r="BL117"/>
      <c r="BM117"/>
      <c r="BN117"/>
      <c r="BO117"/>
      <c r="BP117"/>
      <c r="BQ117"/>
      <c r="BR117"/>
      <c r="BY117"/>
      <c r="BZ117"/>
      <c r="CA117"/>
      <c r="CB117"/>
      <c r="CC117"/>
      <c r="CD117"/>
      <c r="CE117"/>
      <c r="CF117"/>
      <c r="CG117"/>
      <c r="CH117"/>
      <c r="CI117"/>
      <c r="CJ117"/>
      <c r="CK117"/>
      <c r="CL117"/>
      <c r="CM117"/>
      <c r="CN117"/>
      <c r="CO117"/>
      <c r="CP117"/>
      <c r="CQ117"/>
      <c r="CR117"/>
      <c r="CS117"/>
      <c r="CT117"/>
      <c r="CU117"/>
      <c r="CV117"/>
      <c r="CW117"/>
      <c r="CX117"/>
      <c r="CY117"/>
    </row>
    <row r="118" spans="2:103" ht="20.100000000000001" customHeight="1" x14ac:dyDescent="0.25">
      <c r="B118" s="68"/>
      <c r="C118" s="68"/>
      <c r="D118" s="68"/>
      <c r="E118" s="68"/>
      <c r="F118" s="69"/>
      <c r="G118" s="69"/>
      <c r="H118" s="69"/>
      <c r="I118" s="70"/>
      <c r="J118" s="67"/>
      <c r="K118" s="112"/>
      <c r="L118" s="4"/>
      <c r="M118" s="4"/>
      <c r="N118" s="4"/>
      <c r="O118" s="4"/>
      <c r="P118" s="4"/>
      <c r="Q118" s="4"/>
      <c r="R118" s="84"/>
      <c r="S118" s="4"/>
      <c r="T118" s="4"/>
      <c r="U118" s="107"/>
      <c r="V118" s="33"/>
      <c r="W118" s="104"/>
      <c r="X118" s="94"/>
      <c r="Y118" s="94"/>
      <c r="Z118" s="93"/>
      <c r="AA118" s="8"/>
      <c r="AB118" s="93"/>
      <c r="AC118" s="93"/>
      <c r="AD118" s="93"/>
      <c r="AE118" s="8"/>
      <c r="AF118" s="8"/>
      <c r="AG118" s="8"/>
      <c r="AH118" s="8"/>
      <c r="AI118" s="8"/>
      <c r="AJ118" s="8"/>
      <c r="AK118" s="8"/>
      <c r="AL118" s="8"/>
      <c r="AM118" s="93"/>
      <c r="AN118" s="89"/>
      <c r="AX118"/>
      <c r="AY118"/>
      <c r="AZ118"/>
      <c r="BA118"/>
      <c r="BB118"/>
      <c r="BC118"/>
      <c r="BD118"/>
      <c r="BE118"/>
      <c r="BF118"/>
      <c r="BG118"/>
      <c r="BH118"/>
      <c r="BI118"/>
      <c r="BJ118"/>
      <c r="BK118"/>
      <c r="BL118"/>
      <c r="BM118"/>
      <c r="BN118"/>
      <c r="BO118"/>
      <c r="BP118"/>
      <c r="BQ118"/>
      <c r="BR118"/>
      <c r="BY118"/>
      <c r="BZ118"/>
      <c r="CA118"/>
      <c r="CB118"/>
      <c r="CC118"/>
      <c r="CD118"/>
      <c r="CE118"/>
      <c r="CF118"/>
      <c r="CG118"/>
      <c r="CH118"/>
      <c r="CI118"/>
      <c r="CJ118"/>
      <c r="CK118"/>
      <c r="CL118"/>
      <c r="CM118"/>
      <c r="CN118"/>
      <c r="CO118"/>
      <c r="CP118"/>
      <c r="CQ118"/>
      <c r="CR118"/>
      <c r="CS118"/>
      <c r="CT118"/>
      <c r="CU118"/>
      <c r="CV118"/>
      <c r="CW118"/>
      <c r="CX118"/>
      <c r="CY118"/>
    </row>
    <row r="119" spans="2:103" ht="20.100000000000001" customHeight="1" x14ac:dyDescent="0.25">
      <c r="B119" s="68"/>
      <c r="C119" s="68"/>
      <c r="D119" s="68"/>
      <c r="E119" s="68"/>
      <c r="F119" s="69"/>
      <c r="G119" s="69"/>
      <c r="H119" s="69"/>
      <c r="I119" s="70"/>
      <c r="J119" s="67"/>
      <c r="K119" s="112"/>
      <c r="L119" s="4"/>
      <c r="M119" s="4"/>
      <c r="N119" s="4"/>
      <c r="O119" s="4"/>
      <c r="P119" s="4"/>
      <c r="Q119" s="4"/>
      <c r="R119" s="84"/>
      <c r="S119" s="4"/>
      <c r="T119" s="4"/>
      <c r="U119" s="107"/>
      <c r="V119" s="33"/>
      <c r="W119" s="104"/>
      <c r="X119" s="94"/>
      <c r="Y119" s="94"/>
      <c r="Z119" s="93"/>
      <c r="AA119" s="8"/>
      <c r="AB119" s="93"/>
      <c r="AC119" s="93"/>
      <c r="AD119" s="93"/>
      <c r="AE119" s="8"/>
      <c r="AF119" s="8"/>
      <c r="AG119" s="8"/>
      <c r="AH119" s="8"/>
      <c r="AI119" s="8"/>
      <c r="AJ119" s="8"/>
      <c r="AK119" s="8"/>
      <c r="AL119" s="8"/>
      <c r="AM119" s="93"/>
      <c r="AN119" s="89"/>
      <c r="AX119"/>
      <c r="AY119"/>
      <c r="AZ119"/>
      <c r="BA119"/>
      <c r="BB119"/>
      <c r="BC119"/>
      <c r="BD119"/>
      <c r="BE119"/>
      <c r="BF119"/>
      <c r="BG119"/>
      <c r="BH119"/>
      <c r="BI119"/>
      <c r="BJ119"/>
      <c r="BK119"/>
      <c r="BL119"/>
      <c r="BM119"/>
      <c r="BN119"/>
      <c r="BO119"/>
      <c r="BP119"/>
      <c r="BQ119"/>
      <c r="BR119"/>
      <c r="BY119"/>
      <c r="BZ119"/>
      <c r="CA119"/>
      <c r="CB119"/>
      <c r="CC119"/>
      <c r="CD119"/>
      <c r="CE119"/>
      <c r="CF119"/>
      <c r="CG119"/>
      <c r="CH119"/>
      <c r="CI119"/>
      <c r="CJ119"/>
      <c r="CK119"/>
      <c r="CL119"/>
      <c r="CM119"/>
      <c r="CN119"/>
      <c r="CO119"/>
      <c r="CP119"/>
      <c r="CQ119"/>
      <c r="CR119"/>
      <c r="CS119"/>
      <c r="CT119"/>
      <c r="CU119"/>
      <c r="CV119"/>
      <c r="CW119"/>
      <c r="CX119"/>
      <c r="CY119"/>
    </row>
    <row r="120" spans="2:103" ht="20.100000000000001" customHeight="1" x14ac:dyDescent="0.25">
      <c r="B120" s="68"/>
      <c r="C120" s="68"/>
      <c r="D120" s="68"/>
      <c r="E120" s="68"/>
      <c r="F120" s="69"/>
      <c r="G120" s="69"/>
      <c r="H120" s="69"/>
      <c r="I120" s="70"/>
      <c r="J120" s="67"/>
      <c r="K120" s="112"/>
      <c r="L120" s="4"/>
      <c r="M120" s="4"/>
      <c r="N120" s="4"/>
      <c r="O120" s="4"/>
      <c r="P120" s="4"/>
      <c r="Q120" s="4"/>
      <c r="R120" s="84"/>
      <c r="S120" s="4"/>
      <c r="T120" s="4"/>
      <c r="U120" s="107"/>
      <c r="V120" s="33"/>
      <c r="W120" s="104"/>
      <c r="X120" s="94"/>
      <c r="Y120" s="94"/>
      <c r="Z120" s="93"/>
      <c r="AA120" s="8"/>
      <c r="AB120" s="93"/>
      <c r="AC120" s="93"/>
      <c r="AD120" s="93"/>
      <c r="AE120" s="8"/>
      <c r="AF120" s="8"/>
      <c r="AG120" s="8"/>
      <c r="AH120" s="8"/>
      <c r="AI120" s="8"/>
      <c r="AJ120" s="8"/>
      <c r="AK120" s="8"/>
      <c r="AL120" s="8"/>
      <c r="AM120" s="93"/>
      <c r="AN120" s="89"/>
      <c r="AX120"/>
      <c r="AY120"/>
      <c r="AZ120"/>
      <c r="BA120"/>
      <c r="BB120"/>
      <c r="BC120"/>
      <c r="BD120"/>
      <c r="BE120"/>
      <c r="BF120"/>
      <c r="BG120"/>
      <c r="BH120"/>
      <c r="BI120"/>
      <c r="BJ120"/>
      <c r="BK120"/>
      <c r="BL120"/>
      <c r="BM120"/>
      <c r="BN120"/>
      <c r="BO120"/>
      <c r="BP120"/>
      <c r="BQ120"/>
      <c r="BR120"/>
      <c r="BY120"/>
      <c r="BZ120"/>
      <c r="CA120"/>
      <c r="CB120"/>
      <c r="CC120"/>
      <c r="CD120"/>
      <c r="CE120"/>
      <c r="CF120"/>
      <c r="CG120"/>
      <c r="CH120"/>
      <c r="CI120"/>
      <c r="CJ120"/>
      <c r="CK120"/>
      <c r="CL120"/>
      <c r="CM120"/>
      <c r="CN120"/>
      <c r="CO120"/>
      <c r="CP120"/>
      <c r="CQ120"/>
      <c r="CR120"/>
      <c r="CS120"/>
      <c r="CT120"/>
      <c r="CU120"/>
      <c r="CV120"/>
      <c r="CW120"/>
      <c r="CX120"/>
      <c r="CY120"/>
    </row>
    <row r="121" spans="2:103" ht="20.100000000000001" customHeight="1" x14ac:dyDescent="0.25">
      <c r="B121" s="68"/>
      <c r="C121" s="68"/>
      <c r="D121" s="68"/>
      <c r="E121" s="68"/>
      <c r="F121" s="69"/>
      <c r="G121" s="69"/>
      <c r="H121" s="69"/>
      <c r="I121" s="70"/>
      <c r="J121" s="67"/>
      <c r="K121" s="112"/>
      <c r="L121" s="4"/>
      <c r="M121" s="4"/>
      <c r="N121" s="4"/>
      <c r="O121" s="4"/>
      <c r="P121" s="4"/>
      <c r="Q121" s="4"/>
      <c r="R121" s="84"/>
      <c r="S121" s="4"/>
      <c r="T121" s="4"/>
      <c r="U121" s="107"/>
      <c r="V121" s="33"/>
      <c r="W121" s="104"/>
      <c r="X121" s="94"/>
      <c r="Y121" s="94"/>
      <c r="Z121" s="93"/>
      <c r="AA121" s="8"/>
      <c r="AB121" s="93"/>
      <c r="AC121" s="93"/>
      <c r="AD121" s="93"/>
      <c r="AE121" s="8"/>
      <c r="AF121" s="8"/>
      <c r="AG121" s="8"/>
      <c r="AH121" s="8"/>
      <c r="AI121" s="8"/>
      <c r="AJ121" s="8"/>
      <c r="AK121" s="8"/>
      <c r="AL121" s="8"/>
      <c r="AM121" s="93"/>
      <c r="AN121" s="89"/>
      <c r="AX121"/>
      <c r="AY121"/>
      <c r="AZ121"/>
      <c r="BA121"/>
      <c r="BB121"/>
      <c r="BC121"/>
      <c r="BD121"/>
      <c r="BE121"/>
      <c r="BF121"/>
      <c r="BG121"/>
      <c r="BH121"/>
      <c r="BI121"/>
      <c r="BJ121"/>
      <c r="BK121"/>
      <c r="BL121"/>
      <c r="BM121"/>
      <c r="BN121"/>
      <c r="BO121"/>
      <c r="BP121"/>
      <c r="BQ121"/>
      <c r="BR121"/>
      <c r="BY121"/>
      <c r="BZ121"/>
      <c r="CA121"/>
      <c r="CB121"/>
      <c r="CC121"/>
      <c r="CD121"/>
      <c r="CE121"/>
      <c r="CF121"/>
      <c r="CG121"/>
      <c r="CH121"/>
      <c r="CI121"/>
      <c r="CJ121"/>
      <c r="CK121"/>
      <c r="CL121"/>
      <c r="CM121"/>
      <c r="CN121"/>
      <c r="CO121"/>
      <c r="CP121"/>
      <c r="CQ121"/>
      <c r="CR121"/>
      <c r="CS121"/>
      <c r="CT121"/>
      <c r="CU121"/>
      <c r="CV121"/>
      <c r="CW121"/>
      <c r="CX121"/>
      <c r="CY121"/>
    </row>
    <row r="122" spans="2:103" ht="20.100000000000001" customHeight="1" x14ac:dyDescent="0.25">
      <c r="B122" s="68"/>
      <c r="C122" s="68"/>
      <c r="D122" s="68"/>
      <c r="E122" s="68"/>
      <c r="F122" s="69"/>
      <c r="G122" s="69"/>
      <c r="H122" s="69"/>
      <c r="I122" s="70"/>
      <c r="J122" s="67"/>
      <c r="K122" s="112"/>
      <c r="L122" s="4"/>
      <c r="M122" s="4"/>
      <c r="N122" s="4"/>
      <c r="O122" s="4"/>
      <c r="P122" s="4"/>
      <c r="Q122" s="4"/>
      <c r="R122" s="84"/>
      <c r="S122" s="4"/>
      <c r="T122" s="4"/>
      <c r="U122" s="107"/>
      <c r="V122" s="33"/>
      <c r="W122" s="104"/>
      <c r="X122" s="94"/>
      <c r="Y122" s="94"/>
      <c r="Z122" s="93"/>
      <c r="AA122" s="8"/>
      <c r="AB122" s="93"/>
      <c r="AC122" s="93"/>
      <c r="AD122" s="93"/>
      <c r="AE122" s="8"/>
      <c r="AF122" s="8"/>
      <c r="AG122" s="8"/>
      <c r="AH122" s="8"/>
      <c r="AI122" s="8"/>
      <c r="AJ122" s="8"/>
      <c r="AK122" s="8"/>
      <c r="AL122" s="8"/>
      <c r="AM122" s="93"/>
      <c r="AN122" s="89"/>
      <c r="AX122"/>
      <c r="AY122"/>
      <c r="AZ122"/>
      <c r="BA122"/>
      <c r="BB122"/>
      <c r="BC122"/>
      <c r="BD122"/>
      <c r="BE122"/>
      <c r="BF122"/>
      <c r="BG122"/>
      <c r="BH122"/>
      <c r="BI122"/>
      <c r="BJ122"/>
      <c r="BK122"/>
      <c r="BL122"/>
      <c r="BM122"/>
      <c r="BN122"/>
      <c r="BO122"/>
      <c r="BP122"/>
      <c r="BQ122"/>
      <c r="BR122"/>
      <c r="BY122"/>
      <c r="BZ122"/>
      <c r="CA122"/>
      <c r="CB122"/>
      <c r="CC122"/>
      <c r="CD122"/>
      <c r="CE122"/>
      <c r="CF122"/>
      <c r="CG122"/>
      <c r="CH122"/>
      <c r="CI122"/>
      <c r="CJ122"/>
      <c r="CK122"/>
      <c r="CL122"/>
      <c r="CM122"/>
      <c r="CN122"/>
      <c r="CO122"/>
      <c r="CP122"/>
      <c r="CQ122"/>
      <c r="CR122"/>
      <c r="CS122"/>
      <c r="CT122"/>
      <c r="CU122"/>
      <c r="CV122"/>
      <c r="CW122"/>
      <c r="CX122"/>
      <c r="CY122"/>
    </row>
    <row r="123" spans="2:103" ht="20.100000000000001" customHeight="1" x14ac:dyDescent="0.25">
      <c r="B123" s="68"/>
      <c r="C123" s="68"/>
      <c r="D123" s="68"/>
      <c r="E123" s="68"/>
      <c r="F123" s="69"/>
      <c r="G123" s="69"/>
      <c r="H123" s="69"/>
      <c r="I123" s="70"/>
      <c r="J123" s="67"/>
      <c r="K123" s="112"/>
      <c r="L123" s="4"/>
      <c r="M123" s="4"/>
      <c r="N123" s="4"/>
      <c r="O123" s="4"/>
      <c r="P123" s="4"/>
      <c r="Q123" s="4"/>
      <c r="R123" s="84"/>
      <c r="S123" s="4"/>
      <c r="T123" s="4"/>
      <c r="U123" s="107"/>
      <c r="V123" s="33"/>
      <c r="W123" s="104"/>
      <c r="X123" s="94"/>
      <c r="Y123" s="94"/>
      <c r="Z123" s="93"/>
      <c r="AA123" s="8"/>
      <c r="AB123" s="93"/>
      <c r="AC123" s="93"/>
      <c r="AD123" s="93"/>
      <c r="AE123" s="8"/>
      <c r="AF123" s="8"/>
      <c r="AG123" s="8"/>
      <c r="AH123" s="8"/>
      <c r="AI123" s="8"/>
      <c r="AJ123" s="8"/>
      <c r="AK123" s="8"/>
      <c r="AL123" s="8"/>
      <c r="AM123" s="93"/>
      <c r="AN123" s="89"/>
      <c r="AX123"/>
      <c r="AY123"/>
      <c r="AZ123"/>
      <c r="BA123"/>
      <c r="BB123"/>
      <c r="BC123"/>
      <c r="BD123"/>
      <c r="BE123"/>
      <c r="BF123"/>
      <c r="BG123"/>
      <c r="BH123"/>
      <c r="BI123"/>
      <c r="BJ123"/>
      <c r="BK123"/>
      <c r="BL123"/>
      <c r="BM123"/>
      <c r="BN123"/>
      <c r="BO123"/>
      <c r="BP123"/>
      <c r="BQ123"/>
      <c r="BR123"/>
      <c r="BY123"/>
      <c r="BZ123"/>
      <c r="CA123"/>
      <c r="CB123"/>
      <c r="CC123"/>
      <c r="CD123"/>
      <c r="CE123"/>
      <c r="CF123"/>
      <c r="CG123"/>
      <c r="CH123"/>
      <c r="CI123"/>
      <c r="CJ123"/>
      <c r="CK123"/>
      <c r="CL123"/>
      <c r="CM123"/>
      <c r="CN123"/>
      <c r="CO123"/>
      <c r="CP123"/>
      <c r="CQ123"/>
      <c r="CR123"/>
      <c r="CS123"/>
      <c r="CT123"/>
      <c r="CU123"/>
      <c r="CV123"/>
      <c r="CW123"/>
      <c r="CX123"/>
      <c r="CY123"/>
    </row>
    <row r="124" spans="2:103" ht="20.100000000000001" customHeight="1" x14ac:dyDescent="0.25">
      <c r="B124" s="68"/>
      <c r="C124" s="68"/>
      <c r="D124" s="68"/>
      <c r="E124" s="68"/>
      <c r="F124" s="69"/>
      <c r="G124" s="69"/>
      <c r="H124" s="69"/>
      <c r="I124" s="70"/>
      <c r="J124" s="67"/>
      <c r="K124" s="112"/>
      <c r="L124" s="4"/>
      <c r="M124" s="4"/>
      <c r="N124" s="4"/>
      <c r="O124" s="4"/>
      <c r="P124" s="4"/>
      <c r="Q124" s="4"/>
      <c r="R124" s="84"/>
      <c r="S124" s="4"/>
      <c r="T124" s="4"/>
      <c r="U124" s="107"/>
      <c r="V124" s="33"/>
      <c r="W124" s="104"/>
      <c r="X124" s="94"/>
      <c r="Y124" s="94"/>
      <c r="Z124" s="93"/>
      <c r="AA124" s="8"/>
      <c r="AB124" s="93"/>
      <c r="AC124" s="93"/>
      <c r="AD124" s="93"/>
      <c r="AE124" s="8"/>
      <c r="AF124" s="8"/>
      <c r="AG124" s="8"/>
      <c r="AH124" s="8"/>
      <c r="AI124" s="8"/>
      <c r="AJ124" s="8"/>
      <c r="AK124" s="8"/>
      <c r="AL124" s="8"/>
      <c r="AM124" s="93"/>
      <c r="AN124" s="89"/>
      <c r="AX124"/>
      <c r="AY124"/>
      <c r="AZ124"/>
      <c r="BA124"/>
      <c r="BB124"/>
      <c r="BC124"/>
      <c r="BD124"/>
      <c r="BE124"/>
      <c r="BF124"/>
      <c r="BG124"/>
      <c r="BH124"/>
      <c r="BI124"/>
      <c r="BJ124"/>
      <c r="BK124"/>
      <c r="BL124"/>
      <c r="BM124"/>
      <c r="BN124"/>
      <c r="BO124"/>
      <c r="BP124"/>
      <c r="BQ124"/>
      <c r="BR124"/>
      <c r="BY124"/>
      <c r="BZ124"/>
      <c r="CA124"/>
      <c r="CB124"/>
      <c r="CC124"/>
      <c r="CD124"/>
      <c r="CE124"/>
      <c r="CF124"/>
      <c r="CG124"/>
      <c r="CH124"/>
      <c r="CI124"/>
      <c r="CJ124"/>
      <c r="CK124"/>
      <c r="CL124"/>
      <c r="CM124"/>
      <c r="CN124"/>
      <c r="CO124"/>
      <c r="CP124"/>
      <c r="CQ124"/>
      <c r="CR124"/>
      <c r="CS124"/>
      <c r="CT124"/>
      <c r="CU124"/>
      <c r="CV124"/>
      <c r="CW124"/>
      <c r="CX124"/>
      <c r="CY124"/>
    </row>
    <row r="125" spans="2:103" ht="20.100000000000001" customHeight="1" x14ac:dyDescent="0.25">
      <c r="B125" s="68"/>
      <c r="C125" s="68"/>
      <c r="D125" s="68"/>
      <c r="E125" s="68"/>
      <c r="F125" s="69"/>
      <c r="G125" s="69"/>
      <c r="H125" s="69"/>
      <c r="I125" s="70"/>
      <c r="J125" s="67"/>
      <c r="K125" s="112"/>
      <c r="L125" s="4"/>
      <c r="M125" s="4"/>
      <c r="N125" s="4"/>
      <c r="O125" s="4"/>
      <c r="P125" s="4"/>
      <c r="Q125" s="4"/>
      <c r="R125" s="84"/>
      <c r="S125" s="4"/>
      <c r="T125" s="4"/>
      <c r="U125" s="107"/>
      <c r="V125" s="33"/>
      <c r="W125" s="104"/>
      <c r="X125" s="94"/>
      <c r="Y125" s="94"/>
      <c r="Z125" s="93"/>
      <c r="AA125" s="8"/>
      <c r="AB125" s="93"/>
      <c r="AC125" s="93"/>
      <c r="AD125" s="93"/>
      <c r="AE125" s="8"/>
      <c r="AF125" s="8"/>
      <c r="AG125" s="8"/>
      <c r="AH125" s="8"/>
      <c r="AI125" s="8"/>
      <c r="AJ125" s="8"/>
      <c r="AK125" s="8"/>
      <c r="AL125" s="8"/>
      <c r="AM125" s="93"/>
      <c r="AN125" s="89"/>
      <c r="AX125"/>
      <c r="AY125"/>
      <c r="AZ125"/>
      <c r="BA125"/>
      <c r="BB125"/>
      <c r="BC125"/>
      <c r="BD125"/>
      <c r="BE125"/>
      <c r="BF125"/>
      <c r="BG125"/>
      <c r="BH125"/>
      <c r="BI125"/>
      <c r="BJ125"/>
      <c r="BK125"/>
      <c r="BL125"/>
      <c r="BM125"/>
      <c r="BN125"/>
      <c r="BO125"/>
      <c r="BP125"/>
      <c r="BQ125"/>
      <c r="BR125"/>
      <c r="BY125"/>
      <c r="BZ125"/>
      <c r="CA125"/>
      <c r="CB125"/>
      <c r="CC125"/>
      <c r="CD125"/>
      <c r="CE125"/>
      <c r="CF125"/>
      <c r="CG125"/>
      <c r="CH125"/>
      <c r="CI125"/>
      <c r="CJ125"/>
      <c r="CK125"/>
      <c r="CL125"/>
      <c r="CM125"/>
      <c r="CN125"/>
      <c r="CO125"/>
      <c r="CP125"/>
      <c r="CQ125"/>
      <c r="CR125"/>
      <c r="CS125"/>
      <c r="CT125"/>
      <c r="CU125"/>
      <c r="CV125"/>
      <c r="CW125"/>
      <c r="CX125"/>
      <c r="CY125"/>
    </row>
    <row r="126" spans="2:103" ht="20.100000000000001" customHeight="1" x14ac:dyDescent="0.25">
      <c r="B126" s="68"/>
      <c r="C126" s="68"/>
      <c r="D126" s="68"/>
      <c r="E126" s="68"/>
      <c r="F126" s="69"/>
      <c r="G126" s="69"/>
      <c r="H126" s="69"/>
      <c r="I126" s="70"/>
      <c r="J126" s="67"/>
      <c r="K126" s="112"/>
      <c r="L126" s="4"/>
      <c r="M126" s="4"/>
      <c r="N126" s="4"/>
      <c r="O126" s="4"/>
      <c r="P126" s="4"/>
      <c r="Q126" s="4"/>
      <c r="R126" s="84"/>
      <c r="S126" s="4"/>
      <c r="T126" s="4"/>
      <c r="U126" s="107"/>
      <c r="V126" s="33"/>
      <c r="W126" s="104"/>
      <c r="X126" s="94"/>
      <c r="Y126" s="94"/>
      <c r="Z126" s="93"/>
      <c r="AA126" s="8"/>
      <c r="AB126" s="93"/>
      <c r="AC126" s="93"/>
      <c r="AD126" s="93"/>
      <c r="AE126" s="8"/>
      <c r="AF126" s="8"/>
      <c r="AG126" s="8"/>
      <c r="AH126" s="8"/>
      <c r="AI126" s="8"/>
      <c r="AJ126" s="8"/>
      <c r="AK126" s="8"/>
      <c r="AL126" s="8"/>
      <c r="AM126" s="93"/>
      <c r="AN126" s="89"/>
      <c r="AX126"/>
      <c r="AY126"/>
      <c r="AZ126"/>
      <c r="BA126"/>
      <c r="BB126"/>
      <c r="BC126"/>
      <c r="BD126"/>
      <c r="BE126"/>
      <c r="BF126"/>
      <c r="BG126"/>
      <c r="BH126"/>
      <c r="BI126"/>
      <c r="BJ126"/>
      <c r="BK126"/>
      <c r="BL126"/>
      <c r="BM126"/>
      <c r="BN126"/>
      <c r="BO126"/>
      <c r="BP126"/>
      <c r="BQ126"/>
      <c r="BR126"/>
      <c r="BY126"/>
      <c r="BZ126"/>
      <c r="CA126"/>
      <c r="CB126"/>
      <c r="CC126"/>
      <c r="CD126"/>
      <c r="CE126"/>
      <c r="CF126"/>
      <c r="CG126"/>
      <c r="CH126"/>
      <c r="CI126"/>
      <c r="CJ126"/>
      <c r="CK126"/>
      <c r="CL126"/>
      <c r="CM126"/>
      <c r="CN126"/>
      <c r="CO126"/>
      <c r="CP126"/>
      <c r="CQ126"/>
      <c r="CR126"/>
      <c r="CS126"/>
      <c r="CT126"/>
      <c r="CU126"/>
      <c r="CV126"/>
      <c r="CW126"/>
      <c r="CX126"/>
      <c r="CY126"/>
    </row>
    <row r="127" spans="2:103" ht="20.100000000000001" customHeight="1" x14ac:dyDescent="0.25">
      <c r="B127" s="68"/>
      <c r="C127" s="68"/>
      <c r="D127" s="68"/>
      <c r="E127" s="68"/>
      <c r="F127" s="69"/>
      <c r="G127" s="69"/>
      <c r="H127" s="69"/>
      <c r="I127" s="70"/>
      <c r="J127" s="67"/>
      <c r="K127" s="112"/>
      <c r="L127" s="4"/>
      <c r="M127" s="4"/>
      <c r="N127" s="4"/>
      <c r="O127" s="4"/>
      <c r="P127" s="4"/>
      <c r="Q127" s="4"/>
      <c r="R127" s="84"/>
      <c r="S127" s="4"/>
      <c r="T127" s="4"/>
      <c r="U127" s="107"/>
      <c r="V127" s="33"/>
      <c r="W127" s="104"/>
      <c r="X127" s="94"/>
      <c r="Y127" s="94"/>
      <c r="Z127" s="93"/>
      <c r="AA127" s="8"/>
      <c r="AB127" s="93"/>
      <c r="AC127" s="93"/>
      <c r="AD127" s="93"/>
      <c r="AE127" s="8"/>
      <c r="AF127" s="8"/>
      <c r="AG127" s="8"/>
      <c r="AH127" s="8"/>
      <c r="AI127" s="8"/>
      <c r="AJ127" s="8"/>
      <c r="AK127" s="8"/>
      <c r="AL127" s="8"/>
      <c r="AM127" s="93"/>
      <c r="AN127" s="89"/>
      <c r="AX127"/>
      <c r="AY127"/>
      <c r="AZ127"/>
      <c r="BA127"/>
      <c r="BB127"/>
      <c r="BC127"/>
      <c r="BD127"/>
      <c r="BE127"/>
      <c r="BF127"/>
      <c r="BG127"/>
      <c r="BH127"/>
      <c r="BI127"/>
      <c r="BJ127"/>
      <c r="BK127"/>
      <c r="BL127"/>
      <c r="BM127"/>
      <c r="BN127"/>
      <c r="BO127"/>
      <c r="BP127"/>
      <c r="BQ127"/>
      <c r="BR127"/>
      <c r="BY127"/>
      <c r="BZ127"/>
      <c r="CA127"/>
      <c r="CB127"/>
      <c r="CC127"/>
      <c r="CD127"/>
      <c r="CE127"/>
      <c r="CF127"/>
      <c r="CG127"/>
      <c r="CH127"/>
      <c r="CI127"/>
      <c r="CJ127"/>
      <c r="CK127"/>
      <c r="CL127"/>
      <c r="CM127"/>
      <c r="CN127"/>
      <c r="CO127"/>
      <c r="CP127"/>
      <c r="CQ127"/>
      <c r="CR127"/>
      <c r="CS127"/>
      <c r="CT127"/>
      <c r="CU127"/>
      <c r="CV127"/>
      <c r="CW127"/>
      <c r="CX127"/>
      <c r="CY127"/>
    </row>
    <row r="128" spans="2:103" ht="20.100000000000001" customHeight="1" x14ac:dyDescent="0.25">
      <c r="B128" s="68"/>
      <c r="C128" s="68"/>
      <c r="D128" s="68"/>
      <c r="E128" s="68"/>
      <c r="F128" s="69"/>
      <c r="G128" s="69"/>
      <c r="H128" s="69"/>
      <c r="I128" s="70"/>
      <c r="J128" s="67"/>
      <c r="K128" s="112"/>
      <c r="L128" s="4"/>
      <c r="M128" s="4"/>
      <c r="N128" s="4"/>
      <c r="O128" s="4"/>
      <c r="P128" s="4"/>
      <c r="Q128" s="4"/>
      <c r="R128" s="84"/>
      <c r="S128" s="4"/>
      <c r="T128" s="4"/>
      <c r="U128" s="107"/>
      <c r="V128" s="33"/>
      <c r="W128" s="104"/>
      <c r="X128" s="94"/>
      <c r="Y128" s="94"/>
      <c r="Z128" s="93"/>
      <c r="AA128" s="8"/>
      <c r="AB128" s="93"/>
      <c r="AC128" s="93"/>
      <c r="AD128" s="93"/>
      <c r="AE128" s="8"/>
      <c r="AF128" s="8"/>
      <c r="AG128" s="8"/>
      <c r="AH128" s="8"/>
      <c r="AI128" s="8"/>
      <c r="AJ128" s="8"/>
      <c r="AK128" s="8"/>
      <c r="AL128" s="8"/>
      <c r="AM128" s="93"/>
      <c r="AN128" s="89"/>
      <c r="AX128"/>
      <c r="AY128"/>
      <c r="AZ128"/>
      <c r="BA128"/>
      <c r="BB128"/>
      <c r="BC128"/>
      <c r="BD128"/>
      <c r="BE128"/>
      <c r="BF128"/>
      <c r="BG128"/>
      <c r="BH128"/>
      <c r="BI128"/>
      <c r="BJ128"/>
      <c r="BK128"/>
      <c r="BL128"/>
      <c r="BM128"/>
      <c r="BN128"/>
      <c r="BO128"/>
      <c r="BP128"/>
      <c r="BQ128"/>
      <c r="BR128"/>
      <c r="BY128"/>
      <c r="BZ128"/>
      <c r="CA128"/>
      <c r="CB128"/>
      <c r="CC128"/>
      <c r="CD128"/>
      <c r="CE128"/>
      <c r="CF128"/>
      <c r="CG128"/>
      <c r="CH128"/>
      <c r="CI128"/>
      <c r="CJ128"/>
      <c r="CK128"/>
      <c r="CL128"/>
      <c r="CM128"/>
      <c r="CN128"/>
      <c r="CO128"/>
      <c r="CP128"/>
      <c r="CQ128"/>
      <c r="CR128"/>
      <c r="CS128"/>
      <c r="CT128"/>
      <c r="CU128"/>
      <c r="CV128"/>
      <c r="CW128"/>
      <c r="CX128"/>
      <c r="CY128"/>
    </row>
    <row r="129" spans="2:103" ht="20.100000000000001" customHeight="1" x14ac:dyDescent="0.25">
      <c r="B129" s="68"/>
      <c r="C129" s="68"/>
      <c r="D129" s="68"/>
      <c r="E129" s="68"/>
      <c r="F129" s="69"/>
      <c r="G129" s="69"/>
      <c r="H129" s="69"/>
      <c r="I129" s="70"/>
      <c r="J129" s="67"/>
      <c r="K129" s="112"/>
      <c r="L129" s="4"/>
      <c r="M129" s="4"/>
      <c r="N129" s="4"/>
      <c r="O129" s="4"/>
      <c r="P129" s="4"/>
      <c r="Q129" s="4"/>
      <c r="R129" s="84"/>
      <c r="S129" s="4"/>
      <c r="T129" s="4"/>
      <c r="U129" s="107"/>
      <c r="V129" s="33"/>
      <c r="W129" s="104"/>
      <c r="X129" s="94"/>
      <c r="Y129" s="94"/>
      <c r="Z129" s="93"/>
      <c r="AA129" s="8"/>
      <c r="AB129" s="93"/>
      <c r="AC129" s="93"/>
      <c r="AD129" s="93"/>
      <c r="AE129" s="8"/>
      <c r="AF129" s="8"/>
      <c r="AG129" s="8"/>
      <c r="AH129" s="8"/>
      <c r="AI129" s="8"/>
      <c r="AJ129" s="8"/>
      <c r="AK129" s="8"/>
      <c r="AL129" s="8"/>
      <c r="AM129" s="93"/>
      <c r="AN129" s="89"/>
      <c r="AX129"/>
      <c r="AY129"/>
      <c r="AZ129"/>
      <c r="BA129"/>
      <c r="BB129"/>
      <c r="BC129"/>
      <c r="BD129"/>
      <c r="BE129"/>
      <c r="BF129"/>
      <c r="BG129"/>
      <c r="BH129"/>
      <c r="BI129"/>
      <c r="BJ129"/>
      <c r="BK129"/>
      <c r="BL129"/>
      <c r="BM129"/>
      <c r="BN129"/>
      <c r="BO129"/>
      <c r="BP129"/>
      <c r="BQ129"/>
      <c r="BR129"/>
      <c r="BY129"/>
      <c r="BZ129"/>
      <c r="CA129"/>
      <c r="CB129"/>
      <c r="CC129"/>
      <c r="CD129"/>
      <c r="CE129"/>
      <c r="CF129"/>
      <c r="CG129"/>
      <c r="CH129"/>
      <c r="CI129"/>
      <c r="CJ129"/>
      <c r="CK129"/>
      <c r="CL129"/>
      <c r="CM129"/>
      <c r="CN129"/>
      <c r="CO129"/>
      <c r="CP129"/>
      <c r="CQ129"/>
      <c r="CR129"/>
      <c r="CS129"/>
      <c r="CT129"/>
      <c r="CU129"/>
      <c r="CV129"/>
      <c r="CW129"/>
      <c r="CX129"/>
      <c r="CY129"/>
    </row>
    <row r="130" spans="2:103" ht="20.100000000000001" customHeight="1" x14ac:dyDescent="0.25">
      <c r="B130" s="68"/>
      <c r="C130" s="68"/>
      <c r="D130" s="68"/>
      <c r="E130" s="68"/>
      <c r="F130" s="69"/>
      <c r="G130" s="69"/>
      <c r="H130" s="69"/>
      <c r="I130" s="70"/>
      <c r="J130" s="67"/>
      <c r="K130" s="112"/>
      <c r="L130" s="4"/>
      <c r="M130" s="4"/>
      <c r="N130" s="4"/>
      <c r="O130" s="4"/>
      <c r="P130" s="4"/>
      <c r="Q130" s="4"/>
      <c r="R130" s="84"/>
      <c r="S130" s="4"/>
      <c r="T130" s="4"/>
      <c r="U130" s="107"/>
      <c r="V130" s="33"/>
      <c r="W130" s="104"/>
      <c r="X130" s="94"/>
      <c r="Y130" s="94"/>
      <c r="Z130" s="93"/>
      <c r="AA130" s="8"/>
      <c r="AB130" s="93"/>
      <c r="AC130" s="93"/>
      <c r="AD130" s="93"/>
      <c r="AE130" s="8"/>
      <c r="AF130" s="8"/>
      <c r="AG130" s="8"/>
      <c r="AH130" s="8"/>
      <c r="AI130" s="8"/>
      <c r="AJ130" s="8"/>
      <c r="AK130" s="8"/>
      <c r="AL130" s="8"/>
      <c r="AM130" s="93"/>
      <c r="AN130" s="89"/>
      <c r="AX130"/>
      <c r="AY130"/>
      <c r="AZ130"/>
      <c r="BA130"/>
      <c r="BB130"/>
      <c r="BC130"/>
      <c r="BD130"/>
      <c r="BE130"/>
      <c r="BF130"/>
      <c r="BG130"/>
      <c r="BH130"/>
      <c r="BI130"/>
      <c r="BJ130"/>
      <c r="BK130"/>
      <c r="BL130"/>
      <c r="BM130"/>
      <c r="BN130"/>
      <c r="BO130"/>
      <c r="BP130"/>
      <c r="BQ130"/>
      <c r="BR130"/>
      <c r="BY130"/>
      <c r="BZ130"/>
      <c r="CA130"/>
      <c r="CB130"/>
      <c r="CC130"/>
      <c r="CD130"/>
      <c r="CE130"/>
      <c r="CF130"/>
      <c r="CG130"/>
      <c r="CH130"/>
      <c r="CI130"/>
      <c r="CJ130"/>
      <c r="CK130"/>
      <c r="CL130"/>
      <c r="CM130"/>
      <c r="CN130"/>
      <c r="CO130"/>
      <c r="CP130"/>
      <c r="CQ130"/>
      <c r="CR130"/>
      <c r="CS130"/>
      <c r="CT130"/>
      <c r="CU130"/>
      <c r="CV130"/>
      <c r="CW130"/>
      <c r="CX130"/>
      <c r="CY130"/>
    </row>
    <row r="131" spans="2:103" ht="20.100000000000001" customHeight="1" x14ac:dyDescent="0.25">
      <c r="B131" s="68"/>
      <c r="C131" s="68"/>
      <c r="D131" s="68"/>
      <c r="E131" s="68"/>
      <c r="F131" s="69"/>
      <c r="G131" s="69"/>
      <c r="H131" s="69"/>
      <c r="I131" s="70"/>
      <c r="J131" s="67"/>
      <c r="K131" s="112"/>
      <c r="L131" s="4"/>
      <c r="M131" s="4"/>
      <c r="N131" s="4"/>
      <c r="O131" s="4"/>
      <c r="P131" s="4"/>
      <c r="Q131" s="4"/>
      <c r="R131" s="84"/>
      <c r="S131" s="4"/>
      <c r="T131" s="4"/>
      <c r="U131" s="107"/>
      <c r="V131" s="33"/>
      <c r="W131" s="104"/>
      <c r="X131" s="94"/>
      <c r="Y131" s="94"/>
      <c r="Z131" s="93"/>
      <c r="AA131" s="8"/>
      <c r="AB131" s="93"/>
      <c r="AC131" s="93"/>
      <c r="AD131" s="93"/>
      <c r="AE131" s="8"/>
      <c r="AF131" s="8"/>
      <c r="AG131" s="8"/>
      <c r="AH131" s="8"/>
      <c r="AI131" s="8"/>
      <c r="AJ131" s="8"/>
      <c r="AK131" s="8"/>
      <c r="AL131" s="8"/>
      <c r="AM131" s="93"/>
      <c r="AN131" s="89"/>
      <c r="AX131"/>
      <c r="AY131"/>
      <c r="AZ131"/>
      <c r="BA131"/>
      <c r="BB131"/>
      <c r="BC131"/>
      <c r="BD131"/>
      <c r="BE131"/>
      <c r="BF131"/>
      <c r="BG131"/>
      <c r="BH131"/>
      <c r="BI131"/>
      <c r="BJ131"/>
      <c r="BK131"/>
      <c r="BL131"/>
      <c r="BM131"/>
      <c r="BN131"/>
      <c r="BO131"/>
      <c r="BP131"/>
      <c r="BQ131"/>
      <c r="BR131"/>
      <c r="BY131"/>
      <c r="BZ131"/>
      <c r="CA131"/>
      <c r="CB131"/>
      <c r="CC131"/>
      <c r="CD131"/>
      <c r="CE131"/>
      <c r="CF131"/>
      <c r="CG131"/>
      <c r="CH131"/>
      <c r="CI131"/>
      <c r="CJ131"/>
      <c r="CK131"/>
      <c r="CL131"/>
      <c r="CM131"/>
      <c r="CN131"/>
      <c r="CO131"/>
      <c r="CP131"/>
      <c r="CQ131"/>
      <c r="CR131"/>
      <c r="CS131"/>
      <c r="CT131"/>
      <c r="CU131"/>
      <c r="CV131"/>
      <c r="CW131"/>
      <c r="CX131"/>
      <c r="CY131"/>
    </row>
    <row r="132" spans="2:103" ht="20.100000000000001" customHeight="1" x14ac:dyDescent="0.25">
      <c r="B132" s="68"/>
      <c r="C132" s="68"/>
      <c r="D132" s="68"/>
      <c r="E132" s="68"/>
      <c r="F132" s="69"/>
      <c r="G132" s="69"/>
      <c r="H132" s="69"/>
      <c r="I132" s="70"/>
      <c r="J132" s="67"/>
      <c r="K132" s="112"/>
      <c r="L132" s="4"/>
      <c r="M132" s="4"/>
      <c r="N132" s="4"/>
      <c r="O132" s="4"/>
      <c r="P132" s="4"/>
      <c r="Q132" s="4"/>
      <c r="R132" s="84"/>
      <c r="S132" s="4"/>
      <c r="T132" s="4"/>
      <c r="U132" s="107"/>
      <c r="V132" s="33"/>
      <c r="W132" s="104"/>
      <c r="X132" s="94"/>
      <c r="Y132" s="94"/>
      <c r="Z132" s="93"/>
      <c r="AA132" s="8"/>
      <c r="AB132" s="93"/>
      <c r="AC132" s="93"/>
      <c r="AD132" s="93"/>
      <c r="AE132" s="8"/>
      <c r="AF132" s="8"/>
      <c r="AG132" s="8"/>
      <c r="AH132" s="8"/>
      <c r="AI132" s="8"/>
      <c r="AJ132" s="8"/>
      <c r="AK132" s="8"/>
      <c r="AL132" s="8"/>
      <c r="AM132" s="93"/>
      <c r="AN132" s="89"/>
      <c r="AX132"/>
      <c r="AY132"/>
      <c r="AZ132"/>
      <c r="BA132"/>
      <c r="BB132"/>
      <c r="BC132"/>
      <c r="BD132"/>
      <c r="BE132"/>
      <c r="BF132"/>
      <c r="BG132"/>
      <c r="BH132"/>
      <c r="BI132"/>
      <c r="BJ132"/>
      <c r="BK132"/>
      <c r="BL132"/>
      <c r="BM132"/>
      <c r="BN132"/>
      <c r="BO132"/>
      <c r="BP132"/>
      <c r="BQ132"/>
      <c r="BR132"/>
      <c r="BY132"/>
      <c r="BZ132"/>
      <c r="CA132"/>
      <c r="CB132"/>
      <c r="CC132"/>
      <c r="CD132"/>
      <c r="CE132"/>
      <c r="CF132"/>
      <c r="CG132"/>
      <c r="CH132"/>
      <c r="CI132"/>
      <c r="CJ132"/>
      <c r="CK132"/>
      <c r="CL132"/>
      <c r="CM132"/>
      <c r="CN132"/>
      <c r="CO132"/>
      <c r="CP132"/>
      <c r="CQ132"/>
      <c r="CR132"/>
      <c r="CS132"/>
      <c r="CT132"/>
      <c r="CU132"/>
      <c r="CV132"/>
      <c r="CW132"/>
      <c r="CX132"/>
      <c r="CY132"/>
    </row>
    <row r="133" spans="2:103" ht="20.100000000000001" customHeight="1" x14ac:dyDescent="0.25">
      <c r="B133" s="68"/>
      <c r="C133" s="68"/>
      <c r="D133" s="68"/>
      <c r="E133" s="68"/>
      <c r="F133" s="69"/>
      <c r="G133" s="69"/>
      <c r="H133" s="69"/>
      <c r="I133" s="70"/>
      <c r="J133" s="67"/>
      <c r="K133" s="112"/>
      <c r="L133" s="4"/>
      <c r="M133" s="4"/>
      <c r="N133" s="4"/>
      <c r="O133" s="4"/>
      <c r="P133" s="4"/>
      <c r="Q133" s="4"/>
      <c r="R133" s="84"/>
      <c r="S133" s="4"/>
      <c r="T133" s="4"/>
      <c r="U133" s="107"/>
      <c r="V133" s="33"/>
      <c r="W133" s="104"/>
      <c r="X133" s="94"/>
      <c r="Y133" s="94"/>
      <c r="Z133" s="93"/>
      <c r="AA133" s="8"/>
      <c r="AB133" s="93"/>
      <c r="AC133" s="93"/>
      <c r="AD133" s="93"/>
      <c r="AE133" s="8"/>
      <c r="AF133" s="8"/>
      <c r="AG133" s="8"/>
      <c r="AH133" s="8"/>
      <c r="AI133" s="8"/>
      <c r="AJ133" s="8"/>
      <c r="AK133" s="8"/>
      <c r="AL133" s="8"/>
      <c r="AM133" s="93"/>
      <c r="AN133" s="89"/>
      <c r="AX133"/>
      <c r="AY133"/>
      <c r="AZ133"/>
      <c r="BA133"/>
      <c r="BB133"/>
      <c r="BC133"/>
      <c r="BD133"/>
      <c r="BE133"/>
      <c r="BF133"/>
      <c r="BG133"/>
      <c r="BH133"/>
      <c r="BI133"/>
      <c r="BJ133"/>
      <c r="BK133"/>
      <c r="BL133"/>
      <c r="BM133"/>
      <c r="BN133"/>
      <c r="BO133"/>
      <c r="BP133"/>
      <c r="BQ133"/>
      <c r="BR133"/>
      <c r="BY133"/>
      <c r="BZ133"/>
      <c r="CA133"/>
      <c r="CB133"/>
      <c r="CC133"/>
      <c r="CD133"/>
      <c r="CE133"/>
      <c r="CF133"/>
      <c r="CG133"/>
      <c r="CH133"/>
      <c r="CI133"/>
      <c r="CJ133"/>
      <c r="CK133"/>
      <c r="CL133"/>
      <c r="CM133"/>
      <c r="CN133"/>
      <c r="CO133"/>
      <c r="CP133"/>
      <c r="CQ133"/>
      <c r="CR133"/>
      <c r="CS133"/>
      <c r="CT133"/>
      <c r="CU133"/>
      <c r="CV133"/>
      <c r="CW133"/>
      <c r="CX133"/>
      <c r="CY133"/>
    </row>
    <row r="134" spans="2:103" ht="20.100000000000001" customHeight="1" x14ac:dyDescent="0.25">
      <c r="B134" s="68"/>
      <c r="C134" s="68"/>
      <c r="D134" s="68"/>
      <c r="E134" s="68"/>
      <c r="F134" s="69"/>
      <c r="G134" s="69"/>
      <c r="H134" s="69"/>
      <c r="I134" s="70"/>
      <c r="J134" s="67"/>
      <c r="K134" s="112"/>
      <c r="L134" s="4"/>
      <c r="M134" s="4"/>
      <c r="N134" s="4"/>
      <c r="O134" s="4"/>
      <c r="P134" s="4"/>
      <c r="Q134" s="4"/>
      <c r="R134" s="84"/>
      <c r="S134" s="4"/>
      <c r="T134" s="4"/>
      <c r="U134" s="107"/>
      <c r="V134" s="33"/>
      <c r="W134" s="104"/>
      <c r="X134" s="94"/>
      <c r="Y134" s="94"/>
      <c r="Z134" s="93"/>
      <c r="AA134" s="8"/>
      <c r="AB134" s="93"/>
      <c r="AC134" s="93"/>
      <c r="AD134" s="93"/>
      <c r="AE134" s="8"/>
      <c r="AF134" s="8"/>
      <c r="AG134" s="8"/>
      <c r="AH134" s="8"/>
      <c r="AI134" s="8"/>
      <c r="AJ134" s="8"/>
      <c r="AK134" s="8"/>
      <c r="AL134" s="8"/>
      <c r="AM134" s="93"/>
      <c r="AN134" s="89"/>
      <c r="AX134"/>
      <c r="AY134"/>
      <c r="AZ134"/>
      <c r="BA134"/>
      <c r="BB134"/>
      <c r="BC134"/>
      <c r="BD134"/>
      <c r="BE134"/>
      <c r="BF134"/>
      <c r="BG134"/>
      <c r="BH134"/>
      <c r="BI134"/>
      <c r="BJ134"/>
      <c r="BK134"/>
      <c r="BL134"/>
      <c r="BM134"/>
      <c r="BN134"/>
      <c r="BO134"/>
      <c r="BP134"/>
      <c r="BQ134"/>
      <c r="BR134"/>
      <c r="BY134"/>
      <c r="BZ134"/>
      <c r="CA134"/>
      <c r="CB134"/>
      <c r="CC134"/>
      <c r="CD134"/>
      <c r="CE134"/>
      <c r="CF134"/>
      <c r="CG134"/>
      <c r="CH134"/>
      <c r="CI134"/>
      <c r="CJ134"/>
      <c r="CK134"/>
      <c r="CL134"/>
      <c r="CM134"/>
      <c r="CN134"/>
      <c r="CO134"/>
      <c r="CP134"/>
      <c r="CQ134"/>
      <c r="CR134"/>
      <c r="CS134"/>
      <c r="CT134"/>
      <c r="CU134"/>
      <c r="CV134"/>
      <c r="CW134"/>
      <c r="CX134"/>
      <c r="CY134"/>
    </row>
    <row r="135" spans="2:103" ht="20.100000000000001" customHeight="1" x14ac:dyDescent="0.25">
      <c r="B135" s="68"/>
      <c r="C135" s="68"/>
      <c r="D135" s="68"/>
      <c r="E135" s="68"/>
      <c r="F135" s="69"/>
      <c r="G135" s="69"/>
      <c r="H135" s="69"/>
      <c r="I135" s="70"/>
      <c r="J135" s="67"/>
      <c r="K135" s="112"/>
      <c r="L135" s="4"/>
      <c r="M135" s="4"/>
      <c r="N135" s="4"/>
      <c r="O135" s="4"/>
      <c r="P135" s="4"/>
      <c r="Q135" s="4"/>
      <c r="R135" s="84"/>
      <c r="S135" s="4"/>
      <c r="T135" s="4"/>
      <c r="U135" s="107"/>
      <c r="V135" s="33"/>
      <c r="W135" s="104"/>
      <c r="X135" s="94"/>
      <c r="Y135" s="94"/>
      <c r="Z135" s="93"/>
      <c r="AA135" s="8"/>
      <c r="AB135" s="93"/>
      <c r="AC135" s="93"/>
      <c r="AD135" s="93"/>
      <c r="AE135" s="8"/>
      <c r="AF135" s="8"/>
      <c r="AG135" s="8"/>
      <c r="AH135" s="8"/>
      <c r="AI135" s="8"/>
      <c r="AJ135" s="8"/>
      <c r="AK135" s="8"/>
      <c r="AL135" s="8"/>
      <c r="AM135" s="93"/>
      <c r="AN135" s="89"/>
      <c r="AX135"/>
      <c r="AY135"/>
      <c r="AZ135"/>
      <c r="BA135"/>
      <c r="BB135"/>
      <c r="BC135"/>
      <c r="BD135"/>
      <c r="BE135"/>
      <c r="BF135"/>
      <c r="BG135"/>
      <c r="BH135"/>
      <c r="BI135"/>
      <c r="BJ135"/>
      <c r="BK135"/>
      <c r="BL135"/>
      <c r="BM135"/>
      <c r="BN135"/>
      <c r="BO135"/>
      <c r="BP135"/>
      <c r="BQ135"/>
      <c r="BR135"/>
      <c r="BY135"/>
      <c r="BZ135"/>
      <c r="CA135"/>
      <c r="CB135"/>
      <c r="CC135"/>
      <c r="CD135"/>
      <c r="CE135"/>
      <c r="CF135"/>
      <c r="CG135"/>
      <c r="CH135"/>
      <c r="CI135"/>
      <c r="CJ135"/>
      <c r="CK135"/>
      <c r="CL135"/>
      <c r="CM135"/>
      <c r="CN135"/>
      <c r="CO135"/>
      <c r="CP135"/>
      <c r="CQ135"/>
      <c r="CR135"/>
      <c r="CS135"/>
      <c r="CT135"/>
      <c r="CU135"/>
      <c r="CV135"/>
      <c r="CW135"/>
      <c r="CX135"/>
      <c r="CY135"/>
    </row>
    <row r="136" spans="2:103" ht="20.100000000000001" customHeight="1" x14ac:dyDescent="0.25">
      <c r="B136" s="68"/>
      <c r="C136" s="68"/>
      <c r="D136" s="68"/>
      <c r="E136" s="68"/>
      <c r="F136" s="69"/>
      <c r="G136" s="69"/>
      <c r="H136" s="69"/>
      <c r="I136" s="70"/>
      <c r="J136" s="67"/>
      <c r="K136" s="112"/>
      <c r="L136" s="4"/>
      <c r="M136" s="4"/>
      <c r="N136" s="4"/>
      <c r="O136" s="4"/>
      <c r="P136" s="4"/>
      <c r="Q136" s="4"/>
      <c r="R136" s="84"/>
      <c r="S136" s="4"/>
      <c r="T136" s="4"/>
      <c r="U136" s="107"/>
      <c r="V136" s="33"/>
      <c r="W136" s="104"/>
      <c r="X136" s="94"/>
      <c r="Y136" s="94"/>
      <c r="Z136" s="93"/>
      <c r="AA136" s="8"/>
      <c r="AB136" s="93"/>
      <c r="AC136" s="93"/>
      <c r="AD136" s="93"/>
      <c r="AE136" s="8"/>
      <c r="AF136" s="8"/>
      <c r="AG136" s="8"/>
      <c r="AH136" s="8"/>
      <c r="AI136" s="8"/>
      <c r="AJ136" s="8"/>
      <c r="AK136" s="8"/>
      <c r="AL136" s="8"/>
      <c r="AM136" s="93"/>
      <c r="AN136" s="89"/>
      <c r="AX136"/>
      <c r="AY136"/>
      <c r="AZ136"/>
      <c r="BA136"/>
      <c r="BB136"/>
      <c r="BC136"/>
      <c r="BD136"/>
      <c r="BE136"/>
      <c r="BF136"/>
      <c r="BG136"/>
      <c r="BH136"/>
      <c r="BI136"/>
      <c r="BJ136"/>
      <c r="BK136"/>
      <c r="BL136"/>
      <c r="BM136"/>
      <c r="BN136"/>
      <c r="BO136"/>
      <c r="BP136"/>
      <c r="BQ136"/>
      <c r="BR136"/>
      <c r="BY136"/>
      <c r="BZ136"/>
      <c r="CA136"/>
      <c r="CB136"/>
      <c r="CC136"/>
      <c r="CD136"/>
      <c r="CE136"/>
      <c r="CF136"/>
      <c r="CG136"/>
      <c r="CH136"/>
      <c r="CI136"/>
      <c r="CJ136"/>
      <c r="CK136"/>
      <c r="CL136"/>
      <c r="CM136"/>
      <c r="CN136"/>
      <c r="CO136"/>
      <c r="CP136"/>
      <c r="CQ136"/>
      <c r="CR136"/>
      <c r="CS136"/>
      <c r="CT136"/>
      <c r="CU136"/>
      <c r="CV136"/>
      <c r="CW136"/>
      <c r="CX136"/>
      <c r="CY136"/>
    </row>
    <row r="137" spans="2:103" ht="20.100000000000001" customHeight="1" x14ac:dyDescent="0.25">
      <c r="B137" s="68"/>
      <c r="C137" s="68"/>
      <c r="D137" s="68"/>
      <c r="E137" s="68"/>
      <c r="F137" s="69"/>
      <c r="G137" s="69"/>
      <c r="H137" s="69"/>
      <c r="I137" s="70"/>
      <c r="J137" s="67"/>
      <c r="K137" s="112"/>
      <c r="L137" s="4"/>
      <c r="M137" s="4"/>
      <c r="N137" s="4"/>
      <c r="O137" s="4"/>
      <c r="P137" s="4"/>
      <c r="Q137" s="4"/>
      <c r="R137" s="84"/>
      <c r="S137" s="4"/>
      <c r="T137" s="4"/>
      <c r="U137" s="107"/>
      <c r="V137" s="33"/>
      <c r="W137" s="104"/>
      <c r="X137" s="94"/>
      <c r="Y137" s="94"/>
      <c r="Z137" s="93"/>
      <c r="AA137" s="8"/>
      <c r="AB137" s="93"/>
      <c r="AC137" s="93"/>
      <c r="AD137" s="93"/>
      <c r="AE137" s="8"/>
      <c r="AF137" s="8"/>
      <c r="AG137" s="8"/>
      <c r="AH137" s="8"/>
      <c r="AI137" s="8"/>
      <c r="AJ137" s="8"/>
      <c r="AK137" s="8"/>
      <c r="AL137" s="8"/>
      <c r="AM137" s="93"/>
      <c r="AN137" s="89"/>
      <c r="AX137"/>
      <c r="AY137"/>
      <c r="AZ137"/>
      <c r="BA137"/>
      <c r="BB137"/>
      <c r="BC137"/>
      <c r="BD137"/>
      <c r="BE137"/>
      <c r="BF137"/>
      <c r="BG137"/>
      <c r="BH137"/>
      <c r="BI137"/>
      <c r="BJ137"/>
      <c r="BK137"/>
      <c r="BL137"/>
      <c r="BM137"/>
      <c r="BN137"/>
      <c r="BO137"/>
      <c r="BP137"/>
      <c r="BQ137"/>
      <c r="BR137"/>
      <c r="BY137"/>
      <c r="BZ137"/>
      <c r="CA137"/>
      <c r="CB137"/>
      <c r="CC137"/>
      <c r="CD137"/>
      <c r="CE137"/>
      <c r="CF137"/>
      <c r="CG137"/>
      <c r="CH137"/>
      <c r="CI137"/>
      <c r="CJ137"/>
      <c r="CK137"/>
      <c r="CL137"/>
      <c r="CM137"/>
      <c r="CN137"/>
      <c r="CO137"/>
      <c r="CP137"/>
      <c r="CQ137"/>
      <c r="CR137"/>
      <c r="CS137"/>
      <c r="CT137"/>
      <c r="CU137"/>
      <c r="CV137"/>
      <c r="CW137"/>
      <c r="CX137"/>
      <c r="CY137"/>
    </row>
    <row r="138" spans="2:103" ht="20.100000000000001" customHeight="1" x14ac:dyDescent="0.25">
      <c r="B138" s="68"/>
      <c r="C138" s="68"/>
      <c r="D138" s="68"/>
      <c r="E138" s="68"/>
      <c r="F138" s="69"/>
      <c r="G138" s="69"/>
      <c r="H138" s="69"/>
      <c r="I138" s="70"/>
      <c r="J138" s="67"/>
      <c r="K138" s="112"/>
      <c r="L138" s="4"/>
      <c r="M138" s="4"/>
      <c r="N138" s="4"/>
      <c r="O138" s="4"/>
      <c r="P138" s="4"/>
      <c r="Q138" s="4"/>
      <c r="R138" s="84"/>
      <c r="S138" s="4"/>
      <c r="T138" s="4"/>
      <c r="U138" s="107"/>
      <c r="V138" s="33"/>
      <c r="W138" s="104"/>
      <c r="X138" s="94"/>
      <c r="Y138" s="94"/>
      <c r="Z138" s="93"/>
      <c r="AA138" s="8"/>
      <c r="AB138" s="93"/>
      <c r="AC138" s="93"/>
      <c r="AD138" s="93"/>
      <c r="AE138" s="8"/>
      <c r="AF138" s="8"/>
      <c r="AG138" s="8"/>
      <c r="AH138" s="8"/>
      <c r="AI138" s="8"/>
      <c r="AJ138" s="8"/>
      <c r="AK138" s="8"/>
      <c r="AL138" s="8"/>
      <c r="AM138" s="93"/>
      <c r="AN138" s="89"/>
      <c r="AX138"/>
      <c r="AY138"/>
      <c r="AZ138"/>
      <c r="BA138"/>
      <c r="BB138"/>
      <c r="BC138"/>
      <c r="BD138"/>
      <c r="BE138"/>
      <c r="BF138"/>
      <c r="BG138"/>
      <c r="BH138"/>
      <c r="BI138"/>
      <c r="BJ138"/>
      <c r="BK138"/>
      <c r="BL138"/>
      <c r="BM138"/>
      <c r="BN138"/>
      <c r="BO138"/>
      <c r="BP138"/>
      <c r="BQ138"/>
      <c r="BR138"/>
      <c r="BY138"/>
      <c r="BZ138"/>
      <c r="CA138"/>
      <c r="CB138"/>
      <c r="CC138"/>
      <c r="CD138"/>
      <c r="CE138"/>
      <c r="CF138"/>
      <c r="CG138"/>
      <c r="CH138"/>
      <c r="CI138"/>
      <c r="CJ138"/>
      <c r="CK138"/>
      <c r="CL138"/>
      <c r="CM138"/>
      <c r="CN138"/>
      <c r="CO138"/>
      <c r="CP138"/>
      <c r="CQ138"/>
      <c r="CR138"/>
      <c r="CS138"/>
      <c r="CT138"/>
      <c r="CU138"/>
      <c r="CV138"/>
      <c r="CW138"/>
      <c r="CX138"/>
      <c r="CY138"/>
    </row>
    <row r="139" spans="2:103" ht="20.100000000000001" customHeight="1" x14ac:dyDescent="0.25">
      <c r="B139" s="68"/>
      <c r="C139" s="68"/>
      <c r="D139" s="68"/>
      <c r="E139" s="68"/>
      <c r="F139" s="69"/>
      <c r="G139" s="69"/>
      <c r="H139" s="69"/>
      <c r="I139" s="70"/>
      <c r="J139" s="67"/>
      <c r="K139" s="112"/>
      <c r="L139" s="4"/>
      <c r="M139" s="4"/>
      <c r="N139" s="4"/>
      <c r="O139" s="4"/>
      <c r="P139" s="4"/>
      <c r="Q139" s="4"/>
      <c r="R139" s="84"/>
      <c r="S139" s="4"/>
      <c r="T139" s="4"/>
      <c r="U139" s="107"/>
      <c r="V139" s="33"/>
      <c r="W139" s="104"/>
      <c r="X139" s="94"/>
      <c r="Y139" s="94"/>
      <c r="Z139" s="93"/>
      <c r="AA139" s="8"/>
      <c r="AB139" s="93"/>
      <c r="AC139" s="93"/>
      <c r="AD139" s="93"/>
      <c r="AE139" s="8"/>
      <c r="AF139" s="8"/>
      <c r="AG139" s="8"/>
      <c r="AH139" s="8"/>
      <c r="AI139" s="8"/>
      <c r="AJ139" s="8"/>
      <c r="AK139" s="8"/>
      <c r="AL139" s="8"/>
      <c r="AM139" s="93"/>
      <c r="AN139" s="89"/>
      <c r="AX139"/>
      <c r="AY139"/>
      <c r="AZ139"/>
      <c r="BA139"/>
      <c r="BB139"/>
      <c r="BC139"/>
      <c r="BD139"/>
      <c r="BE139"/>
      <c r="BF139"/>
      <c r="BG139"/>
      <c r="BH139"/>
      <c r="BI139"/>
      <c r="BJ139"/>
      <c r="BK139"/>
      <c r="BL139"/>
      <c r="BM139"/>
      <c r="BN139"/>
      <c r="BO139"/>
      <c r="BP139"/>
      <c r="BQ139"/>
      <c r="BR139"/>
      <c r="BY139"/>
      <c r="BZ139"/>
      <c r="CA139"/>
      <c r="CB139"/>
      <c r="CC139"/>
      <c r="CD139"/>
      <c r="CE139"/>
      <c r="CF139"/>
      <c r="CG139"/>
      <c r="CH139"/>
      <c r="CI139"/>
      <c r="CJ139"/>
      <c r="CK139"/>
      <c r="CL139"/>
      <c r="CM139"/>
      <c r="CN139"/>
      <c r="CO139"/>
      <c r="CP139"/>
      <c r="CQ139"/>
      <c r="CR139"/>
      <c r="CS139"/>
      <c r="CT139"/>
      <c r="CU139"/>
      <c r="CV139"/>
      <c r="CW139"/>
      <c r="CX139"/>
      <c r="CY139"/>
    </row>
    <row r="140" spans="2:103" ht="20.100000000000001" customHeight="1" x14ac:dyDescent="0.25">
      <c r="B140" s="68"/>
      <c r="C140" s="68"/>
      <c r="D140" s="68"/>
      <c r="E140" s="68"/>
      <c r="F140" s="69"/>
      <c r="G140" s="69"/>
      <c r="H140" s="69"/>
      <c r="I140" s="70"/>
      <c r="J140" s="67"/>
      <c r="K140" s="112"/>
      <c r="L140" s="4"/>
      <c r="M140" s="4"/>
      <c r="N140" s="4"/>
      <c r="O140" s="4"/>
      <c r="P140" s="4"/>
      <c r="Q140" s="4"/>
      <c r="R140" s="84"/>
      <c r="S140" s="4"/>
      <c r="T140" s="4"/>
      <c r="U140" s="107"/>
      <c r="V140" s="33"/>
      <c r="W140" s="104"/>
      <c r="X140" s="94"/>
      <c r="Y140" s="94"/>
      <c r="Z140" s="93"/>
      <c r="AA140" s="8"/>
      <c r="AB140" s="93"/>
      <c r="AC140" s="93"/>
      <c r="AD140" s="93"/>
      <c r="AE140" s="8"/>
      <c r="AF140" s="8"/>
      <c r="AG140" s="8"/>
      <c r="AH140" s="8"/>
      <c r="AI140" s="8"/>
      <c r="AJ140" s="8"/>
      <c r="AK140" s="8"/>
      <c r="AL140" s="8"/>
      <c r="AM140" s="93"/>
      <c r="AN140" s="89"/>
      <c r="AX140"/>
      <c r="AY140"/>
      <c r="AZ140"/>
      <c r="BA140"/>
      <c r="BB140"/>
      <c r="BC140"/>
      <c r="BD140"/>
      <c r="BE140"/>
      <c r="BF140"/>
      <c r="BG140"/>
      <c r="BH140"/>
      <c r="BI140"/>
      <c r="BJ140"/>
      <c r="BK140"/>
      <c r="BL140"/>
      <c r="BM140"/>
      <c r="BN140"/>
      <c r="BO140"/>
      <c r="BP140"/>
      <c r="BQ140"/>
      <c r="BR140"/>
      <c r="BY140"/>
      <c r="BZ140"/>
      <c r="CA140"/>
      <c r="CB140"/>
      <c r="CC140"/>
      <c r="CD140"/>
      <c r="CE140"/>
      <c r="CF140"/>
      <c r="CG140"/>
      <c r="CH140"/>
      <c r="CI140"/>
      <c r="CJ140"/>
      <c r="CK140"/>
      <c r="CL140"/>
      <c r="CM140"/>
      <c r="CN140"/>
      <c r="CO140"/>
      <c r="CP140"/>
      <c r="CQ140"/>
      <c r="CR140"/>
      <c r="CS140"/>
      <c r="CT140"/>
      <c r="CU140"/>
      <c r="CV140"/>
      <c r="CW140"/>
      <c r="CX140"/>
      <c r="CY140"/>
    </row>
    <row r="141" spans="2:103" ht="20.100000000000001" customHeight="1" x14ac:dyDescent="0.25">
      <c r="B141" s="68"/>
      <c r="C141" s="68"/>
      <c r="D141" s="68"/>
      <c r="E141" s="68"/>
      <c r="F141" s="69"/>
      <c r="G141" s="69"/>
      <c r="H141" s="69"/>
      <c r="I141" s="70"/>
      <c r="J141" s="67"/>
      <c r="K141" s="112"/>
      <c r="L141" s="4"/>
      <c r="M141" s="4"/>
      <c r="N141" s="4"/>
      <c r="O141" s="4"/>
      <c r="P141" s="4"/>
      <c r="Q141" s="4"/>
      <c r="R141" s="84"/>
      <c r="S141" s="4"/>
      <c r="T141" s="4"/>
      <c r="U141" s="107"/>
      <c r="V141" s="33"/>
      <c r="W141" s="104"/>
      <c r="X141" s="94"/>
      <c r="Y141" s="94"/>
      <c r="Z141" s="93"/>
      <c r="AA141" s="8"/>
      <c r="AB141" s="93"/>
      <c r="AC141" s="93"/>
      <c r="AD141" s="93"/>
      <c r="AE141" s="8"/>
      <c r="AF141" s="8"/>
      <c r="AG141" s="8"/>
      <c r="AH141" s="8"/>
      <c r="AI141" s="8"/>
      <c r="AJ141" s="8"/>
      <c r="AK141" s="8"/>
      <c r="AL141" s="8"/>
      <c r="AM141" s="93"/>
      <c r="AN141" s="89"/>
      <c r="AX141"/>
      <c r="AY141"/>
      <c r="AZ141"/>
      <c r="BA141"/>
      <c r="BB141"/>
      <c r="BC141"/>
      <c r="BD141"/>
      <c r="BE141"/>
      <c r="BF141"/>
      <c r="BG141"/>
      <c r="BH141"/>
      <c r="BI141"/>
      <c r="BJ141"/>
      <c r="BK141"/>
      <c r="BL141"/>
      <c r="BM141"/>
      <c r="BN141"/>
      <c r="BO141"/>
      <c r="BP141"/>
      <c r="BQ141"/>
      <c r="BR141"/>
      <c r="BY141"/>
      <c r="BZ141"/>
      <c r="CA141"/>
      <c r="CB141"/>
      <c r="CC141"/>
      <c r="CD141"/>
      <c r="CE141"/>
      <c r="CF141"/>
      <c r="CG141"/>
      <c r="CH141"/>
      <c r="CI141"/>
      <c r="CJ141"/>
      <c r="CK141"/>
      <c r="CL141"/>
      <c r="CM141"/>
      <c r="CN141"/>
      <c r="CO141"/>
      <c r="CP141"/>
      <c r="CQ141"/>
      <c r="CR141"/>
      <c r="CS141"/>
      <c r="CT141"/>
      <c r="CU141"/>
      <c r="CV141"/>
      <c r="CW141"/>
      <c r="CX141"/>
      <c r="CY141"/>
    </row>
    <row r="142" spans="2:103" ht="20.100000000000001" customHeight="1" x14ac:dyDescent="0.25">
      <c r="B142" s="68"/>
      <c r="C142" s="68"/>
      <c r="D142" s="68"/>
      <c r="E142" s="68"/>
      <c r="F142" s="69"/>
      <c r="G142" s="69"/>
      <c r="H142" s="69"/>
      <c r="I142" s="70"/>
      <c r="J142" s="67"/>
      <c r="K142" s="112"/>
      <c r="L142" s="4"/>
      <c r="M142" s="4"/>
      <c r="N142" s="4"/>
      <c r="O142" s="4"/>
      <c r="P142" s="4"/>
      <c r="Q142" s="4"/>
      <c r="R142" s="84"/>
      <c r="S142" s="4"/>
      <c r="T142" s="4"/>
      <c r="U142" s="107"/>
      <c r="V142" s="33"/>
      <c r="W142" s="104"/>
      <c r="X142" s="94"/>
      <c r="Y142" s="94"/>
      <c r="Z142" s="93"/>
      <c r="AA142" s="8"/>
      <c r="AB142" s="93"/>
      <c r="AC142" s="93"/>
      <c r="AD142" s="93"/>
      <c r="AE142" s="8"/>
      <c r="AF142" s="8"/>
      <c r="AG142" s="8"/>
      <c r="AH142" s="8"/>
      <c r="AI142" s="8"/>
      <c r="AJ142" s="8"/>
      <c r="AK142" s="8"/>
      <c r="AL142" s="8"/>
      <c r="AM142" s="93"/>
      <c r="AN142" s="89"/>
      <c r="AX142"/>
      <c r="AY142"/>
      <c r="AZ142"/>
      <c r="BA142"/>
      <c r="BB142"/>
      <c r="BC142"/>
      <c r="BD142"/>
      <c r="BE142"/>
      <c r="BF142"/>
      <c r="BG142"/>
      <c r="BH142"/>
      <c r="BI142"/>
      <c r="BJ142"/>
      <c r="BK142"/>
      <c r="BL142"/>
      <c r="BM142"/>
      <c r="BN142"/>
      <c r="BO142"/>
      <c r="BP142"/>
      <c r="BQ142"/>
      <c r="BR142"/>
      <c r="BY142"/>
      <c r="BZ142"/>
      <c r="CA142"/>
      <c r="CB142"/>
      <c r="CC142"/>
      <c r="CD142"/>
      <c r="CE142"/>
      <c r="CF142"/>
      <c r="CG142"/>
      <c r="CH142"/>
      <c r="CI142"/>
      <c r="CJ142"/>
      <c r="CK142"/>
      <c r="CL142"/>
      <c r="CM142"/>
      <c r="CN142"/>
      <c r="CO142"/>
      <c r="CP142"/>
      <c r="CQ142"/>
      <c r="CR142"/>
      <c r="CS142"/>
      <c r="CT142"/>
      <c r="CU142"/>
      <c r="CV142"/>
      <c r="CW142"/>
      <c r="CX142"/>
      <c r="CY142"/>
    </row>
    <row r="143" spans="2:103" ht="20.100000000000001" customHeight="1" x14ac:dyDescent="0.25">
      <c r="B143" s="68"/>
      <c r="C143" s="68"/>
      <c r="D143" s="68"/>
      <c r="E143" s="68"/>
      <c r="F143" s="69"/>
      <c r="G143" s="69"/>
      <c r="H143" s="69"/>
      <c r="I143" s="70"/>
      <c r="J143" s="67"/>
      <c r="K143" s="112"/>
      <c r="L143" s="4"/>
      <c r="M143" s="4"/>
      <c r="N143" s="4"/>
      <c r="O143" s="4"/>
      <c r="P143" s="4"/>
      <c r="Q143" s="4"/>
      <c r="R143" s="84"/>
      <c r="S143" s="4"/>
      <c r="T143" s="4"/>
      <c r="U143" s="107"/>
      <c r="V143" s="33"/>
      <c r="W143" s="104"/>
      <c r="X143" s="94"/>
      <c r="Y143" s="94"/>
      <c r="Z143" s="93"/>
      <c r="AA143" s="8"/>
      <c r="AB143" s="93"/>
      <c r="AC143" s="93"/>
      <c r="AD143" s="93"/>
      <c r="AE143" s="8"/>
      <c r="AF143" s="8"/>
      <c r="AG143" s="8"/>
      <c r="AH143" s="8"/>
      <c r="AI143" s="8"/>
      <c r="AJ143" s="8"/>
      <c r="AK143" s="8"/>
      <c r="AL143" s="8"/>
      <c r="AM143" s="93"/>
      <c r="AN143" s="89"/>
      <c r="AX143"/>
      <c r="AY143"/>
      <c r="AZ143"/>
      <c r="BA143"/>
      <c r="BB143"/>
      <c r="BC143"/>
      <c r="BD143"/>
      <c r="BE143"/>
      <c r="BF143"/>
      <c r="BG143"/>
      <c r="BH143"/>
      <c r="BI143"/>
      <c r="BJ143"/>
      <c r="BK143"/>
      <c r="BL143"/>
      <c r="BM143"/>
      <c r="BN143"/>
      <c r="BO143"/>
      <c r="BP143"/>
      <c r="BQ143"/>
      <c r="BR143"/>
      <c r="BY143"/>
      <c r="BZ143"/>
      <c r="CA143"/>
      <c r="CB143"/>
      <c r="CC143"/>
      <c r="CD143"/>
      <c r="CE143"/>
      <c r="CF143"/>
      <c r="CG143"/>
      <c r="CH143"/>
      <c r="CI143"/>
      <c r="CJ143"/>
      <c r="CK143"/>
      <c r="CL143"/>
      <c r="CM143"/>
      <c r="CN143"/>
      <c r="CO143"/>
      <c r="CP143"/>
      <c r="CQ143"/>
      <c r="CR143"/>
      <c r="CS143"/>
      <c r="CT143"/>
      <c r="CU143"/>
      <c r="CV143"/>
      <c r="CW143"/>
      <c r="CX143"/>
      <c r="CY143"/>
    </row>
    <row r="144" spans="2:103" ht="20.100000000000001" customHeight="1" x14ac:dyDescent="0.25">
      <c r="B144" s="68"/>
      <c r="C144" s="68"/>
      <c r="D144" s="68"/>
      <c r="E144" s="68"/>
      <c r="F144" s="69"/>
      <c r="G144" s="69"/>
      <c r="H144" s="69"/>
      <c r="I144" s="70"/>
      <c r="J144" s="67"/>
      <c r="K144" s="112"/>
      <c r="L144" s="4"/>
      <c r="M144" s="4"/>
      <c r="N144" s="4"/>
      <c r="O144" s="4"/>
      <c r="P144" s="4"/>
      <c r="Q144" s="4"/>
      <c r="R144" s="84"/>
      <c r="S144" s="4"/>
      <c r="T144" s="4"/>
      <c r="U144" s="107"/>
      <c r="V144" s="33"/>
      <c r="W144" s="104"/>
      <c r="X144" s="94"/>
      <c r="Y144" s="94"/>
      <c r="Z144" s="93"/>
      <c r="AA144" s="8"/>
      <c r="AB144" s="93"/>
      <c r="AC144" s="93"/>
      <c r="AD144" s="93"/>
      <c r="AE144" s="8"/>
      <c r="AF144" s="8"/>
      <c r="AG144" s="8"/>
      <c r="AH144" s="8"/>
      <c r="AI144" s="8"/>
      <c r="AJ144" s="8"/>
      <c r="AK144" s="8"/>
      <c r="AL144" s="8"/>
      <c r="AM144" s="93"/>
      <c r="AN144" s="89"/>
      <c r="AX144"/>
      <c r="AY144"/>
      <c r="AZ144"/>
      <c r="BA144"/>
      <c r="BB144"/>
      <c r="BC144"/>
      <c r="BD144"/>
      <c r="BE144"/>
      <c r="BF144"/>
      <c r="BG144"/>
      <c r="BH144"/>
      <c r="BI144"/>
      <c r="BJ144"/>
      <c r="BK144"/>
      <c r="BL144"/>
      <c r="BM144"/>
      <c r="BN144"/>
      <c r="BO144"/>
      <c r="BP144"/>
      <c r="BQ144"/>
      <c r="BR144"/>
      <c r="BY144"/>
      <c r="BZ144"/>
      <c r="CA144"/>
      <c r="CB144"/>
      <c r="CC144"/>
      <c r="CD144"/>
      <c r="CE144"/>
      <c r="CF144"/>
      <c r="CG144"/>
      <c r="CH144"/>
      <c r="CI144"/>
      <c r="CJ144"/>
      <c r="CK144"/>
      <c r="CL144"/>
      <c r="CM144"/>
      <c r="CN144"/>
      <c r="CO144"/>
      <c r="CP144"/>
      <c r="CQ144"/>
      <c r="CR144"/>
      <c r="CS144"/>
      <c r="CT144"/>
      <c r="CU144"/>
      <c r="CV144"/>
      <c r="CW144"/>
      <c r="CX144"/>
      <c r="CY144"/>
    </row>
    <row r="145" spans="2:103" ht="20.100000000000001" customHeight="1" x14ac:dyDescent="0.25">
      <c r="B145" s="68"/>
      <c r="C145" s="68"/>
      <c r="D145" s="68"/>
      <c r="E145" s="68"/>
      <c r="F145" s="69"/>
      <c r="G145" s="69"/>
      <c r="H145" s="69"/>
      <c r="I145" s="70"/>
      <c r="J145" s="67"/>
      <c r="K145" s="112"/>
      <c r="L145" s="4"/>
      <c r="M145" s="4"/>
      <c r="N145" s="4"/>
      <c r="O145" s="4"/>
      <c r="P145" s="4"/>
      <c r="Q145" s="4"/>
      <c r="R145" s="84"/>
      <c r="S145" s="4"/>
      <c r="T145" s="4"/>
      <c r="U145" s="107"/>
      <c r="V145" s="33"/>
      <c r="W145" s="104"/>
      <c r="X145" s="94"/>
      <c r="Y145" s="94"/>
      <c r="Z145" s="93"/>
      <c r="AA145" s="8"/>
      <c r="AB145" s="93"/>
      <c r="AC145" s="93"/>
      <c r="AD145" s="93"/>
      <c r="AE145" s="8"/>
      <c r="AF145" s="8"/>
      <c r="AG145" s="8"/>
      <c r="AH145" s="8"/>
      <c r="AI145" s="8"/>
      <c r="AJ145" s="8"/>
      <c r="AK145" s="8"/>
      <c r="AL145" s="8"/>
      <c r="AM145" s="93"/>
      <c r="AN145" s="89"/>
      <c r="AX145"/>
      <c r="AY145"/>
      <c r="AZ145"/>
      <c r="BA145"/>
      <c r="BB145"/>
      <c r="BC145"/>
      <c r="BD145"/>
      <c r="BE145"/>
      <c r="BF145"/>
      <c r="BG145"/>
      <c r="BH145"/>
      <c r="BI145"/>
      <c r="BJ145"/>
      <c r="BK145"/>
      <c r="BL145"/>
      <c r="BM145"/>
      <c r="BN145"/>
      <c r="BO145"/>
      <c r="BP145"/>
      <c r="BQ145"/>
      <c r="BR145"/>
      <c r="BY145"/>
      <c r="BZ145"/>
      <c r="CA145"/>
      <c r="CB145"/>
      <c r="CC145"/>
      <c r="CD145"/>
      <c r="CE145"/>
      <c r="CF145"/>
      <c r="CG145"/>
      <c r="CH145"/>
      <c r="CI145"/>
      <c r="CJ145"/>
      <c r="CK145"/>
      <c r="CL145"/>
      <c r="CM145"/>
      <c r="CN145"/>
      <c r="CO145"/>
      <c r="CP145"/>
      <c r="CQ145"/>
      <c r="CR145"/>
      <c r="CS145"/>
      <c r="CT145"/>
      <c r="CU145"/>
      <c r="CV145"/>
      <c r="CW145"/>
      <c r="CX145"/>
      <c r="CY145"/>
    </row>
    <row r="146" spans="2:103" ht="20.100000000000001" customHeight="1" x14ac:dyDescent="0.25">
      <c r="B146" s="68"/>
      <c r="C146" s="68"/>
      <c r="D146" s="68"/>
      <c r="E146" s="68"/>
      <c r="F146" s="69"/>
      <c r="G146" s="69"/>
      <c r="H146" s="69"/>
      <c r="I146" s="70"/>
      <c r="J146" s="67"/>
      <c r="K146" s="112"/>
      <c r="L146" s="4"/>
      <c r="M146" s="4"/>
      <c r="N146" s="4"/>
      <c r="O146" s="4"/>
      <c r="P146" s="4"/>
      <c r="Q146" s="4"/>
      <c r="R146" s="84"/>
      <c r="S146" s="4"/>
      <c r="T146" s="4"/>
      <c r="U146" s="107"/>
      <c r="V146" s="33"/>
      <c r="W146" s="104"/>
      <c r="X146" s="94"/>
      <c r="Y146" s="94"/>
      <c r="Z146" s="93"/>
      <c r="AA146" s="8"/>
      <c r="AB146" s="93"/>
      <c r="AC146" s="93"/>
      <c r="AD146" s="93"/>
      <c r="AE146" s="8"/>
      <c r="AF146" s="8"/>
      <c r="AG146" s="8"/>
      <c r="AH146" s="8"/>
      <c r="AI146" s="8"/>
      <c r="AJ146" s="8"/>
      <c r="AK146" s="8"/>
      <c r="AL146" s="8"/>
      <c r="AM146" s="93"/>
      <c r="AN146" s="89"/>
      <c r="AX146"/>
      <c r="AY146"/>
      <c r="AZ146"/>
      <c r="BA146"/>
      <c r="BB146"/>
      <c r="BC146"/>
      <c r="BD146"/>
      <c r="BE146"/>
      <c r="BF146"/>
      <c r="BG146"/>
      <c r="BH146"/>
      <c r="BI146"/>
      <c r="BJ146"/>
      <c r="BK146"/>
      <c r="BL146"/>
      <c r="BM146"/>
      <c r="BN146"/>
      <c r="BO146"/>
      <c r="BP146"/>
      <c r="BQ146"/>
      <c r="BR146"/>
      <c r="BY146"/>
      <c r="BZ146"/>
      <c r="CA146"/>
      <c r="CB146"/>
      <c r="CC146"/>
      <c r="CD146"/>
      <c r="CE146"/>
      <c r="CF146"/>
      <c r="CG146"/>
      <c r="CH146"/>
      <c r="CI146"/>
      <c r="CJ146"/>
      <c r="CK146"/>
      <c r="CL146"/>
      <c r="CM146"/>
      <c r="CN146"/>
      <c r="CO146"/>
      <c r="CP146"/>
      <c r="CQ146"/>
      <c r="CR146"/>
      <c r="CS146"/>
      <c r="CT146"/>
      <c r="CU146"/>
      <c r="CV146"/>
      <c r="CW146"/>
      <c r="CX146"/>
      <c r="CY146"/>
    </row>
    <row r="147" spans="2:103" ht="20.100000000000001" customHeight="1" x14ac:dyDescent="0.25">
      <c r="B147" s="68"/>
      <c r="C147" s="68"/>
      <c r="D147" s="68"/>
      <c r="E147" s="68"/>
      <c r="F147" s="69"/>
      <c r="G147" s="69"/>
      <c r="H147" s="69"/>
      <c r="I147" s="70"/>
      <c r="J147" s="67"/>
      <c r="K147" s="112"/>
      <c r="L147" s="4"/>
      <c r="M147" s="4"/>
      <c r="N147" s="4"/>
      <c r="O147" s="4"/>
      <c r="P147" s="4"/>
      <c r="Q147" s="4"/>
      <c r="R147" s="84"/>
      <c r="S147" s="4"/>
      <c r="T147" s="4"/>
      <c r="U147" s="107"/>
      <c r="V147" s="33"/>
      <c r="W147" s="104"/>
      <c r="X147" s="94"/>
      <c r="Y147" s="94"/>
      <c r="Z147" s="93"/>
      <c r="AA147" s="8"/>
      <c r="AB147" s="93"/>
      <c r="AC147" s="93"/>
      <c r="AD147" s="93"/>
      <c r="AE147" s="8"/>
      <c r="AF147" s="8"/>
      <c r="AG147" s="8"/>
      <c r="AH147" s="8"/>
      <c r="AI147" s="8"/>
      <c r="AJ147" s="8"/>
      <c r="AK147" s="8"/>
      <c r="AL147" s="8"/>
      <c r="AM147" s="93"/>
      <c r="AN147" s="89"/>
      <c r="AX147"/>
      <c r="AY147"/>
      <c r="AZ147"/>
      <c r="BA147"/>
      <c r="BB147"/>
      <c r="BC147"/>
      <c r="BD147"/>
      <c r="BE147"/>
      <c r="BF147"/>
      <c r="BG147"/>
      <c r="BH147"/>
      <c r="BI147"/>
      <c r="BJ147"/>
      <c r="BK147"/>
      <c r="BL147"/>
      <c r="BM147"/>
      <c r="BN147"/>
      <c r="BO147"/>
      <c r="BP147"/>
      <c r="BQ147"/>
      <c r="BR147"/>
      <c r="BY147"/>
      <c r="BZ147"/>
      <c r="CA147"/>
      <c r="CB147"/>
      <c r="CC147"/>
      <c r="CD147"/>
      <c r="CE147"/>
      <c r="CF147"/>
      <c r="CG147"/>
      <c r="CH147"/>
      <c r="CI147"/>
      <c r="CJ147"/>
      <c r="CK147"/>
      <c r="CL147"/>
      <c r="CM147"/>
      <c r="CN147"/>
      <c r="CO147"/>
      <c r="CP147"/>
      <c r="CQ147"/>
      <c r="CR147"/>
      <c r="CS147"/>
      <c r="CT147"/>
      <c r="CU147"/>
      <c r="CV147"/>
      <c r="CW147"/>
      <c r="CX147"/>
      <c r="CY147"/>
    </row>
    <row r="148" spans="2:103" ht="20.100000000000001" customHeight="1" x14ac:dyDescent="0.25">
      <c r="B148" s="68"/>
      <c r="C148" s="68"/>
      <c r="D148" s="68"/>
      <c r="E148" s="68"/>
      <c r="F148" s="69"/>
      <c r="G148" s="69"/>
      <c r="H148" s="69"/>
      <c r="I148" s="70"/>
      <c r="J148" s="67"/>
      <c r="K148" s="112"/>
      <c r="L148" s="4"/>
      <c r="M148" s="4"/>
      <c r="N148" s="4"/>
      <c r="O148" s="4"/>
      <c r="P148" s="4"/>
      <c r="Q148" s="4"/>
      <c r="R148" s="84"/>
      <c r="S148" s="4"/>
      <c r="T148" s="4"/>
      <c r="U148" s="107"/>
      <c r="V148" s="33"/>
      <c r="W148" s="104"/>
      <c r="X148" s="94"/>
      <c r="Y148" s="94"/>
      <c r="Z148" s="93"/>
      <c r="AA148" s="8"/>
      <c r="AB148" s="93"/>
      <c r="AC148" s="93"/>
      <c r="AD148" s="93"/>
      <c r="AE148" s="8"/>
      <c r="AF148" s="8"/>
      <c r="AG148" s="8"/>
      <c r="AH148" s="8"/>
      <c r="AI148" s="8"/>
      <c r="AJ148" s="8"/>
      <c r="AK148" s="8"/>
      <c r="AL148" s="8"/>
      <c r="AM148" s="93"/>
      <c r="AN148" s="89"/>
      <c r="AX148"/>
      <c r="AY148"/>
      <c r="AZ148"/>
      <c r="BA148"/>
      <c r="BB148"/>
      <c r="BC148"/>
      <c r="BD148"/>
      <c r="BE148"/>
      <c r="BF148"/>
      <c r="BG148"/>
      <c r="BH148"/>
      <c r="BI148"/>
      <c r="BJ148"/>
      <c r="BK148"/>
      <c r="BL148"/>
      <c r="BM148"/>
      <c r="BN148"/>
      <c r="BO148"/>
      <c r="BP148"/>
      <c r="BQ148"/>
      <c r="BR148"/>
      <c r="BY148"/>
      <c r="BZ148"/>
      <c r="CA148"/>
      <c r="CB148"/>
      <c r="CC148"/>
      <c r="CD148"/>
      <c r="CE148"/>
      <c r="CF148"/>
      <c r="CG148"/>
      <c r="CH148"/>
      <c r="CI148"/>
      <c r="CJ148"/>
      <c r="CK148"/>
      <c r="CL148"/>
      <c r="CM148"/>
      <c r="CN148"/>
      <c r="CO148"/>
      <c r="CP148"/>
      <c r="CQ148"/>
      <c r="CR148"/>
      <c r="CS148"/>
      <c r="CT148"/>
      <c r="CU148"/>
      <c r="CV148"/>
      <c r="CW148"/>
      <c r="CX148"/>
      <c r="CY148"/>
    </row>
    <row r="149" spans="2:103" ht="20.100000000000001" customHeight="1" x14ac:dyDescent="0.25">
      <c r="B149" s="68"/>
      <c r="C149" s="68"/>
      <c r="D149" s="68"/>
      <c r="E149" s="68"/>
      <c r="F149" s="69"/>
      <c r="G149" s="69"/>
      <c r="H149" s="69"/>
      <c r="I149" s="70"/>
      <c r="J149" s="67"/>
      <c r="K149" s="112"/>
      <c r="L149" s="4"/>
      <c r="M149" s="4"/>
      <c r="N149" s="4"/>
      <c r="O149" s="4"/>
      <c r="P149" s="4"/>
      <c r="Q149" s="4"/>
      <c r="R149" s="84"/>
      <c r="S149" s="4"/>
      <c r="T149" s="4"/>
      <c r="U149" s="107"/>
      <c r="V149" s="33"/>
      <c r="W149" s="104"/>
      <c r="X149" s="94"/>
      <c r="Y149" s="94"/>
      <c r="Z149" s="93"/>
      <c r="AA149" s="8"/>
      <c r="AB149" s="93"/>
      <c r="AC149" s="93"/>
      <c r="AD149" s="93"/>
      <c r="AE149" s="8"/>
      <c r="AF149" s="8"/>
      <c r="AG149" s="8"/>
      <c r="AH149" s="8"/>
      <c r="AI149" s="8"/>
      <c r="AJ149" s="8"/>
      <c r="AK149" s="8"/>
      <c r="AL149" s="8"/>
      <c r="AM149" s="93"/>
      <c r="AN149" s="89"/>
      <c r="AX149"/>
      <c r="AY149"/>
      <c r="AZ149"/>
      <c r="BA149"/>
      <c r="BB149"/>
      <c r="BC149"/>
      <c r="BD149"/>
      <c r="BE149"/>
      <c r="BF149"/>
      <c r="BG149"/>
      <c r="BH149"/>
      <c r="BI149"/>
      <c r="BJ149"/>
      <c r="BK149"/>
      <c r="BL149"/>
      <c r="BM149"/>
      <c r="BN149"/>
      <c r="BO149"/>
      <c r="BP149"/>
      <c r="BQ149"/>
      <c r="BR149"/>
      <c r="BY149"/>
      <c r="BZ149"/>
      <c r="CA149"/>
      <c r="CB149"/>
      <c r="CC149"/>
      <c r="CD149"/>
      <c r="CE149"/>
      <c r="CF149"/>
      <c r="CG149"/>
      <c r="CH149"/>
      <c r="CI149"/>
      <c r="CJ149"/>
      <c r="CK149"/>
      <c r="CL149"/>
      <c r="CM149"/>
      <c r="CN149"/>
      <c r="CO149"/>
      <c r="CP149"/>
      <c r="CQ149"/>
      <c r="CR149"/>
      <c r="CS149"/>
      <c r="CT149"/>
      <c r="CU149"/>
      <c r="CV149"/>
      <c r="CW149"/>
      <c r="CX149"/>
      <c r="CY149"/>
    </row>
    <row r="150" spans="2:103" ht="20.100000000000001" customHeight="1" x14ac:dyDescent="0.25">
      <c r="B150" s="68"/>
      <c r="C150" s="68"/>
      <c r="D150" s="68"/>
      <c r="E150" s="68"/>
      <c r="F150" s="69"/>
      <c r="G150" s="69"/>
      <c r="H150" s="69"/>
      <c r="I150" s="70"/>
      <c r="J150" s="67"/>
      <c r="K150" s="112"/>
      <c r="L150" s="4"/>
      <c r="M150" s="4"/>
      <c r="N150" s="4"/>
      <c r="O150" s="4"/>
      <c r="P150" s="4"/>
      <c r="Q150" s="4"/>
      <c r="R150" s="84"/>
      <c r="S150" s="4"/>
      <c r="T150" s="4"/>
      <c r="U150" s="107"/>
      <c r="V150" s="33"/>
      <c r="W150" s="104"/>
      <c r="X150" s="94"/>
      <c r="Y150" s="94"/>
      <c r="Z150" s="93"/>
      <c r="AA150" s="8"/>
      <c r="AB150" s="93"/>
      <c r="AC150" s="93"/>
      <c r="AD150" s="93"/>
      <c r="AE150" s="8"/>
      <c r="AF150" s="8"/>
      <c r="AG150" s="8"/>
      <c r="AH150" s="8"/>
      <c r="AI150" s="8"/>
      <c r="AJ150" s="8"/>
      <c r="AK150" s="8"/>
      <c r="AL150" s="8"/>
      <c r="AM150" s="93"/>
      <c r="AN150" s="89"/>
      <c r="AX150"/>
      <c r="AY150"/>
      <c r="AZ150"/>
      <c r="BA150"/>
      <c r="BB150"/>
      <c r="BC150"/>
      <c r="BD150"/>
      <c r="BE150"/>
      <c r="BF150"/>
      <c r="BG150"/>
      <c r="BH150"/>
      <c r="BI150"/>
      <c r="BJ150"/>
      <c r="BK150"/>
      <c r="BL150"/>
      <c r="BM150"/>
      <c r="BN150"/>
      <c r="BO150"/>
      <c r="BP150"/>
      <c r="BQ150"/>
      <c r="BR150"/>
      <c r="BY150"/>
      <c r="BZ150"/>
      <c r="CA150"/>
      <c r="CB150"/>
      <c r="CC150"/>
      <c r="CD150"/>
      <c r="CE150"/>
      <c r="CF150"/>
      <c r="CG150"/>
      <c r="CH150"/>
      <c r="CI150"/>
      <c r="CJ150"/>
      <c r="CK150"/>
      <c r="CL150"/>
      <c r="CM150"/>
      <c r="CN150"/>
      <c r="CO150"/>
      <c r="CP150"/>
      <c r="CQ150"/>
      <c r="CR150"/>
      <c r="CS150"/>
      <c r="CT150"/>
      <c r="CU150"/>
      <c r="CV150"/>
      <c r="CW150"/>
      <c r="CX150"/>
      <c r="CY150"/>
    </row>
    <row r="151" spans="2:103" ht="20.100000000000001" customHeight="1" x14ac:dyDescent="0.25">
      <c r="B151" s="68"/>
      <c r="C151" s="68"/>
      <c r="D151" s="68"/>
      <c r="E151" s="68"/>
      <c r="F151" s="69"/>
      <c r="G151" s="69"/>
      <c r="H151" s="69"/>
      <c r="I151" s="70"/>
      <c r="J151" s="67"/>
      <c r="K151" s="112"/>
      <c r="L151" s="4"/>
      <c r="M151" s="4"/>
      <c r="N151" s="4"/>
      <c r="O151" s="4"/>
      <c r="P151" s="4"/>
      <c r="Q151" s="4"/>
      <c r="R151" s="84"/>
      <c r="S151" s="4"/>
      <c r="T151" s="4"/>
      <c r="U151" s="107"/>
      <c r="V151" s="33"/>
      <c r="W151" s="104"/>
      <c r="X151" s="94"/>
      <c r="Y151" s="94"/>
      <c r="Z151" s="93"/>
      <c r="AA151" s="8"/>
      <c r="AB151" s="93"/>
      <c r="AC151" s="93"/>
      <c r="AD151" s="93"/>
      <c r="AE151" s="8"/>
      <c r="AF151" s="8"/>
      <c r="AG151" s="8"/>
      <c r="AH151" s="8"/>
      <c r="AI151" s="8"/>
      <c r="AJ151" s="8"/>
      <c r="AK151" s="8"/>
      <c r="AL151" s="8"/>
      <c r="AM151" s="93"/>
      <c r="AN151" s="89"/>
      <c r="AX151"/>
      <c r="AY151"/>
      <c r="AZ151"/>
      <c r="BA151"/>
      <c r="BB151"/>
      <c r="BC151"/>
      <c r="BD151"/>
      <c r="BE151"/>
      <c r="BF151"/>
      <c r="BG151"/>
      <c r="BH151"/>
      <c r="BI151"/>
      <c r="BJ151"/>
      <c r="BK151"/>
      <c r="BL151"/>
      <c r="BM151"/>
      <c r="BN151"/>
      <c r="BO151"/>
      <c r="BP151"/>
      <c r="BQ151"/>
      <c r="BR151"/>
      <c r="BY151"/>
      <c r="BZ151"/>
      <c r="CA151"/>
      <c r="CB151"/>
      <c r="CC151"/>
      <c r="CD151"/>
      <c r="CE151"/>
      <c r="CF151"/>
      <c r="CG151"/>
      <c r="CH151"/>
      <c r="CI151"/>
      <c r="CJ151"/>
      <c r="CK151"/>
      <c r="CL151"/>
      <c r="CM151"/>
      <c r="CN151"/>
      <c r="CO151"/>
      <c r="CP151"/>
      <c r="CQ151"/>
      <c r="CR151"/>
      <c r="CS151"/>
      <c r="CT151"/>
      <c r="CU151"/>
      <c r="CV151"/>
      <c r="CW151"/>
      <c r="CX151"/>
      <c r="CY151"/>
    </row>
    <row r="152" spans="2:103" ht="20.100000000000001" customHeight="1" x14ac:dyDescent="0.25">
      <c r="B152" s="68"/>
      <c r="C152" s="68"/>
      <c r="D152" s="68"/>
      <c r="E152" s="68"/>
      <c r="F152" s="69"/>
      <c r="G152" s="69"/>
      <c r="H152" s="69"/>
      <c r="I152" s="70"/>
      <c r="J152" s="67"/>
      <c r="K152" s="112"/>
      <c r="L152" s="4"/>
      <c r="M152" s="4"/>
      <c r="N152" s="4"/>
      <c r="O152" s="4"/>
      <c r="P152" s="4"/>
      <c r="Q152" s="4"/>
      <c r="R152" s="84"/>
      <c r="S152" s="4"/>
      <c r="T152" s="4"/>
      <c r="U152" s="107"/>
      <c r="V152" s="33"/>
      <c r="W152" s="104"/>
      <c r="X152" s="94"/>
      <c r="Y152" s="94"/>
      <c r="Z152" s="93"/>
      <c r="AA152" s="8"/>
      <c r="AB152" s="93"/>
      <c r="AC152" s="93"/>
      <c r="AD152" s="93"/>
      <c r="AE152" s="8"/>
      <c r="AF152" s="8"/>
      <c r="AG152" s="8"/>
      <c r="AH152" s="8"/>
      <c r="AI152" s="8"/>
      <c r="AJ152" s="8"/>
      <c r="AK152" s="8"/>
      <c r="AL152" s="8"/>
      <c r="AM152" s="93"/>
      <c r="AN152" s="89"/>
      <c r="AX152"/>
      <c r="AY152"/>
      <c r="AZ152"/>
      <c r="BA152"/>
      <c r="BB152"/>
      <c r="BC152"/>
      <c r="BD152"/>
      <c r="BE152"/>
      <c r="BF152"/>
      <c r="BG152"/>
      <c r="BH152"/>
      <c r="BI152"/>
      <c r="BJ152"/>
      <c r="BK152"/>
      <c r="BL152"/>
      <c r="BM152"/>
      <c r="BN152"/>
      <c r="BO152"/>
      <c r="BP152"/>
      <c r="BQ152"/>
      <c r="BR152"/>
      <c r="BY152"/>
      <c r="BZ152"/>
      <c r="CA152"/>
      <c r="CB152"/>
      <c r="CC152"/>
      <c r="CD152"/>
      <c r="CE152"/>
      <c r="CF152"/>
      <c r="CG152"/>
      <c r="CH152"/>
      <c r="CI152"/>
      <c r="CJ152"/>
      <c r="CK152"/>
      <c r="CL152"/>
      <c r="CM152"/>
      <c r="CN152"/>
      <c r="CO152"/>
      <c r="CP152"/>
      <c r="CQ152"/>
      <c r="CR152"/>
      <c r="CS152"/>
      <c r="CT152"/>
      <c r="CU152"/>
      <c r="CV152"/>
      <c r="CW152"/>
      <c r="CX152"/>
      <c r="CY152"/>
    </row>
    <row r="153" spans="2:103" ht="20.100000000000001" customHeight="1" x14ac:dyDescent="0.25">
      <c r="B153" s="68"/>
      <c r="C153" s="68"/>
      <c r="D153" s="68"/>
      <c r="E153" s="68"/>
      <c r="F153" s="69"/>
      <c r="G153" s="69"/>
      <c r="H153" s="69"/>
      <c r="I153" s="70"/>
      <c r="J153" s="67"/>
      <c r="K153" s="112"/>
      <c r="L153" s="4"/>
      <c r="M153" s="4"/>
      <c r="N153" s="4"/>
      <c r="O153" s="4"/>
      <c r="P153" s="4"/>
      <c r="Q153" s="4"/>
      <c r="R153" s="84"/>
      <c r="S153" s="4"/>
      <c r="T153" s="4"/>
      <c r="U153" s="107"/>
      <c r="V153" s="33"/>
      <c r="W153" s="104"/>
      <c r="X153" s="94"/>
      <c r="Y153" s="94"/>
      <c r="Z153" s="93"/>
      <c r="AA153" s="8"/>
      <c r="AB153" s="93"/>
      <c r="AC153" s="93"/>
      <c r="AD153" s="93"/>
      <c r="AE153" s="8"/>
      <c r="AF153" s="8"/>
      <c r="AG153" s="8"/>
      <c r="AH153" s="8"/>
      <c r="AI153" s="8"/>
      <c r="AJ153" s="8"/>
      <c r="AK153" s="8"/>
      <c r="AL153" s="8"/>
      <c r="AM153" s="93"/>
      <c r="AN153" s="89"/>
      <c r="AX153"/>
      <c r="AY153"/>
      <c r="AZ153"/>
      <c r="BA153"/>
      <c r="BB153"/>
      <c r="BC153"/>
      <c r="BD153"/>
      <c r="BE153"/>
      <c r="BF153"/>
      <c r="BG153"/>
      <c r="BH153"/>
      <c r="BI153"/>
      <c r="BJ153"/>
      <c r="BK153"/>
      <c r="BL153"/>
      <c r="BM153"/>
      <c r="BN153"/>
      <c r="BO153"/>
      <c r="BP153"/>
      <c r="BQ153"/>
      <c r="BR153"/>
      <c r="BY153"/>
      <c r="BZ153"/>
      <c r="CA153"/>
      <c r="CB153"/>
      <c r="CC153"/>
      <c r="CD153"/>
      <c r="CE153"/>
      <c r="CF153"/>
      <c r="CG153"/>
      <c r="CH153"/>
      <c r="CI153"/>
      <c r="CJ153"/>
      <c r="CK153"/>
      <c r="CL153"/>
      <c r="CM153"/>
      <c r="CN153"/>
      <c r="CO153"/>
      <c r="CP153"/>
      <c r="CQ153"/>
      <c r="CR153"/>
      <c r="CS153"/>
      <c r="CT153"/>
      <c r="CU153"/>
      <c r="CV153"/>
      <c r="CW153"/>
      <c r="CX153"/>
      <c r="CY153"/>
    </row>
    <row r="154" spans="2:103" ht="20.100000000000001" customHeight="1" x14ac:dyDescent="0.25">
      <c r="B154" s="68"/>
      <c r="C154" s="68"/>
      <c r="D154" s="68"/>
      <c r="E154" s="68"/>
      <c r="F154" s="69"/>
      <c r="G154" s="69"/>
      <c r="H154" s="69"/>
      <c r="I154" s="70"/>
      <c r="J154" s="67"/>
      <c r="K154" s="112"/>
      <c r="L154" s="4"/>
      <c r="M154" s="4"/>
      <c r="N154" s="4"/>
      <c r="O154" s="4"/>
      <c r="P154" s="4"/>
      <c r="Q154" s="4"/>
      <c r="R154" s="84"/>
      <c r="S154" s="4"/>
      <c r="T154" s="4"/>
      <c r="U154" s="107"/>
      <c r="V154" s="33"/>
      <c r="W154" s="104"/>
      <c r="X154" s="94"/>
      <c r="Y154" s="94"/>
      <c r="Z154" s="93"/>
      <c r="AA154" s="8"/>
      <c r="AB154" s="93"/>
      <c r="AC154" s="93"/>
      <c r="AD154" s="93"/>
      <c r="AE154" s="8"/>
      <c r="AF154" s="8"/>
      <c r="AG154" s="8"/>
      <c r="AH154" s="8"/>
      <c r="AI154" s="8"/>
      <c r="AJ154" s="8"/>
      <c r="AK154" s="8"/>
      <c r="AL154" s="8"/>
      <c r="AM154" s="93"/>
      <c r="AN154" s="89"/>
      <c r="AX154"/>
      <c r="AY154"/>
      <c r="AZ154"/>
      <c r="BA154"/>
      <c r="BB154"/>
      <c r="BC154"/>
      <c r="BD154"/>
      <c r="BE154"/>
      <c r="BF154"/>
      <c r="BG154"/>
      <c r="BH154"/>
      <c r="BI154"/>
      <c r="BJ154"/>
      <c r="BK154"/>
      <c r="BL154"/>
      <c r="BM154"/>
      <c r="BN154"/>
      <c r="BO154"/>
      <c r="BP154"/>
      <c r="BQ154"/>
      <c r="BR154"/>
      <c r="BY154"/>
      <c r="BZ154"/>
      <c r="CA154"/>
      <c r="CB154"/>
      <c r="CC154"/>
      <c r="CD154"/>
      <c r="CE154"/>
      <c r="CF154"/>
      <c r="CG154"/>
      <c r="CH154"/>
      <c r="CI154"/>
      <c r="CJ154"/>
      <c r="CK154"/>
      <c r="CL154"/>
      <c r="CM154"/>
      <c r="CN154"/>
      <c r="CO154"/>
      <c r="CP154"/>
      <c r="CQ154"/>
      <c r="CR154"/>
      <c r="CS154"/>
      <c r="CT154"/>
      <c r="CU154"/>
      <c r="CV154"/>
      <c r="CW154"/>
      <c r="CX154"/>
      <c r="CY154"/>
    </row>
    <row r="155" spans="2:103" ht="20.100000000000001" customHeight="1" x14ac:dyDescent="0.25">
      <c r="B155" s="68"/>
      <c r="C155" s="68"/>
      <c r="D155" s="68"/>
      <c r="E155" s="68"/>
      <c r="F155" s="69"/>
      <c r="G155" s="69"/>
      <c r="H155" s="69"/>
      <c r="I155" s="70"/>
      <c r="J155" s="67"/>
      <c r="K155" s="112"/>
      <c r="L155" s="4"/>
      <c r="M155" s="4"/>
      <c r="N155" s="4"/>
      <c r="O155" s="4"/>
      <c r="P155" s="4"/>
      <c r="Q155" s="4"/>
      <c r="R155" s="84"/>
      <c r="S155" s="4"/>
      <c r="T155" s="4"/>
      <c r="U155" s="107"/>
      <c r="V155" s="33"/>
      <c r="W155" s="104"/>
      <c r="X155" s="94"/>
      <c r="Y155" s="94"/>
      <c r="Z155" s="93"/>
      <c r="AA155" s="8"/>
      <c r="AB155" s="93"/>
      <c r="AC155" s="93"/>
      <c r="AD155" s="93"/>
      <c r="AE155" s="8"/>
      <c r="AF155" s="8"/>
      <c r="AG155" s="8"/>
      <c r="AH155" s="8"/>
      <c r="AI155" s="8"/>
      <c r="AJ155" s="8"/>
      <c r="AK155" s="8"/>
      <c r="AL155" s="8"/>
      <c r="AM155" s="93"/>
      <c r="AN155" s="89"/>
      <c r="AX155"/>
      <c r="AY155"/>
      <c r="AZ155"/>
      <c r="BA155"/>
      <c r="BB155"/>
      <c r="BC155"/>
      <c r="BD155"/>
      <c r="BE155"/>
      <c r="BF155"/>
      <c r="BG155"/>
      <c r="BH155"/>
      <c r="BI155"/>
      <c r="BJ155"/>
      <c r="BK155"/>
      <c r="BL155"/>
      <c r="BM155"/>
      <c r="BN155"/>
      <c r="BO155"/>
      <c r="BP155"/>
      <c r="BQ155"/>
      <c r="BR155"/>
      <c r="BY155"/>
      <c r="BZ155"/>
      <c r="CA155"/>
      <c r="CB155"/>
      <c r="CC155"/>
      <c r="CD155"/>
      <c r="CE155"/>
      <c r="CF155"/>
      <c r="CG155"/>
      <c r="CH155"/>
      <c r="CI155"/>
      <c r="CJ155"/>
      <c r="CK155"/>
      <c r="CL155"/>
      <c r="CM155"/>
      <c r="CN155"/>
      <c r="CO155"/>
      <c r="CP155"/>
      <c r="CQ155"/>
      <c r="CR155"/>
      <c r="CS155"/>
      <c r="CT155"/>
      <c r="CU155"/>
      <c r="CV155"/>
      <c r="CW155"/>
      <c r="CX155"/>
      <c r="CY155"/>
    </row>
    <row r="156" spans="2:103" ht="20.100000000000001" customHeight="1" x14ac:dyDescent="0.25">
      <c r="B156" s="68"/>
      <c r="C156" s="68"/>
      <c r="D156" s="68"/>
      <c r="E156" s="68"/>
      <c r="F156" s="69"/>
      <c r="G156" s="69"/>
      <c r="H156" s="69"/>
      <c r="I156" s="70"/>
      <c r="J156" s="67"/>
      <c r="K156" s="112"/>
      <c r="L156" s="4"/>
      <c r="M156" s="4"/>
      <c r="N156" s="4"/>
      <c r="O156" s="4"/>
      <c r="P156" s="4"/>
      <c r="Q156" s="4"/>
      <c r="R156" s="84"/>
      <c r="S156" s="4"/>
      <c r="T156" s="4"/>
      <c r="U156" s="107"/>
      <c r="V156" s="33"/>
      <c r="W156" s="104"/>
      <c r="X156" s="94"/>
      <c r="Y156" s="94"/>
      <c r="Z156" s="93"/>
      <c r="AA156" s="8"/>
      <c r="AB156" s="93"/>
      <c r="AC156" s="93"/>
      <c r="AD156" s="93"/>
      <c r="AE156" s="8"/>
      <c r="AF156" s="8"/>
      <c r="AG156" s="8"/>
      <c r="AH156" s="8"/>
      <c r="AI156" s="8"/>
      <c r="AJ156" s="8"/>
      <c r="AK156" s="8"/>
      <c r="AL156" s="8"/>
      <c r="AM156" s="93"/>
      <c r="AN156" s="89"/>
      <c r="AX156"/>
      <c r="AY156"/>
      <c r="AZ156"/>
      <c r="BA156"/>
      <c r="BB156"/>
      <c r="BC156"/>
      <c r="BD156"/>
      <c r="BE156"/>
      <c r="BF156"/>
      <c r="BG156"/>
      <c r="BH156"/>
      <c r="BI156"/>
      <c r="BJ156"/>
      <c r="BK156"/>
      <c r="BL156"/>
      <c r="BM156"/>
      <c r="BN156"/>
      <c r="BO156"/>
      <c r="BP156"/>
      <c r="BQ156"/>
      <c r="BR156"/>
      <c r="BY156"/>
      <c r="BZ156"/>
      <c r="CA156"/>
      <c r="CB156"/>
      <c r="CC156"/>
      <c r="CD156"/>
      <c r="CE156"/>
      <c r="CF156"/>
      <c r="CG156"/>
      <c r="CH156"/>
      <c r="CI156"/>
      <c r="CJ156"/>
      <c r="CK156"/>
      <c r="CL156"/>
      <c r="CM156"/>
      <c r="CN156"/>
      <c r="CO156"/>
      <c r="CP156"/>
      <c r="CQ156"/>
      <c r="CR156"/>
      <c r="CS156"/>
      <c r="CT156"/>
      <c r="CU156"/>
      <c r="CV156"/>
      <c r="CW156"/>
      <c r="CX156"/>
      <c r="CY156"/>
    </row>
    <row r="157" spans="2:103" ht="20.100000000000001" customHeight="1" x14ac:dyDescent="0.25">
      <c r="B157" s="68"/>
      <c r="C157" s="68"/>
      <c r="D157" s="68"/>
      <c r="E157" s="68"/>
      <c r="F157" s="69"/>
      <c r="G157" s="69"/>
      <c r="H157" s="69"/>
      <c r="I157" s="70"/>
      <c r="J157" s="67"/>
      <c r="K157" s="112"/>
      <c r="L157" s="4"/>
      <c r="M157" s="4"/>
      <c r="N157" s="4"/>
      <c r="O157" s="4"/>
      <c r="P157" s="4"/>
      <c r="Q157" s="4"/>
      <c r="R157" s="84"/>
      <c r="S157" s="4"/>
      <c r="T157" s="4"/>
      <c r="U157" s="107"/>
      <c r="V157" s="33"/>
      <c r="W157" s="104"/>
      <c r="X157" s="94"/>
      <c r="Y157" s="94"/>
      <c r="Z157" s="93"/>
      <c r="AA157" s="8"/>
      <c r="AB157" s="93"/>
      <c r="AC157" s="93"/>
      <c r="AD157" s="93"/>
      <c r="AE157" s="8"/>
      <c r="AF157" s="8"/>
      <c r="AG157" s="8"/>
      <c r="AH157" s="8"/>
      <c r="AI157" s="8"/>
      <c r="AJ157" s="8"/>
      <c r="AK157" s="8"/>
      <c r="AL157" s="8"/>
      <c r="AM157" s="93"/>
      <c r="AN157" s="89"/>
      <c r="AX157"/>
      <c r="AY157"/>
      <c r="AZ157"/>
      <c r="BA157"/>
      <c r="BB157"/>
      <c r="BC157"/>
      <c r="BD157"/>
      <c r="BE157"/>
      <c r="BF157"/>
      <c r="BG157"/>
      <c r="BH157"/>
      <c r="BI157"/>
      <c r="BJ157"/>
      <c r="BK157"/>
      <c r="BL157"/>
      <c r="BM157"/>
      <c r="BN157"/>
      <c r="BO157"/>
      <c r="BP157"/>
      <c r="BQ157"/>
      <c r="BR157"/>
      <c r="BY157"/>
      <c r="BZ157"/>
      <c r="CA157"/>
      <c r="CB157"/>
      <c r="CC157"/>
      <c r="CD157"/>
      <c r="CE157"/>
      <c r="CF157"/>
      <c r="CG157"/>
      <c r="CH157"/>
      <c r="CI157"/>
      <c r="CJ157"/>
      <c r="CK157"/>
      <c r="CL157"/>
      <c r="CM157"/>
      <c r="CN157"/>
      <c r="CO157"/>
      <c r="CP157"/>
      <c r="CQ157"/>
      <c r="CR157"/>
      <c r="CS157"/>
      <c r="CT157"/>
      <c r="CU157"/>
      <c r="CV157"/>
      <c r="CW157"/>
      <c r="CX157"/>
      <c r="CY157"/>
    </row>
    <row r="158" spans="2:103" ht="20.100000000000001" customHeight="1" x14ac:dyDescent="0.25">
      <c r="B158" s="68"/>
      <c r="C158" s="68"/>
      <c r="D158" s="68"/>
      <c r="E158" s="68"/>
      <c r="F158" s="69"/>
      <c r="G158" s="69"/>
      <c r="H158" s="69"/>
      <c r="I158" s="70"/>
      <c r="J158" s="67"/>
      <c r="K158" s="112"/>
      <c r="L158" s="4"/>
      <c r="M158" s="4"/>
      <c r="N158" s="4"/>
      <c r="O158" s="4"/>
      <c r="P158" s="4"/>
      <c r="Q158" s="4"/>
      <c r="R158" s="84"/>
      <c r="S158" s="4"/>
      <c r="T158" s="4"/>
      <c r="U158" s="107"/>
      <c r="V158" s="33"/>
      <c r="W158" s="104"/>
      <c r="X158" s="94"/>
      <c r="Y158" s="94"/>
      <c r="Z158" s="93"/>
      <c r="AA158" s="8"/>
      <c r="AB158" s="93"/>
      <c r="AC158" s="93"/>
      <c r="AD158" s="93"/>
      <c r="AE158" s="8"/>
      <c r="AF158" s="8"/>
      <c r="AG158" s="8"/>
      <c r="AH158" s="8"/>
      <c r="AI158" s="8"/>
      <c r="AJ158" s="8"/>
      <c r="AK158" s="8"/>
      <c r="AL158" s="8"/>
      <c r="AM158" s="93"/>
      <c r="AN158" s="89"/>
      <c r="AX158"/>
      <c r="AY158"/>
      <c r="AZ158"/>
      <c r="BA158"/>
      <c r="BB158"/>
      <c r="BC158"/>
      <c r="BD158"/>
      <c r="BE158"/>
      <c r="BF158"/>
      <c r="BG158"/>
      <c r="BH158"/>
      <c r="BI158"/>
      <c r="BJ158"/>
      <c r="BK158"/>
      <c r="BL158"/>
      <c r="BM158"/>
      <c r="BN158"/>
      <c r="BO158"/>
      <c r="BP158"/>
      <c r="BQ158"/>
      <c r="BR158"/>
      <c r="BY158"/>
      <c r="BZ158"/>
      <c r="CA158"/>
      <c r="CB158"/>
      <c r="CC158"/>
      <c r="CD158"/>
      <c r="CE158"/>
      <c r="CF158"/>
      <c r="CG158"/>
      <c r="CH158"/>
      <c r="CI158"/>
      <c r="CJ158"/>
      <c r="CK158"/>
      <c r="CL158"/>
      <c r="CM158"/>
      <c r="CN158"/>
      <c r="CO158"/>
      <c r="CP158"/>
      <c r="CQ158"/>
      <c r="CR158"/>
      <c r="CS158"/>
      <c r="CT158"/>
      <c r="CU158"/>
      <c r="CV158"/>
      <c r="CW158"/>
      <c r="CX158"/>
      <c r="CY158"/>
    </row>
    <row r="159" spans="2:103" ht="20.100000000000001" customHeight="1" x14ac:dyDescent="0.25">
      <c r="B159" s="68"/>
      <c r="C159" s="68"/>
      <c r="D159" s="68"/>
      <c r="E159" s="68"/>
      <c r="F159" s="69"/>
      <c r="G159" s="69"/>
      <c r="H159" s="69"/>
      <c r="I159" s="70"/>
      <c r="J159" s="67"/>
      <c r="K159" s="112"/>
      <c r="L159" s="4"/>
      <c r="M159" s="4"/>
      <c r="N159" s="4"/>
      <c r="O159" s="4"/>
      <c r="P159" s="4"/>
      <c r="Q159" s="4"/>
      <c r="R159" s="84"/>
      <c r="S159" s="4"/>
      <c r="T159" s="4"/>
      <c r="U159" s="107"/>
      <c r="V159" s="33"/>
      <c r="W159" s="104"/>
      <c r="X159" s="94"/>
      <c r="Y159" s="94"/>
      <c r="Z159" s="93"/>
      <c r="AA159" s="8"/>
      <c r="AB159" s="93"/>
      <c r="AC159" s="93"/>
      <c r="AD159" s="93"/>
      <c r="AE159" s="8"/>
      <c r="AF159" s="8"/>
      <c r="AG159" s="8"/>
      <c r="AH159" s="8"/>
      <c r="AI159" s="8"/>
      <c r="AJ159" s="8"/>
      <c r="AK159" s="8"/>
      <c r="AL159" s="8"/>
      <c r="AM159" s="93"/>
      <c r="AN159" s="89"/>
      <c r="AX159"/>
      <c r="AY159"/>
      <c r="AZ159"/>
      <c r="BA159"/>
      <c r="BB159"/>
      <c r="BC159"/>
      <c r="BD159"/>
      <c r="BE159"/>
      <c r="BF159"/>
      <c r="BG159"/>
      <c r="BH159"/>
      <c r="BI159"/>
      <c r="BJ159"/>
      <c r="BK159"/>
      <c r="BL159"/>
      <c r="BM159"/>
      <c r="BN159"/>
      <c r="BO159"/>
      <c r="BP159"/>
      <c r="BQ159"/>
      <c r="BR159"/>
      <c r="BY159"/>
      <c r="BZ159"/>
      <c r="CA159"/>
      <c r="CB159"/>
      <c r="CC159"/>
      <c r="CD159"/>
      <c r="CE159"/>
      <c r="CF159"/>
      <c r="CG159"/>
      <c r="CH159"/>
      <c r="CI159"/>
      <c r="CJ159"/>
      <c r="CK159"/>
      <c r="CL159"/>
      <c r="CM159"/>
      <c r="CN159"/>
      <c r="CO159"/>
      <c r="CP159"/>
      <c r="CQ159"/>
      <c r="CR159"/>
      <c r="CS159"/>
      <c r="CT159"/>
      <c r="CU159"/>
      <c r="CV159"/>
      <c r="CW159"/>
      <c r="CX159"/>
      <c r="CY159"/>
    </row>
    <row r="160" spans="2:103" ht="20.100000000000001" customHeight="1" x14ac:dyDescent="0.25">
      <c r="B160" s="68"/>
      <c r="C160" s="68"/>
      <c r="D160" s="68"/>
      <c r="E160" s="68"/>
      <c r="F160" s="69"/>
      <c r="G160" s="69"/>
      <c r="H160" s="69"/>
      <c r="I160" s="70"/>
      <c r="J160" s="67"/>
      <c r="K160" s="112"/>
      <c r="L160" s="4"/>
      <c r="M160" s="4"/>
      <c r="N160" s="4"/>
      <c r="O160" s="4"/>
      <c r="P160" s="4"/>
      <c r="Q160" s="4"/>
      <c r="R160" s="84"/>
      <c r="S160" s="4"/>
      <c r="T160" s="4"/>
      <c r="U160" s="107"/>
      <c r="V160" s="33"/>
      <c r="W160" s="104"/>
      <c r="X160" s="94"/>
      <c r="Y160" s="94"/>
      <c r="Z160" s="93"/>
      <c r="AA160" s="8"/>
      <c r="AB160" s="93"/>
      <c r="AC160" s="93"/>
      <c r="AD160" s="93"/>
      <c r="AE160" s="8"/>
      <c r="AF160" s="8"/>
      <c r="AG160" s="8"/>
      <c r="AH160" s="8"/>
      <c r="AI160" s="8"/>
      <c r="AJ160" s="8"/>
      <c r="AK160" s="8"/>
      <c r="AL160" s="8"/>
      <c r="AM160" s="93"/>
      <c r="AN160" s="89"/>
      <c r="AX160"/>
      <c r="AY160"/>
      <c r="AZ160"/>
      <c r="BA160"/>
      <c r="BB160"/>
      <c r="BC160"/>
      <c r="BD160"/>
      <c r="BE160"/>
      <c r="BF160"/>
      <c r="BG160"/>
      <c r="BH160"/>
      <c r="BI160"/>
      <c r="BJ160"/>
      <c r="BK160"/>
      <c r="BL160"/>
      <c r="BM160"/>
      <c r="BN160"/>
      <c r="BO160"/>
      <c r="BP160"/>
      <c r="BQ160"/>
      <c r="BR160"/>
      <c r="BY160"/>
      <c r="BZ160"/>
      <c r="CA160"/>
      <c r="CB160"/>
      <c r="CC160"/>
      <c r="CD160"/>
      <c r="CE160"/>
      <c r="CF160"/>
      <c r="CG160"/>
      <c r="CH160"/>
      <c r="CI160"/>
      <c r="CJ160"/>
      <c r="CK160"/>
      <c r="CL160"/>
      <c r="CM160"/>
      <c r="CN160"/>
      <c r="CO160"/>
      <c r="CP160"/>
      <c r="CQ160"/>
      <c r="CR160"/>
      <c r="CS160"/>
      <c r="CT160"/>
      <c r="CU160"/>
      <c r="CV160"/>
      <c r="CW160"/>
      <c r="CX160"/>
      <c r="CY160"/>
    </row>
    <row r="161" spans="2:103" ht="20.100000000000001" customHeight="1" x14ac:dyDescent="0.25">
      <c r="B161" s="68"/>
      <c r="C161" s="68"/>
      <c r="D161" s="68"/>
      <c r="E161" s="68"/>
      <c r="F161" s="69"/>
      <c r="G161" s="69"/>
      <c r="H161" s="69"/>
      <c r="I161" s="70"/>
      <c r="J161" s="67"/>
      <c r="K161" s="112"/>
      <c r="L161" s="4"/>
      <c r="M161" s="4"/>
      <c r="N161" s="4"/>
      <c r="O161" s="4"/>
      <c r="P161" s="4"/>
      <c r="Q161" s="4"/>
      <c r="R161" s="84"/>
      <c r="S161" s="4"/>
      <c r="T161" s="4"/>
      <c r="U161" s="107"/>
      <c r="V161" s="33"/>
      <c r="W161" s="104"/>
      <c r="X161" s="94"/>
      <c r="Y161" s="94"/>
      <c r="Z161" s="93"/>
      <c r="AA161" s="8"/>
      <c r="AB161" s="93"/>
      <c r="AC161" s="93"/>
      <c r="AD161" s="93"/>
      <c r="AE161" s="8"/>
      <c r="AF161" s="8"/>
      <c r="AG161" s="8"/>
      <c r="AH161" s="8"/>
      <c r="AI161" s="8"/>
      <c r="AJ161" s="8"/>
      <c r="AK161" s="8"/>
      <c r="AL161" s="8"/>
      <c r="AM161" s="93"/>
      <c r="AN161" s="89"/>
      <c r="AX161"/>
      <c r="AY161"/>
      <c r="AZ161"/>
      <c r="BA161"/>
      <c r="BB161"/>
      <c r="BC161"/>
      <c r="BD161"/>
      <c r="BE161"/>
      <c r="BF161"/>
      <c r="BG161"/>
      <c r="BH161"/>
      <c r="BI161"/>
      <c r="BJ161"/>
      <c r="BK161"/>
      <c r="BL161"/>
      <c r="BM161"/>
      <c r="BN161"/>
      <c r="BO161"/>
      <c r="BP161"/>
      <c r="BQ161"/>
      <c r="BR161"/>
      <c r="BY161"/>
      <c r="BZ161"/>
      <c r="CA161"/>
      <c r="CB161"/>
      <c r="CC161"/>
      <c r="CD161"/>
      <c r="CE161"/>
      <c r="CF161"/>
      <c r="CG161"/>
      <c r="CH161"/>
      <c r="CI161"/>
      <c r="CJ161"/>
      <c r="CK161"/>
      <c r="CL161"/>
      <c r="CM161"/>
      <c r="CN161"/>
      <c r="CO161"/>
      <c r="CP161"/>
      <c r="CQ161"/>
      <c r="CR161"/>
      <c r="CS161"/>
      <c r="CT161"/>
      <c r="CU161"/>
      <c r="CV161"/>
      <c r="CW161"/>
      <c r="CX161"/>
      <c r="CY161"/>
    </row>
    <row r="162" spans="2:103" ht="20.100000000000001" customHeight="1" x14ac:dyDescent="0.25">
      <c r="B162" s="68"/>
      <c r="C162" s="68"/>
      <c r="D162" s="68"/>
      <c r="E162" s="68"/>
      <c r="F162" s="69"/>
      <c r="G162" s="69"/>
      <c r="H162" s="69"/>
      <c r="I162" s="70"/>
      <c r="J162" s="67"/>
      <c r="K162" s="112"/>
      <c r="L162" s="4"/>
      <c r="M162" s="4"/>
      <c r="N162" s="4"/>
      <c r="O162" s="4"/>
      <c r="P162" s="4"/>
      <c r="Q162" s="4"/>
      <c r="R162" s="84"/>
      <c r="S162" s="4"/>
      <c r="T162" s="4"/>
      <c r="U162" s="107"/>
      <c r="V162" s="33"/>
      <c r="W162" s="104"/>
      <c r="X162" s="94"/>
      <c r="Y162" s="94"/>
      <c r="Z162" s="93"/>
      <c r="AA162" s="8"/>
      <c r="AB162" s="93"/>
      <c r="AC162" s="93"/>
      <c r="AD162" s="93"/>
      <c r="AE162" s="8"/>
      <c r="AF162" s="8"/>
      <c r="AG162" s="8"/>
      <c r="AH162" s="8"/>
      <c r="AI162" s="8"/>
      <c r="AJ162" s="8"/>
      <c r="AK162" s="8"/>
      <c r="AL162" s="8"/>
      <c r="AM162" s="93"/>
      <c r="AN162" s="89"/>
      <c r="AX162"/>
      <c r="AY162"/>
      <c r="AZ162"/>
      <c r="BA162"/>
      <c r="BB162"/>
      <c r="BC162"/>
      <c r="BD162"/>
      <c r="BE162"/>
      <c r="BF162"/>
      <c r="BG162"/>
      <c r="BH162"/>
      <c r="BI162"/>
      <c r="BJ162"/>
      <c r="BK162"/>
      <c r="BL162"/>
      <c r="BM162"/>
      <c r="BN162"/>
      <c r="BO162"/>
      <c r="BP162"/>
      <c r="BQ162"/>
      <c r="BR162"/>
      <c r="BY162"/>
      <c r="BZ162"/>
      <c r="CA162"/>
      <c r="CB162"/>
      <c r="CC162"/>
      <c r="CD162"/>
      <c r="CE162"/>
      <c r="CF162"/>
      <c r="CG162"/>
      <c r="CH162"/>
      <c r="CI162"/>
      <c r="CJ162"/>
      <c r="CK162"/>
      <c r="CL162"/>
      <c r="CM162"/>
      <c r="CN162"/>
      <c r="CO162"/>
      <c r="CP162"/>
      <c r="CQ162"/>
      <c r="CR162"/>
      <c r="CS162"/>
      <c r="CT162"/>
      <c r="CU162"/>
      <c r="CV162"/>
      <c r="CW162"/>
      <c r="CX162"/>
      <c r="CY162"/>
    </row>
    <row r="163" spans="2:103" ht="20.100000000000001" customHeight="1" x14ac:dyDescent="0.25">
      <c r="B163" s="68"/>
      <c r="C163" s="68"/>
      <c r="D163" s="68"/>
      <c r="E163" s="68"/>
      <c r="F163" s="69"/>
      <c r="G163" s="69"/>
      <c r="H163" s="69"/>
      <c r="I163" s="70"/>
      <c r="J163" s="67"/>
      <c r="K163" s="112"/>
      <c r="L163" s="4"/>
      <c r="M163" s="4"/>
      <c r="N163" s="4"/>
      <c r="O163" s="4"/>
      <c r="P163" s="4"/>
      <c r="Q163" s="4"/>
      <c r="R163" s="84"/>
      <c r="S163" s="4"/>
      <c r="T163" s="4"/>
      <c r="U163" s="107"/>
      <c r="V163" s="33"/>
      <c r="W163" s="104"/>
      <c r="X163" s="94"/>
      <c r="Y163" s="94"/>
      <c r="Z163" s="93"/>
      <c r="AA163" s="8"/>
      <c r="AB163" s="93"/>
      <c r="AC163" s="93"/>
      <c r="AD163" s="93"/>
      <c r="AE163" s="8"/>
      <c r="AF163" s="8"/>
      <c r="AG163" s="8"/>
      <c r="AH163" s="8"/>
      <c r="AI163" s="8"/>
      <c r="AJ163" s="8"/>
      <c r="AK163" s="8"/>
      <c r="AL163" s="8"/>
      <c r="AM163" s="93"/>
      <c r="AN163" s="89"/>
      <c r="AX163"/>
      <c r="AY163"/>
      <c r="AZ163"/>
      <c r="BA163"/>
      <c r="BB163"/>
      <c r="BC163"/>
      <c r="BD163"/>
      <c r="BE163"/>
      <c r="BF163"/>
      <c r="BG163"/>
      <c r="BH163"/>
      <c r="BI163"/>
      <c r="BJ163"/>
      <c r="BK163"/>
      <c r="BL163"/>
      <c r="BM163"/>
      <c r="BN163"/>
      <c r="BO163"/>
      <c r="BP163"/>
      <c r="BQ163"/>
      <c r="BR163"/>
      <c r="BY163"/>
      <c r="BZ163"/>
      <c r="CA163"/>
      <c r="CB163"/>
      <c r="CC163"/>
      <c r="CD163"/>
      <c r="CE163"/>
      <c r="CF163"/>
      <c r="CG163"/>
      <c r="CH163"/>
      <c r="CI163"/>
      <c r="CJ163"/>
      <c r="CK163"/>
      <c r="CL163"/>
      <c r="CM163"/>
      <c r="CN163"/>
      <c r="CO163"/>
      <c r="CP163"/>
      <c r="CQ163"/>
      <c r="CR163"/>
      <c r="CS163"/>
      <c r="CT163"/>
      <c r="CU163"/>
      <c r="CV163"/>
      <c r="CW163"/>
      <c r="CX163"/>
      <c r="CY163"/>
    </row>
    <row r="164" spans="2:103" ht="20.100000000000001" customHeight="1" x14ac:dyDescent="0.25">
      <c r="B164" s="68"/>
      <c r="C164" s="68"/>
      <c r="D164" s="68"/>
      <c r="E164" s="68"/>
      <c r="F164" s="69"/>
      <c r="G164" s="69"/>
      <c r="H164" s="69"/>
      <c r="I164" s="70"/>
      <c r="J164" s="67"/>
      <c r="K164" s="112"/>
      <c r="L164" s="4"/>
      <c r="M164" s="4"/>
      <c r="N164" s="4"/>
      <c r="O164" s="4"/>
      <c r="P164" s="4"/>
      <c r="Q164" s="4"/>
      <c r="R164" s="84"/>
      <c r="S164" s="4"/>
      <c r="T164" s="4"/>
      <c r="U164" s="107"/>
      <c r="V164" s="33"/>
      <c r="W164" s="104"/>
      <c r="X164" s="94"/>
      <c r="Y164" s="94"/>
      <c r="Z164" s="93"/>
      <c r="AA164" s="8"/>
      <c r="AB164" s="93"/>
      <c r="AC164" s="93"/>
      <c r="AD164" s="93"/>
      <c r="AE164" s="8"/>
      <c r="AF164" s="8"/>
      <c r="AG164" s="8"/>
      <c r="AH164" s="8"/>
      <c r="AI164" s="8"/>
      <c r="AJ164" s="8"/>
      <c r="AK164" s="8"/>
      <c r="AL164" s="8"/>
      <c r="AM164" s="93"/>
      <c r="AN164" s="89"/>
      <c r="AX164"/>
      <c r="AY164"/>
      <c r="AZ164"/>
      <c r="BA164"/>
      <c r="BB164"/>
      <c r="BC164"/>
      <c r="BD164"/>
      <c r="BE164"/>
      <c r="BF164"/>
      <c r="BG164"/>
      <c r="BH164"/>
      <c r="BI164"/>
      <c r="BJ164"/>
      <c r="BK164"/>
      <c r="BL164"/>
      <c r="BM164"/>
      <c r="BN164"/>
      <c r="BO164"/>
      <c r="BP164"/>
      <c r="BQ164"/>
      <c r="BR164"/>
      <c r="BY164"/>
      <c r="BZ164"/>
      <c r="CA164"/>
      <c r="CB164"/>
      <c r="CC164"/>
      <c r="CD164"/>
      <c r="CE164"/>
      <c r="CF164"/>
      <c r="CG164"/>
      <c r="CH164"/>
      <c r="CI164"/>
      <c r="CJ164"/>
      <c r="CK164"/>
      <c r="CL164"/>
      <c r="CM164"/>
      <c r="CN164"/>
      <c r="CO164"/>
      <c r="CP164"/>
      <c r="CQ164"/>
      <c r="CR164"/>
      <c r="CS164"/>
      <c r="CT164"/>
      <c r="CU164"/>
      <c r="CV164"/>
      <c r="CW164"/>
      <c r="CX164"/>
      <c r="CY164"/>
    </row>
    <row r="165" spans="2:103" ht="20.100000000000001" customHeight="1" x14ac:dyDescent="0.25">
      <c r="B165" s="68"/>
      <c r="C165" s="68"/>
      <c r="D165" s="68"/>
      <c r="E165" s="68"/>
      <c r="F165" s="69"/>
      <c r="G165" s="69"/>
      <c r="H165" s="69"/>
      <c r="I165" s="70"/>
      <c r="J165" s="67"/>
      <c r="K165" s="112"/>
      <c r="L165" s="4"/>
      <c r="M165" s="4"/>
      <c r="N165" s="4"/>
      <c r="O165" s="4"/>
      <c r="P165" s="4"/>
      <c r="Q165" s="4"/>
      <c r="R165" s="84"/>
      <c r="S165" s="4"/>
      <c r="T165" s="4"/>
      <c r="U165" s="107"/>
      <c r="V165" s="33"/>
      <c r="W165" s="104"/>
      <c r="X165" s="94"/>
      <c r="Y165" s="94"/>
      <c r="Z165" s="93"/>
      <c r="AA165" s="8"/>
      <c r="AB165" s="93"/>
      <c r="AC165" s="93"/>
      <c r="AD165" s="93"/>
      <c r="AE165" s="8"/>
      <c r="AF165" s="8"/>
      <c r="AG165" s="8"/>
      <c r="AH165" s="8"/>
      <c r="AI165" s="8"/>
      <c r="AJ165" s="8"/>
      <c r="AK165" s="8"/>
      <c r="AL165" s="8"/>
      <c r="AM165" s="93"/>
      <c r="AN165" s="89"/>
      <c r="AX165"/>
      <c r="AY165"/>
      <c r="AZ165"/>
      <c r="BA165"/>
      <c r="BB165"/>
      <c r="BC165"/>
      <c r="BD165"/>
      <c r="BE165"/>
      <c r="BF165"/>
      <c r="BG165"/>
      <c r="BH165"/>
      <c r="BI165"/>
      <c r="BJ165"/>
      <c r="BK165"/>
      <c r="BL165"/>
      <c r="BM165"/>
      <c r="BN165"/>
      <c r="BO165"/>
      <c r="BP165"/>
      <c r="BQ165"/>
      <c r="BR165"/>
      <c r="BY165"/>
      <c r="BZ165"/>
      <c r="CA165"/>
      <c r="CB165"/>
      <c r="CC165"/>
      <c r="CD165"/>
      <c r="CE165"/>
      <c r="CF165"/>
      <c r="CG165"/>
      <c r="CH165"/>
      <c r="CI165"/>
      <c r="CJ165"/>
      <c r="CK165"/>
      <c r="CL165"/>
      <c r="CM165"/>
      <c r="CN165"/>
      <c r="CO165"/>
      <c r="CP165"/>
      <c r="CQ165"/>
      <c r="CR165"/>
      <c r="CS165"/>
      <c r="CT165"/>
      <c r="CU165"/>
      <c r="CV165"/>
      <c r="CW165"/>
      <c r="CX165"/>
      <c r="CY165"/>
    </row>
    <row r="166" spans="2:103" ht="20.100000000000001" customHeight="1" x14ac:dyDescent="0.25">
      <c r="B166" s="68"/>
      <c r="C166" s="68"/>
      <c r="D166" s="68"/>
      <c r="E166" s="68"/>
      <c r="F166" s="69"/>
      <c r="G166" s="69"/>
      <c r="H166" s="69"/>
      <c r="I166" s="70"/>
      <c r="J166" s="67"/>
      <c r="K166" s="112"/>
      <c r="L166" s="4"/>
      <c r="M166" s="4"/>
      <c r="N166" s="4"/>
      <c r="O166" s="4"/>
      <c r="P166" s="4"/>
      <c r="Q166" s="4"/>
      <c r="R166" s="84"/>
      <c r="S166" s="4"/>
      <c r="T166" s="4"/>
      <c r="U166" s="107"/>
      <c r="V166" s="33"/>
      <c r="W166" s="104"/>
      <c r="X166" s="94"/>
      <c r="Y166" s="94"/>
      <c r="Z166" s="93"/>
      <c r="AA166" s="8"/>
      <c r="AB166" s="93"/>
      <c r="AC166" s="93"/>
      <c r="AD166" s="93"/>
      <c r="AE166" s="8"/>
      <c r="AF166" s="8"/>
      <c r="AG166" s="8"/>
      <c r="AH166" s="8"/>
      <c r="AI166" s="8"/>
      <c r="AJ166" s="8"/>
      <c r="AK166" s="8"/>
      <c r="AL166" s="8"/>
      <c r="AM166" s="93"/>
      <c r="AN166" s="89"/>
      <c r="AX166"/>
      <c r="AY166"/>
      <c r="AZ166"/>
      <c r="BA166"/>
      <c r="BB166"/>
      <c r="BC166"/>
      <c r="BD166"/>
      <c r="BE166"/>
      <c r="BF166"/>
      <c r="BG166"/>
      <c r="BH166"/>
      <c r="BI166"/>
      <c r="BJ166"/>
      <c r="BK166"/>
      <c r="BL166"/>
      <c r="BM166"/>
      <c r="BN166"/>
      <c r="BO166"/>
      <c r="BP166"/>
      <c r="BQ166"/>
      <c r="BR166"/>
      <c r="BY166"/>
      <c r="BZ166"/>
      <c r="CA166"/>
      <c r="CB166"/>
      <c r="CC166"/>
      <c r="CD166"/>
      <c r="CE166"/>
      <c r="CF166"/>
      <c r="CG166"/>
      <c r="CH166"/>
      <c r="CI166"/>
      <c r="CJ166"/>
      <c r="CK166"/>
      <c r="CL166"/>
      <c r="CM166"/>
      <c r="CN166"/>
      <c r="CO166"/>
      <c r="CP166"/>
      <c r="CQ166"/>
      <c r="CR166"/>
      <c r="CS166"/>
      <c r="CT166"/>
      <c r="CU166"/>
      <c r="CV166"/>
      <c r="CW166"/>
      <c r="CX166"/>
      <c r="CY166"/>
    </row>
    <row r="167" spans="2:103" ht="20.100000000000001" customHeight="1" x14ac:dyDescent="0.25">
      <c r="B167" s="68"/>
      <c r="C167" s="68"/>
      <c r="D167" s="68"/>
      <c r="E167" s="68"/>
      <c r="F167" s="69"/>
      <c r="G167" s="69"/>
      <c r="H167" s="69"/>
      <c r="I167" s="70"/>
      <c r="J167" s="67"/>
      <c r="K167" s="112"/>
      <c r="L167" s="4"/>
      <c r="M167" s="4"/>
      <c r="N167" s="4"/>
      <c r="O167" s="4"/>
      <c r="P167" s="4"/>
      <c r="Q167" s="4"/>
      <c r="R167" s="84"/>
      <c r="S167" s="4"/>
      <c r="T167" s="4"/>
      <c r="U167" s="107"/>
      <c r="V167" s="33"/>
      <c r="W167" s="104"/>
      <c r="X167" s="94"/>
      <c r="Y167" s="94"/>
      <c r="Z167" s="93"/>
      <c r="AA167" s="8"/>
      <c r="AB167" s="93"/>
      <c r="AC167" s="93"/>
      <c r="AD167" s="93"/>
      <c r="AE167" s="8"/>
      <c r="AF167" s="8"/>
      <c r="AG167" s="8"/>
      <c r="AH167" s="8"/>
      <c r="AI167" s="8"/>
      <c r="AJ167" s="8"/>
      <c r="AK167" s="8"/>
      <c r="AL167" s="8"/>
      <c r="AM167" s="93"/>
      <c r="AN167" s="89"/>
      <c r="AX167"/>
      <c r="AY167"/>
      <c r="AZ167"/>
      <c r="BA167"/>
      <c r="BB167"/>
      <c r="BC167"/>
      <c r="BD167"/>
      <c r="BE167"/>
      <c r="BF167"/>
      <c r="BG167"/>
      <c r="BH167"/>
      <c r="BI167"/>
      <c r="BJ167"/>
      <c r="BK167"/>
      <c r="BL167"/>
      <c r="BM167"/>
      <c r="BN167"/>
      <c r="BO167"/>
      <c r="BP167"/>
      <c r="BQ167"/>
      <c r="BR167"/>
      <c r="BY167"/>
      <c r="BZ167"/>
      <c r="CA167"/>
      <c r="CB167"/>
      <c r="CC167"/>
      <c r="CD167"/>
      <c r="CE167"/>
      <c r="CF167"/>
      <c r="CG167"/>
      <c r="CH167"/>
      <c r="CI167"/>
      <c r="CJ167"/>
      <c r="CK167"/>
      <c r="CL167"/>
      <c r="CM167"/>
      <c r="CN167"/>
      <c r="CO167"/>
      <c r="CP167"/>
      <c r="CQ167"/>
      <c r="CR167"/>
      <c r="CS167"/>
      <c r="CT167"/>
      <c r="CU167"/>
      <c r="CV167"/>
      <c r="CW167"/>
      <c r="CX167"/>
      <c r="CY167"/>
    </row>
    <row r="168" spans="2:103" ht="20.100000000000001" customHeight="1" x14ac:dyDescent="0.25">
      <c r="B168" s="68"/>
      <c r="C168" s="68"/>
      <c r="D168" s="68"/>
      <c r="E168" s="68"/>
      <c r="F168" s="69"/>
      <c r="G168" s="69"/>
      <c r="H168" s="69"/>
      <c r="I168" s="70"/>
      <c r="J168" s="67"/>
      <c r="K168" s="112"/>
      <c r="L168" s="4"/>
      <c r="M168" s="4"/>
      <c r="N168" s="4"/>
      <c r="O168" s="4"/>
      <c r="P168" s="4"/>
      <c r="Q168" s="4"/>
      <c r="R168" s="84"/>
      <c r="S168" s="4"/>
      <c r="T168" s="4"/>
      <c r="U168" s="107"/>
      <c r="V168" s="33"/>
      <c r="W168" s="104"/>
      <c r="X168" s="94"/>
      <c r="Y168" s="94"/>
      <c r="Z168" s="93"/>
      <c r="AA168" s="8"/>
      <c r="AB168" s="93"/>
      <c r="AC168" s="93"/>
      <c r="AD168" s="93"/>
      <c r="AE168" s="8"/>
      <c r="AF168" s="8"/>
      <c r="AG168" s="8"/>
      <c r="AH168" s="8"/>
      <c r="AI168" s="8"/>
      <c r="AJ168" s="8"/>
      <c r="AK168" s="8"/>
      <c r="AL168" s="8"/>
      <c r="AM168" s="93"/>
      <c r="AN168" s="89"/>
      <c r="AX168"/>
      <c r="AY168"/>
      <c r="AZ168"/>
      <c r="BA168"/>
      <c r="BB168"/>
      <c r="BC168"/>
      <c r="BD168"/>
      <c r="BE168"/>
      <c r="BF168"/>
      <c r="BG168"/>
      <c r="BH168"/>
      <c r="BI168"/>
      <c r="BJ168"/>
      <c r="BK168"/>
      <c r="BL168"/>
      <c r="BM168"/>
      <c r="BN168"/>
      <c r="BO168"/>
      <c r="BP168"/>
      <c r="BQ168"/>
      <c r="BR168"/>
      <c r="BY168"/>
      <c r="BZ168"/>
      <c r="CA168"/>
      <c r="CB168"/>
      <c r="CC168"/>
      <c r="CD168"/>
      <c r="CE168"/>
      <c r="CF168"/>
      <c r="CG168"/>
      <c r="CH168"/>
      <c r="CI168"/>
      <c r="CJ168"/>
      <c r="CK168"/>
      <c r="CL168"/>
      <c r="CM168"/>
      <c r="CN168"/>
      <c r="CO168"/>
      <c r="CP168"/>
      <c r="CQ168"/>
      <c r="CR168"/>
      <c r="CS168"/>
      <c r="CT168"/>
      <c r="CU168"/>
      <c r="CV168"/>
      <c r="CW168"/>
      <c r="CX168"/>
      <c r="CY168"/>
    </row>
    <row r="169" spans="2:103" ht="20.100000000000001" customHeight="1" x14ac:dyDescent="0.25">
      <c r="B169" s="68"/>
      <c r="C169" s="68"/>
      <c r="D169" s="68"/>
      <c r="E169" s="68"/>
      <c r="F169" s="69"/>
      <c r="G169" s="69"/>
      <c r="H169" s="69"/>
      <c r="I169" s="70"/>
      <c r="J169" s="67"/>
      <c r="K169" s="112"/>
      <c r="L169" s="4"/>
      <c r="M169" s="4"/>
      <c r="N169" s="4"/>
      <c r="O169" s="4"/>
      <c r="P169" s="4"/>
      <c r="Q169" s="4"/>
      <c r="R169" s="84"/>
      <c r="S169" s="4"/>
      <c r="T169" s="4"/>
      <c r="U169" s="107"/>
      <c r="V169" s="33"/>
      <c r="W169" s="104"/>
      <c r="X169" s="94"/>
      <c r="Y169" s="94"/>
      <c r="Z169" s="93"/>
      <c r="AA169" s="8"/>
      <c r="AB169" s="93"/>
      <c r="AC169" s="93"/>
      <c r="AD169" s="93"/>
      <c r="AE169" s="8"/>
      <c r="AF169" s="8"/>
      <c r="AG169" s="8"/>
      <c r="AH169" s="8"/>
      <c r="AI169" s="8"/>
      <c r="AJ169" s="8"/>
      <c r="AK169" s="8"/>
      <c r="AL169" s="8"/>
      <c r="AM169" s="93"/>
      <c r="AN169" s="89"/>
      <c r="AX169"/>
      <c r="AY169"/>
      <c r="AZ169"/>
      <c r="BA169"/>
      <c r="BB169"/>
      <c r="BC169"/>
      <c r="BD169"/>
      <c r="BE169"/>
      <c r="BF169"/>
      <c r="BG169"/>
      <c r="BH169"/>
      <c r="BI169"/>
      <c r="BJ169"/>
      <c r="BK169"/>
      <c r="BL169"/>
      <c r="BM169"/>
      <c r="BN169"/>
      <c r="BO169"/>
      <c r="BP169"/>
      <c r="BQ169"/>
      <c r="BR169"/>
      <c r="BY169"/>
      <c r="BZ169"/>
      <c r="CA169"/>
      <c r="CB169"/>
      <c r="CC169"/>
      <c r="CD169"/>
      <c r="CE169"/>
      <c r="CF169"/>
      <c r="CG169"/>
      <c r="CH169"/>
      <c r="CI169"/>
      <c r="CJ169"/>
      <c r="CK169"/>
      <c r="CL169"/>
      <c r="CM169"/>
      <c r="CN169"/>
      <c r="CO169"/>
      <c r="CP169"/>
      <c r="CQ169"/>
      <c r="CR169"/>
      <c r="CS169"/>
      <c r="CT169"/>
      <c r="CU169"/>
      <c r="CV169"/>
      <c r="CW169"/>
      <c r="CX169"/>
      <c r="CY169"/>
    </row>
    <row r="170" spans="2:103" ht="20.100000000000001" customHeight="1" x14ac:dyDescent="0.25">
      <c r="B170" s="68"/>
      <c r="C170" s="68"/>
      <c r="D170" s="68"/>
      <c r="E170" s="68"/>
      <c r="F170" s="69"/>
      <c r="G170" s="69"/>
      <c r="H170" s="69"/>
      <c r="I170" s="70"/>
      <c r="J170" s="67"/>
      <c r="K170" s="112"/>
      <c r="L170" s="4"/>
      <c r="M170" s="4"/>
      <c r="N170" s="4"/>
      <c r="O170" s="4"/>
      <c r="P170" s="4"/>
      <c r="Q170" s="4"/>
      <c r="R170" s="84"/>
      <c r="S170" s="4"/>
      <c r="T170" s="4"/>
      <c r="U170" s="107"/>
      <c r="V170" s="33"/>
      <c r="W170" s="104"/>
      <c r="X170" s="94"/>
      <c r="Y170" s="94"/>
      <c r="Z170" s="93"/>
      <c r="AA170" s="8"/>
      <c r="AB170" s="93"/>
      <c r="AC170" s="93"/>
      <c r="AD170" s="93"/>
      <c r="AE170" s="8"/>
      <c r="AF170" s="8"/>
      <c r="AG170" s="8"/>
      <c r="AH170" s="8"/>
      <c r="AI170" s="8"/>
      <c r="AJ170" s="8"/>
      <c r="AK170" s="8"/>
      <c r="AL170" s="8"/>
      <c r="AM170" s="93"/>
      <c r="AN170" s="89"/>
      <c r="AX170"/>
      <c r="AY170"/>
      <c r="AZ170"/>
      <c r="BA170"/>
      <c r="BB170"/>
      <c r="BC170"/>
      <c r="BD170"/>
      <c r="BE170"/>
      <c r="BF170"/>
      <c r="BG170"/>
      <c r="BH170"/>
      <c r="BI170"/>
      <c r="BJ170"/>
      <c r="BK170"/>
      <c r="BL170"/>
      <c r="BM170"/>
      <c r="BN170"/>
      <c r="BO170"/>
      <c r="BP170"/>
      <c r="BQ170"/>
      <c r="BR170"/>
      <c r="BY170"/>
      <c r="BZ170"/>
      <c r="CA170"/>
      <c r="CB170"/>
      <c r="CC170"/>
      <c r="CD170"/>
      <c r="CE170"/>
      <c r="CF170"/>
      <c r="CG170"/>
      <c r="CH170"/>
      <c r="CI170"/>
      <c r="CJ170"/>
      <c r="CK170"/>
      <c r="CL170"/>
      <c r="CM170"/>
      <c r="CN170"/>
      <c r="CO170"/>
      <c r="CP170"/>
      <c r="CQ170"/>
      <c r="CR170"/>
      <c r="CS170"/>
      <c r="CT170"/>
      <c r="CU170"/>
      <c r="CV170"/>
      <c r="CW170"/>
      <c r="CX170"/>
      <c r="CY170"/>
    </row>
    <row r="171" spans="2:103" ht="20.100000000000001" customHeight="1" x14ac:dyDescent="0.25">
      <c r="B171" s="68"/>
      <c r="C171" s="68"/>
      <c r="D171" s="68"/>
      <c r="E171" s="68"/>
      <c r="F171" s="69"/>
      <c r="G171" s="69"/>
      <c r="H171" s="69"/>
      <c r="I171" s="70"/>
      <c r="J171" s="67"/>
      <c r="K171" s="112"/>
      <c r="L171" s="4"/>
      <c r="M171" s="4"/>
      <c r="N171" s="4"/>
      <c r="O171" s="4"/>
      <c r="P171" s="4"/>
      <c r="Q171" s="4"/>
      <c r="R171" s="84"/>
      <c r="S171" s="4"/>
      <c r="T171" s="4"/>
      <c r="U171" s="107"/>
      <c r="V171" s="33"/>
      <c r="W171" s="104"/>
      <c r="X171" s="94"/>
      <c r="Y171" s="94"/>
      <c r="Z171" s="93"/>
      <c r="AA171" s="8"/>
      <c r="AB171" s="93"/>
      <c r="AC171" s="93"/>
      <c r="AD171" s="93"/>
      <c r="AE171" s="8"/>
      <c r="AF171" s="8"/>
      <c r="AG171" s="8"/>
      <c r="AH171" s="8"/>
      <c r="AI171" s="8"/>
      <c r="AJ171" s="8"/>
      <c r="AK171" s="8"/>
      <c r="AL171" s="8"/>
      <c r="AM171" s="93"/>
      <c r="AN171" s="89"/>
      <c r="AX171"/>
      <c r="AY171"/>
      <c r="AZ171"/>
      <c r="BA171"/>
      <c r="BB171"/>
      <c r="BC171"/>
      <c r="BD171"/>
      <c r="BE171"/>
      <c r="BF171"/>
      <c r="BG171"/>
      <c r="BH171"/>
      <c r="BI171"/>
      <c r="BJ171"/>
      <c r="BK171"/>
      <c r="BL171"/>
      <c r="BM171"/>
      <c r="BN171"/>
      <c r="BO171"/>
      <c r="BP171"/>
      <c r="BQ171"/>
      <c r="BR171"/>
      <c r="BY171"/>
      <c r="BZ171"/>
      <c r="CA171"/>
      <c r="CB171"/>
      <c r="CC171"/>
      <c r="CD171"/>
      <c r="CE171"/>
      <c r="CF171"/>
      <c r="CG171"/>
      <c r="CH171"/>
      <c r="CI171"/>
      <c r="CJ171"/>
      <c r="CK171"/>
      <c r="CL171"/>
      <c r="CM171"/>
      <c r="CN171"/>
      <c r="CO171"/>
      <c r="CP171"/>
      <c r="CQ171"/>
      <c r="CR171"/>
      <c r="CS171"/>
      <c r="CT171"/>
      <c r="CU171"/>
      <c r="CV171"/>
      <c r="CW171"/>
      <c r="CX171"/>
      <c r="CY171"/>
    </row>
    <row r="172" spans="2:103" ht="20.100000000000001" customHeight="1" x14ac:dyDescent="0.25">
      <c r="B172" s="68"/>
      <c r="C172" s="68"/>
      <c r="D172" s="68"/>
      <c r="E172" s="68"/>
      <c r="F172" s="69"/>
      <c r="G172" s="69"/>
      <c r="H172" s="69"/>
      <c r="I172" s="70"/>
      <c r="J172" s="67"/>
      <c r="K172" s="112"/>
      <c r="L172" s="4"/>
      <c r="M172" s="4"/>
      <c r="N172" s="4"/>
      <c r="O172" s="4"/>
      <c r="P172" s="4"/>
      <c r="Q172" s="4"/>
      <c r="R172" s="84"/>
      <c r="S172" s="4"/>
      <c r="T172" s="4"/>
      <c r="U172" s="107"/>
      <c r="V172" s="33"/>
      <c r="W172" s="104"/>
      <c r="X172" s="94"/>
      <c r="Y172" s="94"/>
      <c r="Z172" s="93"/>
      <c r="AA172" s="8"/>
      <c r="AB172" s="93"/>
      <c r="AC172" s="93"/>
      <c r="AD172" s="93"/>
      <c r="AE172" s="8"/>
      <c r="AF172" s="8"/>
      <c r="AG172" s="8"/>
      <c r="AH172" s="8"/>
      <c r="AI172" s="8"/>
      <c r="AJ172" s="8"/>
      <c r="AK172" s="8"/>
      <c r="AL172" s="8"/>
      <c r="AM172" s="93"/>
      <c r="AN172" s="89"/>
      <c r="AX172"/>
      <c r="AY172"/>
      <c r="AZ172"/>
      <c r="BA172"/>
      <c r="BB172"/>
      <c r="BC172"/>
      <c r="BD172"/>
      <c r="BE172"/>
      <c r="BF172"/>
      <c r="BG172"/>
      <c r="BH172"/>
      <c r="BI172"/>
      <c r="BJ172"/>
      <c r="BK172"/>
      <c r="BL172"/>
      <c r="BM172"/>
      <c r="BN172"/>
      <c r="BO172"/>
      <c r="BP172"/>
      <c r="BQ172"/>
      <c r="BR172"/>
      <c r="BY172"/>
      <c r="BZ172"/>
      <c r="CA172"/>
      <c r="CB172"/>
      <c r="CC172"/>
      <c r="CD172"/>
      <c r="CE172"/>
      <c r="CF172"/>
      <c r="CG172"/>
      <c r="CH172"/>
      <c r="CI172"/>
      <c r="CJ172"/>
      <c r="CK172"/>
      <c r="CL172"/>
      <c r="CM172"/>
      <c r="CN172"/>
      <c r="CO172"/>
      <c r="CP172"/>
      <c r="CQ172"/>
      <c r="CR172"/>
      <c r="CS172"/>
      <c r="CT172"/>
      <c r="CU172"/>
      <c r="CV172"/>
      <c r="CW172"/>
      <c r="CX172"/>
      <c r="CY172"/>
    </row>
    <row r="173" spans="2:103" ht="20.100000000000001" customHeight="1" x14ac:dyDescent="0.25">
      <c r="B173" s="68"/>
      <c r="C173" s="68"/>
      <c r="D173" s="68"/>
      <c r="E173" s="68"/>
      <c r="F173" s="69"/>
      <c r="G173" s="69"/>
      <c r="H173" s="69"/>
      <c r="I173" s="70"/>
      <c r="J173" s="67"/>
      <c r="K173" s="112"/>
      <c r="L173" s="4"/>
      <c r="M173" s="4"/>
      <c r="N173" s="4"/>
      <c r="O173" s="4"/>
      <c r="P173" s="4"/>
      <c r="Q173" s="4"/>
      <c r="R173" s="84"/>
      <c r="S173" s="4"/>
      <c r="T173" s="4"/>
      <c r="U173" s="107"/>
      <c r="V173" s="33"/>
      <c r="W173" s="104"/>
      <c r="X173" s="94"/>
      <c r="Y173" s="94"/>
      <c r="Z173" s="93"/>
      <c r="AA173" s="8"/>
      <c r="AB173" s="93"/>
      <c r="AC173" s="93"/>
      <c r="AD173" s="93"/>
      <c r="AE173" s="8"/>
      <c r="AF173" s="8"/>
      <c r="AG173" s="8"/>
      <c r="AH173" s="8"/>
      <c r="AI173" s="8"/>
      <c r="AJ173" s="8"/>
      <c r="AK173" s="8"/>
      <c r="AL173" s="8"/>
      <c r="AM173" s="93"/>
      <c r="AN173" s="89"/>
      <c r="AX173"/>
      <c r="AY173"/>
      <c r="AZ173"/>
      <c r="BA173"/>
      <c r="BB173"/>
      <c r="BC173"/>
      <c r="BD173"/>
      <c r="BE173"/>
      <c r="BF173"/>
      <c r="BG173"/>
      <c r="BH173"/>
      <c r="BI173"/>
      <c r="BJ173"/>
      <c r="BK173"/>
      <c r="BL173"/>
      <c r="BM173"/>
      <c r="BN173"/>
      <c r="BO173"/>
      <c r="BP173"/>
      <c r="BQ173"/>
      <c r="BR173"/>
      <c r="BY173"/>
      <c r="BZ173"/>
      <c r="CA173"/>
      <c r="CB173"/>
      <c r="CC173"/>
      <c r="CD173"/>
      <c r="CE173"/>
      <c r="CF173"/>
      <c r="CG173"/>
      <c r="CH173"/>
      <c r="CI173"/>
      <c r="CJ173"/>
      <c r="CK173"/>
      <c r="CL173"/>
      <c r="CM173"/>
      <c r="CN173"/>
      <c r="CO173"/>
      <c r="CP173"/>
      <c r="CQ173"/>
      <c r="CR173"/>
      <c r="CS173"/>
      <c r="CT173"/>
      <c r="CU173"/>
      <c r="CV173"/>
      <c r="CW173"/>
      <c r="CX173"/>
      <c r="CY173"/>
    </row>
    <row r="174" spans="2:103" ht="20.100000000000001" customHeight="1" x14ac:dyDescent="0.25">
      <c r="B174" s="68"/>
      <c r="C174" s="68"/>
      <c r="D174" s="68"/>
      <c r="E174" s="68"/>
      <c r="F174" s="69"/>
      <c r="G174" s="69"/>
      <c r="H174" s="69"/>
      <c r="I174" s="70"/>
      <c r="J174" s="67"/>
      <c r="K174" s="112"/>
      <c r="L174" s="4"/>
      <c r="M174" s="4"/>
      <c r="N174" s="4"/>
      <c r="O174" s="4"/>
      <c r="P174" s="4"/>
      <c r="Q174" s="4"/>
      <c r="R174" s="84"/>
      <c r="S174" s="4"/>
      <c r="T174" s="4"/>
      <c r="U174" s="107"/>
      <c r="V174" s="33"/>
      <c r="W174" s="104"/>
      <c r="X174" s="94"/>
      <c r="Y174" s="94"/>
      <c r="Z174" s="93"/>
      <c r="AA174" s="8"/>
      <c r="AB174" s="93"/>
      <c r="AC174" s="93"/>
      <c r="AD174" s="93"/>
      <c r="AE174" s="8"/>
      <c r="AF174" s="8"/>
      <c r="AG174" s="8"/>
      <c r="AH174" s="8"/>
      <c r="AI174" s="8"/>
      <c r="AJ174" s="8"/>
      <c r="AK174" s="8"/>
      <c r="AL174" s="8"/>
      <c r="AM174" s="93"/>
      <c r="AN174" s="89"/>
      <c r="AX174"/>
      <c r="AY174"/>
      <c r="AZ174"/>
      <c r="BA174"/>
      <c r="BB174"/>
      <c r="BC174"/>
      <c r="BD174"/>
      <c r="BE174"/>
      <c r="BF174"/>
      <c r="BG174"/>
      <c r="BH174"/>
      <c r="BI174"/>
      <c r="BJ174"/>
      <c r="BK174"/>
      <c r="BL174"/>
      <c r="BM174"/>
      <c r="BN174"/>
      <c r="BO174"/>
      <c r="BP174"/>
      <c r="BQ174"/>
      <c r="BR174"/>
      <c r="BY174"/>
      <c r="BZ174"/>
      <c r="CA174"/>
      <c r="CB174"/>
      <c r="CC174"/>
      <c r="CD174"/>
      <c r="CE174"/>
      <c r="CF174"/>
      <c r="CG174"/>
      <c r="CH174"/>
      <c r="CI174"/>
      <c r="CJ174"/>
      <c r="CK174"/>
      <c r="CL174"/>
      <c r="CM174"/>
      <c r="CN174"/>
      <c r="CO174"/>
      <c r="CP174"/>
      <c r="CQ174"/>
      <c r="CR174"/>
      <c r="CS174"/>
      <c r="CT174"/>
      <c r="CU174"/>
      <c r="CV174"/>
      <c r="CW174"/>
      <c r="CX174"/>
      <c r="CY174"/>
    </row>
    <row r="175" spans="2:103" ht="20.100000000000001" customHeight="1" x14ac:dyDescent="0.25">
      <c r="B175" s="68"/>
      <c r="C175" s="68"/>
      <c r="D175" s="68"/>
      <c r="E175" s="68"/>
      <c r="F175" s="69"/>
      <c r="G175" s="69"/>
      <c r="H175" s="69"/>
      <c r="I175" s="70"/>
      <c r="J175" s="67"/>
      <c r="K175" s="112"/>
      <c r="L175" s="4"/>
      <c r="M175" s="4"/>
      <c r="N175" s="4"/>
      <c r="O175" s="4"/>
      <c r="P175" s="4"/>
      <c r="Q175" s="4"/>
      <c r="R175" s="84"/>
      <c r="S175" s="4"/>
      <c r="T175" s="4"/>
      <c r="U175" s="107"/>
      <c r="V175" s="33"/>
      <c r="W175" s="104"/>
      <c r="X175" s="94"/>
      <c r="Y175" s="94"/>
      <c r="Z175" s="93"/>
      <c r="AA175" s="8"/>
      <c r="AB175" s="93"/>
      <c r="AC175" s="93"/>
      <c r="AD175" s="93"/>
      <c r="AE175" s="8"/>
      <c r="AF175" s="8"/>
      <c r="AG175" s="8"/>
      <c r="AH175" s="8"/>
      <c r="AI175" s="8"/>
      <c r="AJ175" s="8"/>
      <c r="AK175" s="8"/>
      <c r="AL175" s="8"/>
      <c r="AM175" s="93"/>
      <c r="AN175" s="89"/>
      <c r="AX175"/>
      <c r="AY175"/>
      <c r="AZ175"/>
      <c r="BA175"/>
      <c r="BB175"/>
      <c r="BC175"/>
      <c r="BD175"/>
      <c r="BE175"/>
      <c r="BF175"/>
      <c r="BG175"/>
      <c r="BH175"/>
      <c r="BI175"/>
      <c r="BJ175"/>
      <c r="BK175"/>
      <c r="BL175"/>
      <c r="BM175"/>
      <c r="BN175"/>
      <c r="BO175"/>
      <c r="BP175"/>
      <c r="BQ175"/>
      <c r="BR175"/>
      <c r="BY175"/>
      <c r="BZ175"/>
      <c r="CA175"/>
      <c r="CB175"/>
      <c r="CC175"/>
      <c r="CD175"/>
      <c r="CE175"/>
      <c r="CF175"/>
      <c r="CG175"/>
      <c r="CH175"/>
      <c r="CI175"/>
      <c r="CJ175"/>
      <c r="CK175"/>
      <c r="CL175"/>
      <c r="CM175"/>
      <c r="CN175"/>
      <c r="CO175"/>
      <c r="CP175"/>
      <c r="CQ175"/>
      <c r="CR175"/>
      <c r="CS175"/>
      <c r="CT175"/>
      <c r="CU175"/>
      <c r="CV175"/>
      <c r="CW175"/>
      <c r="CX175"/>
      <c r="CY175"/>
    </row>
    <row r="176" spans="2:103" ht="20.100000000000001" customHeight="1" x14ac:dyDescent="0.25">
      <c r="B176" s="68"/>
      <c r="C176" s="68"/>
      <c r="D176" s="68"/>
      <c r="E176" s="68"/>
      <c r="F176" s="69"/>
      <c r="G176" s="69"/>
      <c r="H176" s="69"/>
      <c r="I176" s="70"/>
      <c r="J176" s="67"/>
      <c r="K176" s="112"/>
      <c r="L176" s="4"/>
      <c r="M176" s="4"/>
      <c r="N176" s="4"/>
      <c r="O176" s="4"/>
      <c r="P176" s="4"/>
      <c r="Q176" s="4"/>
      <c r="R176" s="84"/>
      <c r="S176" s="4"/>
      <c r="T176" s="4"/>
      <c r="U176" s="107"/>
      <c r="V176" s="33"/>
      <c r="W176" s="104"/>
      <c r="X176" s="94"/>
      <c r="Y176" s="94"/>
      <c r="Z176" s="93"/>
      <c r="AA176" s="8"/>
      <c r="AB176" s="93"/>
      <c r="AC176" s="93"/>
      <c r="AD176" s="93"/>
      <c r="AE176" s="8"/>
      <c r="AF176" s="8"/>
      <c r="AG176" s="8"/>
      <c r="AH176" s="8"/>
      <c r="AI176" s="8"/>
      <c r="AJ176" s="8"/>
      <c r="AK176" s="8"/>
      <c r="AL176" s="8"/>
      <c r="AM176" s="93"/>
      <c r="AN176" s="89"/>
      <c r="AX176"/>
      <c r="AY176"/>
      <c r="AZ176"/>
      <c r="BA176"/>
      <c r="BB176"/>
      <c r="BC176"/>
      <c r="BD176"/>
      <c r="BE176"/>
      <c r="BF176"/>
      <c r="BG176"/>
      <c r="BH176"/>
      <c r="BI176"/>
      <c r="BJ176"/>
      <c r="BK176"/>
      <c r="BL176"/>
      <c r="BM176"/>
      <c r="BN176"/>
      <c r="BO176"/>
      <c r="BP176"/>
      <c r="BQ176"/>
      <c r="BR176"/>
      <c r="BY176"/>
      <c r="BZ176"/>
      <c r="CA176"/>
      <c r="CB176"/>
      <c r="CC176"/>
      <c r="CD176"/>
      <c r="CE176"/>
      <c r="CF176"/>
      <c r="CG176"/>
      <c r="CH176"/>
      <c r="CI176"/>
      <c r="CJ176"/>
      <c r="CK176"/>
      <c r="CL176"/>
      <c r="CM176"/>
      <c r="CN176"/>
      <c r="CO176"/>
      <c r="CP176"/>
      <c r="CQ176"/>
      <c r="CR176"/>
      <c r="CS176"/>
      <c r="CT176"/>
      <c r="CU176"/>
      <c r="CV176"/>
      <c r="CW176"/>
      <c r="CX176"/>
      <c r="CY176"/>
    </row>
    <row r="177" spans="2:103" ht="20.100000000000001" customHeight="1" x14ac:dyDescent="0.25">
      <c r="B177" s="68"/>
      <c r="C177" s="68"/>
      <c r="D177" s="68"/>
      <c r="E177" s="68"/>
      <c r="F177" s="69"/>
      <c r="G177" s="69"/>
      <c r="H177" s="69"/>
      <c r="I177" s="70"/>
      <c r="J177" s="67"/>
      <c r="K177" s="112"/>
      <c r="L177" s="4"/>
      <c r="M177" s="4"/>
      <c r="N177" s="4"/>
      <c r="O177" s="4"/>
      <c r="P177" s="4"/>
      <c r="Q177" s="4"/>
      <c r="R177" s="84"/>
      <c r="S177" s="4"/>
      <c r="T177" s="4"/>
      <c r="U177" s="107"/>
      <c r="V177" s="33"/>
      <c r="W177" s="104"/>
      <c r="X177" s="94"/>
      <c r="Y177" s="94"/>
      <c r="Z177" s="93"/>
      <c r="AA177" s="8"/>
      <c r="AB177" s="93"/>
      <c r="AC177" s="93"/>
      <c r="AD177" s="93"/>
      <c r="AE177" s="8"/>
      <c r="AF177" s="8"/>
      <c r="AG177" s="8"/>
      <c r="AH177" s="8"/>
      <c r="AI177" s="8"/>
      <c r="AJ177" s="8"/>
      <c r="AK177" s="8"/>
      <c r="AL177" s="8"/>
      <c r="AM177" s="93"/>
      <c r="AN177" s="89"/>
      <c r="AX177"/>
      <c r="AY177"/>
      <c r="AZ177"/>
      <c r="BA177"/>
      <c r="BB177"/>
      <c r="BC177"/>
      <c r="BD177"/>
      <c r="BE177"/>
      <c r="BF177"/>
      <c r="BG177"/>
      <c r="BH177"/>
      <c r="BI177"/>
      <c r="BJ177"/>
      <c r="BK177"/>
      <c r="BL177"/>
      <c r="BM177"/>
      <c r="BN177"/>
      <c r="BO177"/>
      <c r="BP177"/>
      <c r="BQ177"/>
      <c r="BR177"/>
      <c r="BY177"/>
      <c r="BZ177"/>
      <c r="CA177"/>
      <c r="CB177"/>
      <c r="CC177"/>
      <c r="CD177"/>
      <c r="CE177"/>
      <c r="CF177"/>
      <c r="CG177"/>
      <c r="CH177"/>
      <c r="CI177"/>
      <c r="CJ177"/>
      <c r="CK177"/>
      <c r="CL177"/>
      <c r="CM177"/>
      <c r="CN177"/>
      <c r="CO177"/>
      <c r="CP177"/>
      <c r="CQ177"/>
      <c r="CR177"/>
      <c r="CS177"/>
      <c r="CT177"/>
      <c r="CU177"/>
      <c r="CV177"/>
      <c r="CW177"/>
      <c r="CX177"/>
      <c r="CY177"/>
    </row>
    <row r="178" spans="2:103" ht="20.100000000000001" customHeight="1" x14ac:dyDescent="0.25">
      <c r="B178" s="68"/>
      <c r="C178" s="68"/>
      <c r="D178" s="68"/>
      <c r="E178" s="68"/>
      <c r="F178" s="69"/>
      <c r="G178" s="69"/>
      <c r="H178" s="69"/>
      <c r="I178" s="70"/>
      <c r="J178" s="67"/>
      <c r="K178" s="112"/>
      <c r="L178" s="4"/>
      <c r="M178" s="4"/>
      <c r="N178" s="4"/>
      <c r="O178" s="4"/>
      <c r="P178" s="4"/>
      <c r="Q178" s="4"/>
      <c r="R178" s="84"/>
      <c r="S178" s="4"/>
      <c r="T178" s="4"/>
      <c r="U178" s="107"/>
      <c r="V178" s="33"/>
      <c r="W178" s="104"/>
      <c r="X178" s="94"/>
      <c r="Y178" s="94"/>
      <c r="Z178" s="93"/>
      <c r="AA178" s="8"/>
      <c r="AB178" s="93"/>
      <c r="AC178" s="93"/>
      <c r="AD178" s="93"/>
      <c r="AE178" s="8"/>
      <c r="AF178" s="8"/>
      <c r="AG178" s="8"/>
      <c r="AH178" s="8"/>
      <c r="AI178" s="8"/>
      <c r="AJ178" s="8"/>
      <c r="AK178" s="8"/>
      <c r="AL178" s="8"/>
      <c r="AM178" s="93"/>
      <c r="AN178" s="89"/>
      <c r="AX178"/>
      <c r="AY178"/>
      <c r="AZ178"/>
      <c r="BA178"/>
      <c r="BB178"/>
      <c r="BC178"/>
      <c r="BD178"/>
      <c r="BE178"/>
      <c r="BF178"/>
      <c r="BG178"/>
      <c r="BH178"/>
      <c r="BI178"/>
      <c r="BJ178"/>
      <c r="BK178"/>
      <c r="BL178"/>
      <c r="BM178"/>
      <c r="BN178"/>
      <c r="BO178"/>
      <c r="BP178"/>
      <c r="BQ178"/>
      <c r="BR178"/>
      <c r="BY178"/>
      <c r="BZ178"/>
      <c r="CA178"/>
      <c r="CB178"/>
      <c r="CC178"/>
      <c r="CD178"/>
      <c r="CE178"/>
      <c r="CF178"/>
      <c r="CG178"/>
      <c r="CH178"/>
      <c r="CI178"/>
      <c r="CJ178"/>
      <c r="CK178"/>
      <c r="CL178"/>
      <c r="CM178"/>
      <c r="CN178"/>
      <c r="CO178"/>
      <c r="CP178"/>
      <c r="CQ178"/>
      <c r="CR178"/>
      <c r="CS178"/>
      <c r="CT178"/>
      <c r="CU178"/>
      <c r="CV178"/>
      <c r="CW178"/>
      <c r="CX178"/>
      <c r="CY178"/>
    </row>
    <row r="179" spans="2:103" ht="20.100000000000001" customHeight="1" x14ac:dyDescent="0.25">
      <c r="B179" s="68"/>
      <c r="C179" s="68"/>
      <c r="D179" s="68"/>
      <c r="E179" s="68"/>
      <c r="F179" s="69"/>
      <c r="G179" s="69"/>
      <c r="H179" s="69"/>
      <c r="I179" s="70"/>
      <c r="J179" s="67"/>
      <c r="K179" s="112"/>
      <c r="L179" s="4"/>
      <c r="M179" s="4"/>
      <c r="N179" s="4"/>
      <c r="O179" s="4"/>
      <c r="P179" s="4"/>
      <c r="Q179" s="4"/>
      <c r="R179" s="84"/>
      <c r="S179" s="4"/>
      <c r="T179" s="4"/>
      <c r="U179" s="107"/>
      <c r="V179" s="33"/>
      <c r="W179" s="104"/>
      <c r="X179" s="94"/>
      <c r="Y179" s="94"/>
      <c r="Z179" s="93"/>
      <c r="AA179" s="8"/>
      <c r="AB179" s="93"/>
      <c r="AC179" s="93"/>
      <c r="AD179" s="93"/>
      <c r="AE179" s="8"/>
      <c r="AF179" s="8"/>
      <c r="AG179" s="8"/>
      <c r="AH179" s="8"/>
      <c r="AI179" s="8"/>
      <c r="AJ179" s="8"/>
      <c r="AK179" s="8"/>
      <c r="AL179" s="8"/>
      <c r="AM179" s="93"/>
      <c r="AN179" s="89"/>
      <c r="AX179"/>
      <c r="AY179"/>
      <c r="AZ179"/>
      <c r="BA179"/>
      <c r="BB179"/>
      <c r="BC179"/>
      <c r="BD179"/>
      <c r="BE179"/>
      <c r="BF179"/>
      <c r="BG179"/>
      <c r="BH179"/>
      <c r="BI179"/>
      <c r="BJ179"/>
      <c r="BK179"/>
      <c r="BL179"/>
      <c r="BM179"/>
      <c r="BN179"/>
      <c r="BO179"/>
      <c r="BP179"/>
      <c r="BQ179"/>
      <c r="BR179"/>
      <c r="BY179"/>
      <c r="BZ179"/>
      <c r="CA179"/>
      <c r="CB179"/>
      <c r="CC179"/>
      <c r="CD179"/>
      <c r="CE179"/>
      <c r="CF179"/>
      <c r="CG179"/>
      <c r="CH179"/>
      <c r="CI179"/>
      <c r="CJ179"/>
      <c r="CK179"/>
      <c r="CL179"/>
      <c r="CM179"/>
      <c r="CN179"/>
      <c r="CO179"/>
      <c r="CP179"/>
      <c r="CQ179"/>
      <c r="CR179"/>
      <c r="CS179"/>
      <c r="CT179"/>
      <c r="CU179"/>
      <c r="CV179"/>
      <c r="CW179"/>
      <c r="CX179"/>
      <c r="CY179"/>
    </row>
    <row r="180" spans="2:103" ht="20.100000000000001" customHeight="1" x14ac:dyDescent="0.25">
      <c r="B180" s="68"/>
      <c r="C180" s="68"/>
      <c r="D180" s="68"/>
      <c r="E180" s="68"/>
      <c r="F180" s="69"/>
      <c r="G180" s="69"/>
      <c r="H180" s="69"/>
      <c r="I180" s="70"/>
      <c r="J180" s="67"/>
      <c r="K180" s="112"/>
      <c r="L180" s="4"/>
      <c r="M180" s="4"/>
      <c r="N180" s="4"/>
      <c r="O180" s="4"/>
      <c r="P180" s="4"/>
      <c r="Q180" s="4"/>
      <c r="R180" s="84"/>
      <c r="S180" s="4"/>
      <c r="T180" s="4"/>
      <c r="U180" s="107"/>
      <c r="V180" s="33"/>
      <c r="W180" s="104"/>
      <c r="X180" s="94"/>
      <c r="Y180" s="94"/>
      <c r="Z180" s="93"/>
      <c r="AA180" s="8"/>
      <c r="AB180" s="93"/>
      <c r="AC180" s="93"/>
      <c r="AD180" s="93"/>
      <c r="AE180" s="8"/>
      <c r="AF180" s="8"/>
      <c r="AG180" s="8"/>
      <c r="AH180" s="8"/>
      <c r="AI180" s="8"/>
      <c r="AJ180" s="8"/>
      <c r="AK180" s="8"/>
      <c r="AL180" s="8"/>
      <c r="AM180" s="93"/>
      <c r="AN180" s="89"/>
      <c r="AX180"/>
      <c r="AY180"/>
      <c r="AZ180"/>
      <c r="BA180"/>
      <c r="BB180"/>
      <c r="BC180"/>
      <c r="BD180"/>
      <c r="BE180"/>
      <c r="BF180"/>
      <c r="BG180"/>
      <c r="BH180"/>
      <c r="BI180"/>
      <c r="BJ180"/>
      <c r="BK180"/>
      <c r="BL180"/>
      <c r="BM180"/>
      <c r="BN180"/>
      <c r="BO180"/>
      <c r="BP180"/>
      <c r="BQ180"/>
      <c r="BR180"/>
      <c r="BY180"/>
      <c r="BZ180"/>
      <c r="CA180"/>
      <c r="CB180"/>
      <c r="CC180"/>
      <c r="CD180"/>
      <c r="CE180"/>
      <c r="CF180"/>
      <c r="CG180"/>
      <c r="CH180"/>
      <c r="CI180"/>
      <c r="CJ180"/>
      <c r="CK180"/>
      <c r="CL180"/>
      <c r="CM180"/>
      <c r="CN180"/>
      <c r="CO180"/>
      <c r="CP180"/>
      <c r="CQ180"/>
      <c r="CR180"/>
      <c r="CS180"/>
      <c r="CT180"/>
      <c r="CU180"/>
      <c r="CV180"/>
      <c r="CW180"/>
      <c r="CX180"/>
      <c r="CY180"/>
    </row>
    <row r="181" spans="2:103" ht="20.100000000000001" customHeight="1" x14ac:dyDescent="0.25">
      <c r="B181" s="68"/>
      <c r="C181" s="68"/>
      <c r="D181" s="68"/>
      <c r="E181" s="68"/>
      <c r="F181" s="69"/>
      <c r="G181" s="69"/>
      <c r="H181" s="69"/>
      <c r="I181" s="70"/>
      <c r="J181" s="67"/>
      <c r="K181" s="112"/>
      <c r="L181" s="4"/>
      <c r="M181" s="4"/>
      <c r="N181" s="4"/>
      <c r="O181" s="4"/>
      <c r="P181" s="4"/>
      <c r="Q181" s="4"/>
      <c r="R181" s="84"/>
      <c r="S181" s="4"/>
      <c r="T181" s="4"/>
      <c r="U181" s="107"/>
      <c r="V181" s="33"/>
      <c r="W181" s="104"/>
      <c r="X181" s="94"/>
      <c r="Y181" s="94"/>
      <c r="Z181" s="93"/>
      <c r="AA181" s="8"/>
      <c r="AB181" s="93"/>
      <c r="AC181" s="93"/>
      <c r="AD181" s="93"/>
      <c r="AE181" s="8"/>
      <c r="AF181" s="8"/>
      <c r="AG181" s="8"/>
      <c r="AH181" s="8"/>
      <c r="AI181" s="8"/>
      <c r="AJ181" s="8"/>
      <c r="AK181" s="8"/>
      <c r="AL181" s="8"/>
      <c r="AM181" s="93"/>
      <c r="AN181" s="89"/>
      <c r="AX181"/>
      <c r="AY181"/>
      <c r="AZ181"/>
      <c r="BA181"/>
      <c r="BB181"/>
      <c r="BC181"/>
      <c r="BD181"/>
      <c r="BE181"/>
      <c r="BF181"/>
      <c r="BG181"/>
      <c r="BH181"/>
      <c r="BI181"/>
      <c r="BJ181"/>
      <c r="BK181"/>
      <c r="BL181"/>
      <c r="BM181"/>
      <c r="BN181"/>
      <c r="BO181"/>
      <c r="BP181"/>
      <c r="BQ181"/>
      <c r="BR181"/>
      <c r="BY181"/>
      <c r="BZ181"/>
      <c r="CA181"/>
      <c r="CB181"/>
      <c r="CC181"/>
      <c r="CD181"/>
      <c r="CE181"/>
      <c r="CF181"/>
      <c r="CG181"/>
      <c r="CH181"/>
      <c r="CI181"/>
      <c r="CJ181"/>
      <c r="CK181"/>
      <c r="CL181"/>
      <c r="CM181"/>
      <c r="CN181"/>
      <c r="CO181"/>
      <c r="CP181"/>
      <c r="CQ181"/>
      <c r="CR181"/>
      <c r="CS181"/>
      <c r="CT181"/>
      <c r="CU181"/>
      <c r="CV181"/>
      <c r="CW181"/>
      <c r="CX181"/>
      <c r="CY181"/>
    </row>
    <row r="182" spans="2:103" ht="20.100000000000001" customHeight="1" x14ac:dyDescent="0.25">
      <c r="B182" s="68"/>
      <c r="C182" s="68"/>
      <c r="D182" s="68"/>
      <c r="E182" s="68"/>
      <c r="F182" s="69"/>
      <c r="G182" s="69"/>
      <c r="H182" s="69"/>
      <c r="I182" s="70"/>
      <c r="J182" s="67"/>
      <c r="K182" s="112"/>
      <c r="L182" s="4"/>
      <c r="M182" s="4"/>
      <c r="N182" s="4"/>
      <c r="O182" s="4"/>
      <c r="P182" s="4"/>
      <c r="Q182" s="4"/>
      <c r="R182" s="84"/>
      <c r="S182" s="4"/>
      <c r="T182" s="4"/>
      <c r="U182" s="107"/>
      <c r="V182" s="33"/>
      <c r="W182" s="104"/>
      <c r="X182" s="94"/>
      <c r="Y182" s="94"/>
      <c r="Z182" s="93"/>
      <c r="AA182" s="8"/>
      <c r="AB182" s="93"/>
      <c r="AC182" s="93"/>
      <c r="AD182" s="93"/>
      <c r="AE182" s="8"/>
      <c r="AF182" s="8"/>
      <c r="AG182" s="8"/>
      <c r="AH182" s="8"/>
      <c r="AI182" s="8"/>
      <c r="AJ182" s="8"/>
      <c r="AK182" s="8"/>
      <c r="AL182" s="8"/>
      <c r="AM182" s="93"/>
      <c r="AN182" s="89"/>
      <c r="AX182"/>
      <c r="AY182"/>
      <c r="AZ182"/>
      <c r="BA182"/>
      <c r="BB182"/>
      <c r="BC182"/>
      <c r="BD182"/>
      <c r="BE182"/>
      <c r="BF182"/>
      <c r="BG182"/>
      <c r="BH182"/>
      <c r="BI182"/>
      <c r="BJ182"/>
      <c r="BK182"/>
      <c r="BL182"/>
      <c r="BM182"/>
      <c r="BN182"/>
      <c r="BO182"/>
      <c r="BP182"/>
      <c r="BQ182"/>
      <c r="BR182"/>
      <c r="BY182"/>
      <c r="BZ182"/>
      <c r="CA182"/>
      <c r="CB182"/>
      <c r="CC182"/>
      <c r="CD182"/>
      <c r="CE182"/>
      <c r="CF182"/>
      <c r="CG182"/>
      <c r="CH182"/>
      <c r="CI182"/>
      <c r="CJ182"/>
      <c r="CK182"/>
      <c r="CL182"/>
      <c r="CM182"/>
      <c r="CN182"/>
      <c r="CO182"/>
      <c r="CP182"/>
      <c r="CQ182"/>
      <c r="CR182"/>
      <c r="CS182"/>
      <c r="CT182"/>
      <c r="CU182"/>
      <c r="CV182"/>
      <c r="CW182"/>
      <c r="CX182"/>
      <c r="CY182"/>
    </row>
    <row r="183" spans="2:103" ht="20.100000000000001" customHeight="1" x14ac:dyDescent="0.25">
      <c r="B183" s="68"/>
      <c r="C183" s="68"/>
      <c r="D183" s="68"/>
      <c r="E183" s="68"/>
      <c r="F183" s="69"/>
      <c r="G183" s="69"/>
      <c r="H183" s="69"/>
      <c r="I183" s="70"/>
      <c r="J183" s="67"/>
      <c r="K183" s="112"/>
      <c r="L183" s="4"/>
      <c r="M183" s="4"/>
      <c r="N183" s="4"/>
      <c r="O183" s="4"/>
      <c r="P183" s="4"/>
      <c r="Q183" s="4"/>
      <c r="R183" s="84"/>
      <c r="S183" s="4"/>
      <c r="T183" s="4"/>
      <c r="U183" s="107"/>
      <c r="V183" s="33"/>
      <c r="W183" s="104"/>
      <c r="X183" s="94"/>
      <c r="Y183" s="94"/>
      <c r="Z183" s="93"/>
      <c r="AA183" s="8"/>
      <c r="AB183" s="93"/>
      <c r="AC183" s="93"/>
      <c r="AD183" s="93"/>
      <c r="AE183" s="8"/>
      <c r="AF183" s="8"/>
      <c r="AG183" s="8"/>
      <c r="AH183" s="8"/>
      <c r="AI183" s="8"/>
      <c r="AJ183" s="8"/>
      <c r="AK183" s="8"/>
      <c r="AL183" s="8"/>
      <c r="AM183" s="93"/>
      <c r="AN183" s="89"/>
      <c r="AX183"/>
      <c r="AY183"/>
      <c r="AZ183"/>
      <c r="BA183"/>
      <c r="BB183"/>
      <c r="BC183"/>
      <c r="BD183"/>
      <c r="BE183"/>
      <c r="BF183"/>
      <c r="BG183"/>
      <c r="BH183"/>
      <c r="BI183"/>
      <c r="BJ183"/>
      <c r="BK183"/>
      <c r="BL183"/>
      <c r="BM183"/>
      <c r="BN183"/>
      <c r="BO183"/>
      <c r="BP183"/>
      <c r="BQ183"/>
      <c r="BR183"/>
      <c r="BY183"/>
      <c r="BZ183"/>
      <c r="CA183"/>
      <c r="CB183"/>
      <c r="CC183"/>
      <c r="CD183"/>
      <c r="CE183"/>
      <c r="CF183"/>
      <c r="CG183"/>
      <c r="CH183"/>
      <c r="CI183"/>
      <c r="CJ183"/>
      <c r="CK183"/>
      <c r="CL183"/>
      <c r="CM183"/>
      <c r="CN183"/>
      <c r="CO183"/>
      <c r="CP183"/>
      <c r="CQ183"/>
      <c r="CR183"/>
      <c r="CS183"/>
      <c r="CT183"/>
      <c r="CU183"/>
      <c r="CV183"/>
      <c r="CW183"/>
      <c r="CX183"/>
      <c r="CY183"/>
    </row>
    <row r="184" spans="2:103" ht="20.100000000000001" customHeight="1" x14ac:dyDescent="0.25">
      <c r="B184" s="68"/>
      <c r="C184" s="68"/>
      <c r="D184" s="68"/>
      <c r="E184" s="68"/>
      <c r="F184" s="69"/>
      <c r="G184" s="69"/>
      <c r="H184" s="69"/>
      <c r="I184" s="70"/>
      <c r="J184" s="67"/>
      <c r="K184" s="112"/>
      <c r="L184" s="4"/>
      <c r="M184" s="4"/>
      <c r="N184" s="4"/>
      <c r="O184" s="4"/>
      <c r="P184" s="4"/>
      <c r="Q184" s="4"/>
      <c r="R184" s="84"/>
      <c r="S184" s="4"/>
      <c r="T184" s="4"/>
      <c r="U184" s="107"/>
      <c r="V184" s="33"/>
      <c r="W184" s="104"/>
      <c r="X184" s="94"/>
      <c r="Y184" s="94"/>
      <c r="Z184" s="93"/>
      <c r="AA184" s="8"/>
      <c r="AB184" s="93"/>
      <c r="AC184" s="93"/>
      <c r="AD184" s="93"/>
      <c r="AE184" s="8"/>
      <c r="AF184" s="8"/>
      <c r="AG184" s="8"/>
      <c r="AH184" s="8"/>
      <c r="AI184" s="8"/>
      <c r="AJ184" s="8"/>
      <c r="AK184" s="8"/>
      <c r="AL184" s="8"/>
      <c r="AM184" s="93"/>
      <c r="AN184" s="89"/>
      <c r="AX184"/>
      <c r="AY184"/>
      <c r="AZ184"/>
      <c r="BA184"/>
      <c r="BB184"/>
      <c r="BC184"/>
      <c r="BD184"/>
      <c r="BE184"/>
      <c r="BF184"/>
      <c r="BG184"/>
      <c r="BH184"/>
      <c r="BI184"/>
      <c r="BJ184"/>
      <c r="BK184"/>
      <c r="BL184"/>
      <c r="BM184"/>
      <c r="BN184"/>
      <c r="BO184"/>
      <c r="BP184"/>
      <c r="BQ184"/>
      <c r="BR184"/>
      <c r="BY184"/>
      <c r="BZ184"/>
      <c r="CA184"/>
      <c r="CB184"/>
      <c r="CC184"/>
      <c r="CD184"/>
      <c r="CE184"/>
      <c r="CF184"/>
      <c r="CG184"/>
      <c r="CH184"/>
      <c r="CI184"/>
      <c r="CJ184"/>
      <c r="CK184"/>
      <c r="CL184"/>
      <c r="CM184"/>
      <c r="CN184"/>
      <c r="CO184"/>
      <c r="CP184"/>
      <c r="CQ184"/>
      <c r="CR184"/>
      <c r="CS184"/>
      <c r="CT184"/>
      <c r="CU184"/>
      <c r="CV184"/>
      <c r="CW184"/>
      <c r="CX184"/>
      <c r="CY184"/>
    </row>
    <row r="185" spans="2:103" ht="20.100000000000001" customHeight="1" x14ac:dyDescent="0.25">
      <c r="B185" s="68"/>
      <c r="C185" s="68"/>
      <c r="D185" s="68"/>
      <c r="E185" s="68"/>
      <c r="F185" s="69"/>
      <c r="G185" s="69"/>
      <c r="H185" s="69"/>
      <c r="I185" s="70"/>
      <c r="J185" s="67"/>
      <c r="K185" s="112"/>
      <c r="L185" s="4"/>
      <c r="M185" s="4"/>
      <c r="N185" s="4"/>
      <c r="O185" s="4"/>
      <c r="P185" s="4"/>
      <c r="Q185" s="4"/>
      <c r="R185" s="84"/>
      <c r="S185" s="4"/>
      <c r="T185" s="4"/>
      <c r="U185" s="107"/>
      <c r="V185" s="33"/>
      <c r="W185" s="104"/>
      <c r="X185" s="94"/>
      <c r="Y185" s="94"/>
      <c r="Z185" s="93"/>
      <c r="AA185" s="8"/>
      <c r="AB185" s="93"/>
      <c r="AC185" s="93"/>
      <c r="AD185" s="93"/>
      <c r="AE185" s="8"/>
      <c r="AF185" s="8"/>
      <c r="AG185" s="8"/>
      <c r="AH185" s="8"/>
      <c r="AI185" s="8"/>
      <c r="AJ185" s="8"/>
      <c r="AK185" s="8"/>
      <c r="AL185" s="8"/>
      <c r="AM185" s="93"/>
      <c r="AN185" s="89"/>
      <c r="AX185"/>
      <c r="AY185"/>
      <c r="AZ185"/>
      <c r="BA185"/>
      <c r="BB185"/>
      <c r="BC185"/>
      <c r="BD185"/>
      <c r="BE185"/>
      <c r="BF185"/>
      <c r="BG185"/>
      <c r="BH185"/>
      <c r="BI185"/>
      <c r="BJ185"/>
      <c r="BK185"/>
      <c r="BL185"/>
      <c r="BM185"/>
      <c r="BN185"/>
      <c r="BO185"/>
      <c r="BP185"/>
      <c r="BQ185"/>
      <c r="BR185"/>
      <c r="BY185"/>
      <c r="BZ185"/>
      <c r="CA185"/>
      <c r="CB185"/>
      <c r="CC185"/>
      <c r="CD185"/>
      <c r="CE185"/>
      <c r="CF185"/>
      <c r="CG185"/>
      <c r="CH185"/>
      <c r="CI185"/>
      <c r="CJ185"/>
      <c r="CK185"/>
      <c r="CL185"/>
      <c r="CM185"/>
      <c r="CN185"/>
      <c r="CO185"/>
      <c r="CP185"/>
      <c r="CQ185"/>
      <c r="CR185"/>
      <c r="CS185"/>
      <c r="CT185"/>
      <c r="CU185"/>
      <c r="CV185"/>
      <c r="CW185"/>
      <c r="CX185"/>
      <c r="CY185"/>
    </row>
    <row r="186" spans="2:103" ht="20.100000000000001" customHeight="1" x14ac:dyDescent="0.25">
      <c r="B186" s="68"/>
      <c r="C186" s="68"/>
      <c r="D186" s="68"/>
      <c r="E186" s="68"/>
      <c r="F186" s="69"/>
      <c r="G186" s="69"/>
      <c r="H186" s="69"/>
      <c r="I186" s="70"/>
      <c r="J186" s="67"/>
      <c r="K186" s="112"/>
      <c r="L186" s="4"/>
      <c r="M186" s="4"/>
      <c r="N186" s="4"/>
      <c r="O186" s="4"/>
      <c r="P186" s="4"/>
      <c r="Q186" s="4"/>
      <c r="R186" s="84"/>
      <c r="S186" s="4"/>
      <c r="T186" s="4"/>
      <c r="U186" s="107"/>
      <c r="V186" s="33"/>
      <c r="W186" s="104"/>
      <c r="X186" s="94"/>
      <c r="Y186" s="94"/>
      <c r="Z186" s="93"/>
      <c r="AA186" s="8"/>
      <c r="AB186" s="93"/>
      <c r="AC186" s="93"/>
      <c r="AD186" s="93"/>
      <c r="AE186" s="8"/>
      <c r="AF186" s="8"/>
      <c r="AG186" s="8"/>
      <c r="AH186" s="8"/>
      <c r="AI186" s="8"/>
      <c r="AJ186" s="8"/>
      <c r="AK186" s="8"/>
      <c r="AL186" s="8"/>
      <c r="AM186" s="93"/>
      <c r="AN186" s="89"/>
      <c r="AX186"/>
      <c r="AY186"/>
      <c r="AZ186"/>
      <c r="BA186"/>
      <c r="BB186"/>
      <c r="BC186"/>
      <c r="BD186"/>
      <c r="BE186"/>
      <c r="BF186"/>
      <c r="BG186"/>
      <c r="BH186"/>
      <c r="BI186"/>
      <c r="BJ186"/>
      <c r="BK186"/>
      <c r="BL186"/>
      <c r="BM186"/>
      <c r="BN186"/>
      <c r="BO186"/>
      <c r="BP186"/>
      <c r="BQ186"/>
      <c r="BR186"/>
      <c r="BY186"/>
      <c r="BZ186"/>
      <c r="CA186"/>
      <c r="CB186"/>
      <c r="CC186"/>
      <c r="CD186"/>
      <c r="CE186"/>
      <c r="CF186"/>
      <c r="CG186"/>
      <c r="CH186"/>
      <c r="CI186"/>
      <c r="CJ186"/>
      <c r="CK186"/>
      <c r="CL186"/>
      <c r="CM186"/>
      <c r="CN186"/>
      <c r="CO186"/>
      <c r="CP186"/>
      <c r="CQ186"/>
      <c r="CR186"/>
      <c r="CS186"/>
      <c r="CT186"/>
      <c r="CU186"/>
      <c r="CV186"/>
      <c r="CW186"/>
      <c r="CX186"/>
      <c r="CY186"/>
    </row>
    <row r="187" spans="2:103" ht="20.100000000000001" customHeight="1" x14ac:dyDescent="0.25">
      <c r="B187" s="68"/>
      <c r="C187" s="68"/>
      <c r="D187" s="68"/>
      <c r="E187" s="68"/>
      <c r="F187" s="69"/>
      <c r="G187" s="69"/>
      <c r="H187" s="69"/>
      <c r="I187" s="70"/>
      <c r="J187" s="67"/>
      <c r="K187" s="112"/>
      <c r="L187" s="4"/>
      <c r="M187" s="4"/>
      <c r="N187" s="4"/>
      <c r="O187" s="4"/>
      <c r="P187" s="4"/>
      <c r="Q187" s="4"/>
      <c r="R187" s="84"/>
      <c r="S187" s="4"/>
      <c r="T187" s="4"/>
      <c r="U187" s="107"/>
      <c r="V187" s="33"/>
      <c r="W187" s="104"/>
      <c r="X187" s="94"/>
      <c r="Y187" s="94"/>
      <c r="Z187" s="93"/>
      <c r="AA187" s="8"/>
      <c r="AB187" s="93"/>
      <c r="AC187" s="93"/>
      <c r="AD187" s="93"/>
      <c r="AE187" s="8"/>
      <c r="AF187" s="8"/>
      <c r="AG187" s="8"/>
      <c r="AH187" s="8"/>
      <c r="AI187" s="8"/>
      <c r="AJ187" s="8"/>
      <c r="AK187" s="8"/>
      <c r="AL187" s="8"/>
      <c r="AM187" s="93"/>
      <c r="AN187" s="89"/>
      <c r="AX187"/>
      <c r="AY187"/>
      <c r="AZ187"/>
      <c r="BA187"/>
      <c r="BB187"/>
      <c r="BC187"/>
      <c r="BD187"/>
      <c r="BE187"/>
      <c r="BF187"/>
      <c r="BG187"/>
      <c r="BH187"/>
      <c r="BI187"/>
      <c r="BJ187"/>
      <c r="BK187"/>
      <c r="BL187"/>
      <c r="BM187"/>
      <c r="BN187"/>
      <c r="BO187"/>
      <c r="BP187"/>
      <c r="BQ187"/>
      <c r="BR187"/>
      <c r="BY187"/>
      <c r="BZ187"/>
      <c r="CA187"/>
      <c r="CB187"/>
      <c r="CC187"/>
      <c r="CD187"/>
      <c r="CE187"/>
      <c r="CF187"/>
      <c r="CG187"/>
      <c r="CH187"/>
      <c r="CI187"/>
      <c r="CJ187"/>
      <c r="CK187"/>
      <c r="CL187"/>
      <c r="CM187"/>
      <c r="CN187"/>
      <c r="CO187"/>
      <c r="CP187"/>
      <c r="CQ187"/>
      <c r="CR187"/>
      <c r="CS187"/>
      <c r="CT187"/>
      <c r="CU187"/>
      <c r="CV187"/>
      <c r="CW187"/>
      <c r="CX187"/>
      <c r="CY187"/>
    </row>
    <row r="188" spans="2:103" ht="20.100000000000001" customHeight="1" x14ac:dyDescent="0.25">
      <c r="B188" s="68"/>
      <c r="C188" s="68"/>
      <c r="D188" s="68"/>
      <c r="E188" s="68"/>
      <c r="F188" s="69"/>
      <c r="G188" s="69"/>
      <c r="H188" s="69"/>
      <c r="I188" s="70"/>
      <c r="J188" s="67"/>
      <c r="K188" s="112"/>
      <c r="L188" s="4"/>
      <c r="M188" s="4"/>
      <c r="N188" s="4"/>
      <c r="O188" s="4"/>
      <c r="P188" s="4"/>
      <c r="Q188" s="4"/>
      <c r="R188" s="84"/>
      <c r="S188" s="4"/>
      <c r="T188" s="4"/>
      <c r="U188" s="107"/>
      <c r="V188" s="33"/>
      <c r="W188" s="104"/>
      <c r="X188" s="94"/>
      <c r="Y188" s="94"/>
      <c r="Z188" s="93"/>
      <c r="AA188" s="8"/>
      <c r="AB188" s="93"/>
      <c r="AC188" s="93"/>
      <c r="AD188" s="93"/>
      <c r="AE188" s="8"/>
      <c r="AF188" s="8"/>
      <c r="AG188" s="8"/>
      <c r="AH188" s="8"/>
      <c r="AI188" s="8"/>
      <c r="AJ188" s="8"/>
      <c r="AK188" s="8"/>
      <c r="AL188" s="8"/>
      <c r="AM188" s="93"/>
      <c r="AN188" s="89"/>
      <c r="AX188"/>
      <c r="AY188"/>
      <c r="AZ188"/>
      <c r="BA188"/>
      <c r="BB188"/>
      <c r="BC188"/>
      <c r="BD188"/>
      <c r="BE188"/>
      <c r="BF188"/>
      <c r="BG188"/>
      <c r="BH188"/>
      <c r="BI188"/>
      <c r="BJ188"/>
      <c r="BK188"/>
      <c r="BL188"/>
      <c r="BM188"/>
      <c r="BN188"/>
      <c r="BO188"/>
      <c r="BP188"/>
      <c r="BQ188"/>
      <c r="BR188"/>
      <c r="BY188"/>
      <c r="BZ188"/>
      <c r="CA188"/>
      <c r="CB188"/>
      <c r="CC188"/>
      <c r="CD188"/>
      <c r="CE188"/>
      <c r="CF188"/>
      <c r="CG188"/>
      <c r="CH188"/>
      <c r="CI188"/>
      <c r="CJ188"/>
      <c r="CK188"/>
      <c r="CL188"/>
      <c r="CM188"/>
      <c r="CN188"/>
      <c r="CO188"/>
      <c r="CP188"/>
      <c r="CQ188"/>
      <c r="CR188"/>
      <c r="CS188"/>
      <c r="CT188"/>
      <c r="CU188"/>
      <c r="CV188"/>
      <c r="CW188"/>
      <c r="CX188"/>
      <c r="CY188"/>
    </row>
    <row r="189" spans="2:103" ht="20.100000000000001" customHeight="1" x14ac:dyDescent="0.25">
      <c r="B189" s="68"/>
      <c r="C189" s="68"/>
      <c r="D189" s="68"/>
      <c r="E189" s="68"/>
      <c r="F189" s="69"/>
      <c r="G189" s="69"/>
      <c r="H189" s="69"/>
      <c r="I189" s="70"/>
      <c r="J189" s="67"/>
      <c r="K189" s="112"/>
      <c r="L189" s="4"/>
      <c r="M189" s="4"/>
      <c r="N189" s="4"/>
      <c r="O189" s="4"/>
      <c r="P189" s="4"/>
      <c r="Q189" s="4"/>
      <c r="R189" s="84"/>
      <c r="S189" s="4"/>
      <c r="T189" s="4"/>
      <c r="U189" s="107"/>
      <c r="V189" s="33"/>
      <c r="W189" s="104"/>
      <c r="X189" s="94"/>
      <c r="Y189" s="94"/>
      <c r="Z189" s="93"/>
      <c r="AA189" s="8"/>
      <c r="AB189" s="93"/>
      <c r="AC189" s="93"/>
      <c r="AD189" s="93"/>
      <c r="AE189" s="8"/>
      <c r="AF189" s="8"/>
      <c r="AG189" s="8"/>
      <c r="AH189" s="8"/>
      <c r="AI189" s="8"/>
      <c r="AJ189" s="8"/>
      <c r="AK189" s="8"/>
      <c r="AL189" s="8"/>
      <c r="AM189" s="93"/>
      <c r="AN189" s="89"/>
      <c r="AX189"/>
      <c r="AY189"/>
      <c r="AZ189"/>
      <c r="BA189"/>
      <c r="BB189"/>
      <c r="BC189"/>
      <c r="BD189"/>
      <c r="BE189"/>
      <c r="BF189"/>
      <c r="BG189"/>
      <c r="BH189"/>
      <c r="BI189"/>
      <c r="BJ189"/>
      <c r="BK189"/>
      <c r="BL189"/>
      <c r="BM189"/>
      <c r="BN189"/>
      <c r="BO189"/>
      <c r="BP189"/>
      <c r="BQ189"/>
      <c r="BR189"/>
      <c r="BY189"/>
      <c r="BZ189"/>
      <c r="CA189"/>
      <c r="CB189"/>
      <c r="CC189"/>
      <c r="CD189"/>
      <c r="CE189"/>
      <c r="CF189"/>
      <c r="CG189"/>
      <c r="CH189"/>
      <c r="CI189"/>
      <c r="CJ189"/>
      <c r="CK189"/>
      <c r="CL189"/>
      <c r="CM189"/>
      <c r="CN189"/>
      <c r="CO189"/>
      <c r="CP189"/>
      <c r="CQ189"/>
      <c r="CR189"/>
      <c r="CS189"/>
      <c r="CT189"/>
      <c r="CU189"/>
      <c r="CV189"/>
      <c r="CW189"/>
      <c r="CX189"/>
      <c r="CY189"/>
    </row>
    <row r="190" spans="2:103" ht="20.100000000000001" customHeight="1" x14ac:dyDescent="0.25">
      <c r="B190" s="68"/>
      <c r="C190" s="68"/>
      <c r="D190" s="68"/>
      <c r="E190" s="68"/>
      <c r="F190" s="69"/>
      <c r="G190" s="69"/>
      <c r="H190" s="69"/>
      <c r="I190" s="70"/>
      <c r="J190" s="67"/>
      <c r="K190" s="112"/>
      <c r="L190" s="4"/>
      <c r="M190" s="4"/>
      <c r="N190" s="4"/>
      <c r="O190" s="4"/>
      <c r="P190" s="4"/>
      <c r="Q190" s="4"/>
      <c r="R190" s="84"/>
      <c r="S190" s="4"/>
      <c r="T190" s="4"/>
      <c r="U190" s="107"/>
      <c r="V190" s="33"/>
      <c r="W190" s="104"/>
      <c r="X190" s="94"/>
      <c r="Y190" s="94"/>
      <c r="Z190" s="93"/>
      <c r="AA190" s="8"/>
      <c r="AB190" s="93"/>
      <c r="AC190" s="93"/>
      <c r="AD190" s="93"/>
      <c r="AE190" s="8"/>
      <c r="AF190" s="8"/>
      <c r="AG190" s="8"/>
      <c r="AH190" s="8"/>
      <c r="AI190" s="8"/>
      <c r="AJ190" s="8"/>
      <c r="AK190" s="8"/>
      <c r="AL190" s="8"/>
      <c r="AM190" s="93"/>
      <c r="AN190" s="89"/>
      <c r="AX190"/>
      <c r="AY190"/>
      <c r="AZ190"/>
      <c r="BA190"/>
      <c r="BB190"/>
      <c r="BC190"/>
      <c r="BD190"/>
      <c r="BE190"/>
      <c r="BF190"/>
      <c r="BG190"/>
      <c r="BH190"/>
      <c r="BI190"/>
      <c r="BJ190"/>
      <c r="BK190"/>
      <c r="BL190"/>
      <c r="BM190"/>
      <c r="BN190"/>
      <c r="BO190"/>
      <c r="BP190"/>
      <c r="BQ190"/>
      <c r="BR190"/>
      <c r="BY190"/>
      <c r="BZ190"/>
      <c r="CA190"/>
      <c r="CB190"/>
      <c r="CC190"/>
      <c r="CD190"/>
      <c r="CE190"/>
      <c r="CF190"/>
      <c r="CG190"/>
      <c r="CH190"/>
      <c r="CI190"/>
      <c r="CJ190"/>
      <c r="CK190"/>
      <c r="CL190"/>
      <c r="CM190"/>
      <c r="CN190"/>
      <c r="CO190"/>
      <c r="CP190"/>
      <c r="CQ190"/>
      <c r="CR190"/>
      <c r="CS190"/>
      <c r="CT190"/>
      <c r="CU190"/>
      <c r="CV190"/>
      <c r="CW190"/>
      <c r="CX190"/>
      <c r="CY190"/>
    </row>
    <row r="191" spans="2:103" ht="20.100000000000001" customHeight="1" x14ac:dyDescent="0.25">
      <c r="B191" s="68"/>
      <c r="C191" s="68"/>
      <c r="D191" s="68"/>
      <c r="E191" s="68"/>
      <c r="F191" s="69"/>
      <c r="G191" s="69"/>
      <c r="H191" s="69"/>
      <c r="I191" s="70"/>
      <c r="J191" s="67"/>
      <c r="K191" s="112"/>
      <c r="L191" s="4"/>
      <c r="M191" s="4"/>
      <c r="N191" s="4"/>
      <c r="O191" s="4"/>
      <c r="P191" s="4"/>
      <c r="Q191" s="4"/>
      <c r="R191" s="84"/>
      <c r="S191" s="4"/>
      <c r="T191" s="4"/>
      <c r="U191" s="107"/>
      <c r="V191" s="33"/>
      <c r="W191" s="104"/>
      <c r="X191" s="94"/>
      <c r="Y191" s="94"/>
      <c r="Z191" s="93"/>
      <c r="AA191" s="8"/>
      <c r="AB191" s="93"/>
      <c r="AC191" s="93"/>
      <c r="AD191" s="93"/>
      <c r="AE191" s="8"/>
      <c r="AF191" s="8"/>
      <c r="AG191" s="8"/>
      <c r="AH191" s="8"/>
      <c r="AI191" s="8"/>
      <c r="AJ191" s="8"/>
      <c r="AK191" s="8"/>
      <c r="AL191" s="8"/>
      <c r="AM191" s="93"/>
      <c r="AN191" s="89"/>
      <c r="AX191"/>
      <c r="AY191"/>
      <c r="AZ191"/>
      <c r="BA191"/>
      <c r="BB191"/>
      <c r="BC191"/>
      <c r="BD191"/>
      <c r="BE191"/>
      <c r="BF191"/>
      <c r="BG191"/>
      <c r="BH191"/>
      <c r="BI191"/>
      <c r="BJ191"/>
      <c r="BK191"/>
      <c r="BL191"/>
      <c r="BM191"/>
      <c r="BN191"/>
      <c r="BO191"/>
      <c r="BP191"/>
      <c r="BQ191"/>
      <c r="BR191"/>
      <c r="BY191"/>
      <c r="BZ191"/>
      <c r="CA191"/>
      <c r="CB191"/>
      <c r="CC191"/>
      <c r="CD191"/>
      <c r="CE191"/>
      <c r="CF191"/>
      <c r="CG191"/>
      <c r="CH191"/>
      <c r="CI191"/>
      <c r="CJ191"/>
      <c r="CK191"/>
      <c r="CL191"/>
      <c r="CM191"/>
      <c r="CN191"/>
      <c r="CO191"/>
      <c r="CP191"/>
      <c r="CQ191"/>
      <c r="CR191"/>
      <c r="CS191"/>
      <c r="CT191"/>
      <c r="CU191"/>
      <c r="CV191"/>
      <c r="CW191"/>
      <c r="CX191"/>
      <c r="CY191"/>
    </row>
    <row r="192" spans="2:103" ht="20.100000000000001" customHeight="1" x14ac:dyDescent="0.25">
      <c r="B192" s="68"/>
      <c r="C192" s="68"/>
      <c r="D192" s="68"/>
      <c r="E192" s="68"/>
      <c r="F192" s="69"/>
      <c r="G192" s="69"/>
      <c r="H192" s="69"/>
      <c r="I192" s="70"/>
      <c r="J192" s="67"/>
      <c r="K192" s="112"/>
      <c r="L192" s="4"/>
      <c r="M192" s="4"/>
      <c r="N192" s="4"/>
      <c r="O192" s="4"/>
      <c r="P192" s="4"/>
      <c r="Q192" s="4"/>
      <c r="R192" s="84"/>
      <c r="S192" s="4"/>
      <c r="T192" s="4"/>
      <c r="U192" s="107"/>
      <c r="V192" s="33"/>
      <c r="W192" s="104"/>
      <c r="X192" s="94"/>
      <c r="Y192" s="94"/>
      <c r="Z192" s="93"/>
      <c r="AA192" s="8"/>
      <c r="AB192" s="93"/>
      <c r="AC192" s="93"/>
      <c r="AD192" s="93"/>
      <c r="AE192" s="8"/>
      <c r="AF192" s="8"/>
      <c r="AG192" s="8"/>
      <c r="AH192" s="8"/>
      <c r="AI192" s="8"/>
      <c r="AJ192" s="8"/>
      <c r="AK192" s="8"/>
      <c r="AL192" s="8"/>
      <c r="AM192" s="93"/>
      <c r="AN192" s="89"/>
      <c r="AX192"/>
      <c r="AY192"/>
      <c r="AZ192"/>
      <c r="BA192"/>
      <c r="BB192"/>
      <c r="BC192"/>
      <c r="BD192"/>
      <c r="BE192"/>
      <c r="BF192"/>
      <c r="BG192"/>
      <c r="BH192"/>
      <c r="BI192"/>
      <c r="BJ192"/>
      <c r="BK192"/>
      <c r="BL192"/>
      <c r="BM192"/>
      <c r="BN192"/>
      <c r="BO192"/>
      <c r="BP192"/>
      <c r="BQ192"/>
      <c r="BR192"/>
      <c r="BY192"/>
      <c r="BZ192"/>
      <c r="CA192"/>
      <c r="CB192"/>
      <c r="CC192"/>
      <c r="CD192"/>
      <c r="CE192"/>
      <c r="CF192"/>
      <c r="CG192"/>
      <c r="CH192"/>
      <c r="CI192"/>
      <c r="CJ192"/>
      <c r="CK192"/>
      <c r="CL192"/>
      <c r="CM192"/>
      <c r="CN192"/>
      <c r="CO192"/>
      <c r="CP192"/>
      <c r="CQ192"/>
      <c r="CR192"/>
      <c r="CS192"/>
      <c r="CT192"/>
      <c r="CU192"/>
      <c r="CV192"/>
      <c r="CW192"/>
      <c r="CX192"/>
      <c r="CY192"/>
    </row>
    <row r="193" spans="2:103" ht="20.100000000000001" customHeight="1" x14ac:dyDescent="0.25">
      <c r="B193" s="68"/>
      <c r="C193" s="68"/>
      <c r="D193" s="68"/>
      <c r="E193" s="68"/>
      <c r="F193" s="69"/>
      <c r="G193" s="69"/>
      <c r="H193" s="69"/>
      <c r="I193" s="70"/>
      <c r="J193" s="67"/>
      <c r="K193" s="112"/>
      <c r="L193" s="4"/>
      <c r="M193" s="4"/>
      <c r="N193" s="4"/>
      <c r="O193" s="4"/>
      <c r="P193" s="4"/>
      <c r="Q193" s="4"/>
      <c r="R193" s="84"/>
      <c r="S193" s="4"/>
      <c r="T193" s="4"/>
      <c r="U193" s="107"/>
      <c r="V193" s="33"/>
      <c r="W193" s="104"/>
      <c r="X193" s="94"/>
      <c r="Y193" s="94"/>
      <c r="Z193" s="93"/>
      <c r="AA193" s="8"/>
      <c r="AB193" s="93"/>
      <c r="AC193" s="93"/>
      <c r="AD193" s="93"/>
      <c r="AE193" s="8"/>
      <c r="AF193" s="8"/>
      <c r="AG193" s="8"/>
      <c r="AH193" s="8"/>
      <c r="AI193" s="8"/>
      <c r="AJ193" s="8"/>
      <c r="AK193" s="8"/>
      <c r="AL193" s="8"/>
      <c r="AM193" s="93"/>
      <c r="AN193" s="89"/>
      <c r="AX193"/>
      <c r="AY193"/>
      <c r="AZ193"/>
      <c r="BA193"/>
      <c r="BB193"/>
      <c r="BC193"/>
      <c r="BD193"/>
      <c r="BE193"/>
      <c r="BF193"/>
      <c r="BG193"/>
      <c r="BH193"/>
      <c r="BI193"/>
      <c r="BJ193"/>
      <c r="BK193"/>
      <c r="BL193"/>
      <c r="BM193"/>
      <c r="BN193"/>
      <c r="BO193"/>
      <c r="BP193"/>
      <c r="BQ193"/>
      <c r="BR193"/>
      <c r="BY193"/>
      <c r="BZ193"/>
      <c r="CA193"/>
      <c r="CB193"/>
      <c r="CC193"/>
      <c r="CD193"/>
      <c r="CE193"/>
      <c r="CF193"/>
      <c r="CG193"/>
      <c r="CH193"/>
      <c r="CI193"/>
      <c r="CJ193"/>
      <c r="CK193"/>
      <c r="CL193"/>
      <c r="CM193"/>
      <c r="CN193"/>
      <c r="CO193"/>
      <c r="CP193"/>
      <c r="CQ193"/>
      <c r="CR193"/>
      <c r="CS193"/>
      <c r="CT193"/>
      <c r="CU193"/>
      <c r="CV193"/>
      <c r="CW193"/>
      <c r="CX193"/>
      <c r="CY193"/>
    </row>
    <row r="194" spans="2:103" ht="20.100000000000001" customHeight="1" x14ac:dyDescent="0.25">
      <c r="B194" s="68"/>
      <c r="C194" s="68"/>
      <c r="D194" s="68"/>
      <c r="E194" s="68"/>
      <c r="F194" s="69"/>
      <c r="G194" s="69"/>
      <c r="H194" s="69"/>
      <c r="I194" s="70"/>
      <c r="J194" s="67"/>
      <c r="K194" s="112"/>
      <c r="L194" s="4"/>
      <c r="M194" s="4"/>
      <c r="N194" s="4"/>
      <c r="O194" s="4"/>
      <c r="P194" s="4"/>
      <c r="Q194" s="4"/>
      <c r="R194" s="84"/>
      <c r="S194" s="4"/>
      <c r="T194" s="4"/>
      <c r="U194" s="107"/>
      <c r="V194" s="33"/>
      <c r="W194" s="104"/>
      <c r="X194" s="94"/>
      <c r="Y194" s="94"/>
      <c r="Z194" s="93"/>
      <c r="AA194" s="8"/>
      <c r="AB194" s="93"/>
      <c r="AC194" s="93"/>
      <c r="AD194" s="93"/>
      <c r="AE194" s="8"/>
      <c r="AF194" s="8"/>
      <c r="AG194" s="8"/>
      <c r="AH194" s="8"/>
      <c r="AI194" s="8"/>
      <c r="AJ194" s="8"/>
      <c r="AK194" s="8"/>
      <c r="AL194" s="8"/>
      <c r="AM194" s="93"/>
      <c r="AN194" s="89"/>
      <c r="AX194"/>
      <c r="AY194"/>
      <c r="AZ194"/>
      <c r="BA194"/>
      <c r="BB194"/>
      <c r="BC194"/>
      <c r="BD194"/>
      <c r="BE194"/>
      <c r="BF194"/>
      <c r="BG194"/>
      <c r="BH194"/>
      <c r="BI194"/>
      <c r="BJ194"/>
      <c r="BK194"/>
      <c r="BL194"/>
      <c r="BM194"/>
      <c r="BN194"/>
      <c r="BO194"/>
      <c r="BP194"/>
      <c r="BQ194"/>
      <c r="BR194"/>
      <c r="BY194"/>
      <c r="BZ194"/>
      <c r="CA194"/>
      <c r="CB194"/>
      <c r="CC194"/>
      <c r="CD194"/>
      <c r="CE194"/>
      <c r="CF194"/>
      <c r="CG194"/>
      <c r="CH194"/>
      <c r="CI194"/>
      <c r="CJ194"/>
      <c r="CK194"/>
      <c r="CL194"/>
      <c r="CM194"/>
      <c r="CN194"/>
      <c r="CO194"/>
      <c r="CP194"/>
      <c r="CQ194"/>
      <c r="CR194"/>
      <c r="CS194"/>
      <c r="CT194"/>
      <c r="CU194"/>
      <c r="CV194"/>
      <c r="CW194"/>
      <c r="CX194"/>
      <c r="CY194"/>
    </row>
    <row r="195" spans="2:103" ht="20.100000000000001" customHeight="1" x14ac:dyDescent="0.25">
      <c r="B195" s="68"/>
      <c r="C195" s="68"/>
      <c r="D195" s="68"/>
      <c r="E195" s="68"/>
      <c r="F195" s="69"/>
      <c r="G195" s="69"/>
      <c r="H195" s="69"/>
      <c r="I195" s="70"/>
      <c r="J195" s="67"/>
      <c r="K195" s="112"/>
      <c r="L195" s="4"/>
      <c r="M195" s="4"/>
      <c r="N195" s="4"/>
      <c r="O195" s="4"/>
      <c r="P195" s="4"/>
      <c r="Q195" s="4"/>
      <c r="R195" s="84"/>
      <c r="S195" s="4"/>
      <c r="T195" s="4"/>
      <c r="U195" s="107"/>
      <c r="V195" s="33"/>
      <c r="W195" s="104"/>
      <c r="X195" s="94"/>
      <c r="Y195" s="94"/>
      <c r="Z195" s="93"/>
      <c r="AA195" s="8"/>
      <c r="AB195" s="93"/>
      <c r="AC195" s="93"/>
      <c r="AD195" s="93"/>
      <c r="AE195" s="8"/>
      <c r="AF195" s="8"/>
      <c r="AG195" s="8"/>
      <c r="AH195" s="8"/>
      <c r="AI195" s="8"/>
      <c r="AJ195" s="8"/>
      <c r="AK195" s="8"/>
      <c r="AL195" s="8"/>
      <c r="AM195" s="93"/>
      <c r="AN195" s="89"/>
      <c r="AX195"/>
      <c r="AY195"/>
      <c r="AZ195"/>
      <c r="BA195"/>
      <c r="BB195"/>
      <c r="BC195"/>
      <c r="BD195"/>
      <c r="BE195"/>
      <c r="BF195"/>
      <c r="BG195"/>
      <c r="BH195"/>
      <c r="BI195"/>
      <c r="BJ195"/>
      <c r="BK195"/>
      <c r="BL195"/>
      <c r="BM195"/>
      <c r="BN195"/>
      <c r="BO195"/>
      <c r="BP195"/>
      <c r="BQ195"/>
      <c r="BR195"/>
      <c r="BY195"/>
      <c r="BZ195"/>
      <c r="CA195"/>
      <c r="CB195"/>
      <c r="CC195"/>
      <c r="CD195"/>
      <c r="CE195"/>
      <c r="CF195"/>
      <c r="CG195"/>
      <c r="CH195"/>
      <c r="CI195"/>
      <c r="CJ195"/>
      <c r="CK195"/>
      <c r="CL195"/>
      <c r="CM195"/>
      <c r="CN195"/>
      <c r="CO195"/>
      <c r="CP195"/>
      <c r="CQ195"/>
      <c r="CR195"/>
      <c r="CS195"/>
      <c r="CT195"/>
      <c r="CU195"/>
      <c r="CV195"/>
      <c r="CW195"/>
      <c r="CX195"/>
      <c r="CY195"/>
    </row>
    <row r="196" spans="2:103" ht="20.100000000000001" customHeight="1" x14ac:dyDescent="0.25">
      <c r="B196" s="68"/>
      <c r="C196" s="68"/>
      <c r="D196" s="68"/>
      <c r="E196" s="68"/>
      <c r="F196" s="69"/>
      <c r="G196" s="69"/>
      <c r="H196" s="69"/>
      <c r="I196" s="70"/>
      <c r="J196" s="67"/>
      <c r="K196" s="112"/>
      <c r="L196" s="4"/>
      <c r="M196" s="4"/>
      <c r="N196" s="4"/>
      <c r="O196" s="4"/>
      <c r="P196" s="4"/>
      <c r="Q196" s="4"/>
      <c r="R196" s="84"/>
      <c r="S196" s="4"/>
      <c r="T196" s="4"/>
      <c r="U196" s="107"/>
      <c r="V196" s="33"/>
      <c r="W196" s="104"/>
      <c r="X196" s="94"/>
      <c r="Y196" s="94"/>
      <c r="Z196" s="93"/>
      <c r="AA196" s="8"/>
      <c r="AB196" s="93"/>
      <c r="AC196" s="93"/>
      <c r="AD196" s="93"/>
      <c r="AE196" s="8"/>
      <c r="AF196" s="8"/>
      <c r="AG196" s="8"/>
      <c r="AH196" s="8"/>
      <c r="AI196" s="8"/>
      <c r="AJ196" s="8"/>
      <c r="AK196" s="8"/>
      <c r="AL196" s="8"/>
      <c r="AM196" s="93"/>
      <c r="AN196" s="89"/>
      <c r="AX196"/>
      <c r="AY196"/>
      <c r="AZ196"/>
      <c r="BA196"/>
      <c r="BB196"/>
      <c r="BC196"/>
      <c r="BD196"/>
      <c r="BE196"/>
      <c r="BF196"/>
      <c r="BG196"/>
      <c r="BH196"/>
      <c r="BI196"/>
      <c r="BJ196"/>
      <c r="BK196"/>
      <c r="BL196"/>
      <c r="BM196"/>
      <c r="BN196"/>
      <c r="BO196"/>
      <c r="BP196"/>
      <c r="BQ196"/>
      <c r="BR196"/>
      <c r="BY196"/>
      <c r="BZ196"/>
      <c r="CA196"/>
      <c r="CB196"/>
      <c r="CC196"/>
      <c r="CD196"/>
      <c r="CE196"/>
      <c r="CF196"/>
      <c r="CG196"/>
      <c r="CH196"/>
      <c r="CI196"/>
      <c r="CJ196"/>
      <c r="CK196"/>
      <c r="CL196"/>
      <c r="CM196"/>
      <c r="CN196"/>
      <c r="CO196"/>
      <c r="CP196"/>
      <c r="CQ196"/>
      <c r="CR196"/>
      <c r="CS196"/>
      <c r="CT196"/>
      <c r="CU196"/>
      <c r="CV196"/>
      <c r="CW196"/>
      <c r="CX196"/>
      <c r="CY196"/>
    </row>
    <row r="197" spans="2:103" ht="20.100000000000001" customHeight="1" x14ac:dyDescent="0.25">
      <c r="B197" s="68"/>
      <c r="C197" s="68"/>
      <c r="D197" s="68"/>
      <c r="E197" s="68"/>
      <c r="F197" s="69"/>
      <c r="G197" s="69"/>
      <c r="H197" s="69"/>
      <c r="I197" s="70"/>
      <c r="J197" s="67"/>
      <c r="K197" s="112"/>
      <c r="L197" s="4"/>
      <c r="M197" s="4"/>
      <c r="N197" s="4"/>
      <c r="O197" s="4"/>
      <c r="P197" s="4"/>
      <c r="Q197" s="4"/>
      <c r="R197" s="84"/>
      <c r="S197" s="4"/>
      <c r="T197" s="4"/>
      <c r="U197" s="107"/>
      <c r="V197" s="33"/>
      <c r="W197" s="104"/>
      <c r="X197" s="94"/>
      <c r="Y197" s="94"/>
      <c r="Z197" s="93"/>
      <c r="AA197" s="8"/>
      <c r="AB197" s="93"/>
      <c r="AC197" s="93"/>
      <c r="AD197" s="93"/>
      <c r="AE197" s="8"/>
      <c r="AF197" s="8"/>
      <c r="AG197" s="8"/>
      <c r="AH197" s="8"/>
      <c r="AI197" s="8"/>
      <c r="AJ197" s="8"/>
      <c r="AK197" s="8"/>
      <c r="AL197" s="8"/>
      <c r="AM197" s="93"/>
      <c r="AN197" s="89"/>
      <c r="AX197"/>
      <c r="AY197"/>
      <c r="AZ197"/>
      <c r="BA197"/>
      <c r="BB197"/>
      <c r="BC197"/>
      <c r="BD197"/>
      <c r="BE197"/>
      <c r="BF197"/>
      <c r="BG197"/>
      <c r="BH197"/>
      <c r="BI197"/>
      <c r="BJ197"/>
      <c r="BK197"/>
      <c r="BL197"/>
      <c r="BM197"/>
      <c r="BN197"/>
      <c r="BO197"/>
      <c r="BP197"/>
      <c r="BQ197"/>
      <c r="BR197"/>
      <c r="BY197"/>
      <c r="BZ197"/>
      <c r="CA197"/>
      <c r="CB197"/>
      <c r="CC197"/>
      <c r="CD197"/>
      <c r="CE197"/>
      <c r="CF197"/>
      <c r="CG197"/>
      <c r="CH197"/>
      <c r="CI197"/>
      <c r="CJ197"/>
      <c r="CK197"/>
      <c r="CL197"/>
      <c r="CM197"/>
      <c r="CN197"/>
      <c r="CO197"/>
      <c r="CP197"/>
      <c r="CQ197"/>
      <c r="CR197"/>
      <c r="CS197"/>
      <c r="CT197"/>
      <c r="CU197"/>
      <c r="CV197"/>
      <c r="CW197"/>
      <c r="CX197"/>
      <c r="CY197"/>
    </row>
    <row r="198" spans="2:103" ht="20.100000000000001" customHeight="1" x14ac:dyDescent="0.25">
      <c r="B198" s="68"/>
      <c r="C198" s="68"/>
      <c r="D198" s="68"/>
      <c r="E198" s="68"/>
      <c r="F198" s="69"/>
      <c r="G198" s="69"/>
      <c r="H198" s="69"/>
      <c r="I198" s="70"/>
      <c r="J198" s="67"/>
      <c r="K198" s="112"/>
      <c r="L198" s="4"/>
      <c r="M198" s="4"/>
      <c r="N198" s="4"/>
      <c r="O198" s="4"/>
      <c r="P198" s="4"/>
      <c r="Q198" s="4"/>
      <c r="R198" s="84"/>
      <c r="S198" s="4"/>
      <c r="T198" s="4"/>
      <c r="U198" s="107"/>
      <c r="V198" s="33"/>
      <c r="W198" s="104"/>
      <c r="X198" s="94"/>
      <c r="Y198" s="94"/>
      <c r="Z198" s="93"/>
      <c r="AA198" s="8"/>
      <c r="AB198" s="93"/>
      <c r="AC198" s="93"/>
      <c r="AD198" s="93"/>
      <c r="AE198" s="8"/>
      <c r="AF198" s="8"/>
      <c r="AG198" s="8"/>
      <c r="AH198" s="8"/>
      <c r="AI198" s="8"/>
      <c r="AJ198" s="8"/>
      <c r="AK198" s="8"/>
      <c r="AL198" s="8"/>
      <c r="AM198" s="93"/>
      <c r="AN198" s="89"/>
      <c r="AX198"/>
      <c r="AY198"/>
      <c r="AZ198"/>
      <c r="BA198"/>
      <c r="BB198"/>
      <c r="BC198"/>
      <c r="BD198"/>
      <c r="BE198"/>
      <c r="BF198"/>
      <c r="BG198"/>
      <c r="BH198"/>
      <c r="BI198"/>
      <c r="BJ198"/>
      <c r="BK198"/>
      <c r="BL198"/>
      <c r="BM198"/>
      <c r="BN198"/>
      <c r="BO198"/>
      <c r="BP198"/>
      <c r="BQ198"/>
      <c r="BR198"/>
      <c r="BY198"/>
      <c r="BZ198"/>
      <c r="CA198"/>
      <c r="CB198"/>
      <c r="CC198"/>
      <c r="CD198"/>
      <c r="CE198"/>
      <c r="CF198"/>
      <c r="CG198"/>
      <c r="CH198"/>
      <c r="CI198"/>
      <c r="CJ198"/>
      <c r="CK198"/>
      <c r="CL198"/>
      <c r="CM198"/>
      <c r="CN198"/>
      <c r="CO198"/>
      <c r="CP198"/>
      <c r="CQ198"/>
      <c r="CR198"/>
      <c r="CS198"/>
      <c r="CT198"/>
      <c r="CU198"/>
      <c r="CV198"/>
      <c r="CW198"/>
      <c r="CX198"/>
      <c r="CY198"/>
    </row>
    <row r="199" spans="2:103" ht="20.100000000000001" customHeight="1" x14ac:dyDescent="0.25">
      <c r="B199" s="68"/>
      <c r="C199" s="68"/>
      <c r="D199" s="68"/>
      <c r="E199" s="68"/>
      <c r="F199" s="69"/>
      <c r="G199" s="69"/>
      <c r="H199" s="69"/>
      <c r="I199" s="70"/>
      <c r="J199" s="67"/>
      <c r="K199" s="112"/>
      <c r="L199" s="4"/>
      <c r="M199" s="4"/>
      <c r="N199" s="4"/>
      <c r="O199" s="4"/>
      <c r="P199" s="4"/>
      <c r="Q199" s="4"/>
      <c r="R199" s="84"/>
      <c r="S199" s="4"/>
      <c r="T199" s="4"/>
      <c r="U199" s="107"/>
      <c r="V199" s="33"/>
      <c r="W199" s="104"/>
      <c r="X199" s="94"/>
      <c r="Y199" s="94"/>
      <c r="Z199" s="93"/>
      <c r="AA199" s="8"/>
      <c r="AB199" s="93"/>
      <c r="AC199" s="93"/>
      <c r="AD199" s="93"/>
      <c r="AE199" s="8"/>
      <c r="AF199" s="8"/>
      <c r="AG199" s="8"/>
      <c r="AH199" s="8"/>
      <c r="AI199" s="8"/>
      <c r="AJ199" s="8"/>
      <c r="AK199" s="8"/>
      <c r="AL199" s="8"/>
      <c r="AM199" s="93"/>
      <c r="AN199" s="89"/>
      <c r="AX199"/>
      <c r="AY199"/>
      <c r="AZ199"/>
      <c r="BA199"/>
      <c r="BB199"/>
      <c r="BC199"/>
      <c r="BD199"/>
      <c r="BE199"/>
      <c r="BF199"/>
      <c r="BG199"/>
      <c r="BH199"/>
      <c r="BI199"/>
      <c r="BJ199"/>
      <c r="BK199"/>
      <c r="BL199"/>
      <c r="BM199"/>
      <c r="BN199"/>
      <c r="BO199"/>
      <c r="BP199"/>
      <c r="BQ199"/>
      <c r="BR199"/>
      <c r="BY199"/>
      <c r="BZ199"/>
      <c r="CA199"/>
      <c r="CB199"/>
      <c r="CC199"/>
      <c r="CD199"/>
      <c r="CE199"/>
      <c r="CF199"/>
      <c r="CG199"/>
      <c r="CH199"/>
      <c r="CI199"/>
      <c r="CJ199"/>
      <c r="CK199"/>
      <c r="CL199"/>
      <c r="CM199"/>
      <c r="CN199"/>
      <c r="CO199"/>
      <c r="CP199"/>
      <c r="CQ199"/>
      <c r="CR199"/>
      <c r="CS199"/>
      <c r="CT199"/>
      <c r="CU199"/>
      <c r="CV199"/>
      <c r="CW199"/>
      <c r="CX199"/>
      <c r="CY199"/>
    </row>
    <row r="200" spans="2:103" ht="20.100000000000001" customHeight="1" x14ac:dyDescent="0.25">
      <c r="B200" s="68"/>
      <c r="C200" s="68"/>
      <c r="D200" s="68"/>
      <c r="E200" s="68"/>
      <c r="F200" s="69"/>
      <c r="G200" s="69"/>
      <c r="H200" s="69"/>
      <c r="I200" s="70"/>
      <c r="J200" s="67"/>
      <c r="K200" s="112"/>
      <c r="L200" s="4"/>
      <c r="M200" s="4"/>
      <c r="N200" s="4"/>
      <c r="O200" s="4"/>
      <c r="P200" s="4"/>
      <c r="Q200" s="4"/>
      <c r="R200" s="84"/>
      <c r="S200" s="4"/>
      <c r="T200" s="4"/>
      <c r="U200" s="107"/>
      <c r="V200" s="33"/>
      <c r="W200" s="104"/>
      <c r="X200" s="94"/>
      <c r="Y200" s="94"/>
      <c r="Z200" s="93"/>
      <c r="AA200" s="8"/>
      <c r="AB200" s="93"/>
      <c r="AC200" s="93"/>
      <c r="AD200" s="93"/>
      <c r="AE200" s="8"/>
      <c r="AF200" s="8"/>
      <c r="AG200" s="8"/>
      <c r="AH200" s="8"/>
      <c r="AI200" s="8"/>
      <c r="AJ200" s="8"/>
      <c r="AK200" s="8"/>
      <c r="AL200" s="8"/>
      <c r="AM200" s="93"/>
      <c r="AN200" s="89"/>
      <c r="AX200"/>
      <c r="AY200"/>
      <c r="AZ200"/>
      <c r="BA200"/>
      <c r="BB200"/>
      <c r="BC200"/>
      <c r="BD200"/>
      <c r="BE200"/>
      <c r="BF200"/>
      <c r="BG200"/>
      <c r="BH200"/>
      <c r="BI200"/>
      <c r="BJ200"/>
      <c r="BK200"/>
      <c r="BL200"/>
      <c r="BM200"/>
      <c r="BN200"/>
      <c r="BO200"/>
      <c r="BP200"/>
      <c r="BQ200"/>
      <c r="BR200"/>
      <c r="BY200"/>
      <c r="BZ200"/>
      <c r="CA200"/>
      <c r="CB200"/>
      <c r="CC200"/>
      <c r="CD200"/>
      <c r="CE200"/>
      <c r="CF200"/>
      <c r="CG200"/>
      <c r="CH200"/>
      <c r="CI200"/>
      <c r="CJ200"/>
      <c r="CK200"/>
      <c r="CL200"/>
      <c r="CM200"/>
      <c r="CN200"/>
      <c r="CO200"/>
      <c r="CP200"/>
      <c r="CQ200"/>
      <c r="CR200"/>
      <c r="CS200"/>
      <c r="CT200"/>
      <c r="CU200"/>
      <c r="CV200"/>
      <c r="CW200"/>
      <c r="CX200"/>
      <c r="CY200"/>
    </row>
    <row r="201" spans="2:103" ht="20.100000000000001" customHeight="1" x14ac:dyDescent="0.25">
      <c r="B201" s="68"/>
      <c r="C201" s="68"/>
      <c r="D201" s="68"/>
      <c r="E201" s="68"/>
      <c r="F201" s="69"/>
      <c r="G201" s="69"/>
      <c r="H201" s="69"/>
      <c r="I201" s="70"/>
      <c r="J201" s="67"/>
      <c r="K201" s="112"/>
      <c r="L201" s="4"/>
      <c r="M201" s="4"/>
      <c r="N201" s="4"/>
      <c r="O201" s="4"/>
      <c r="P201" s="4"/>
      <c r="Q201" s="4"/>
      <c r="R201" s="84"/>
      <c r="S201" s="4"/>
      <c r="T201" s="4"/>
      <c r="U201" s="107"/>
      <c r="V201" s="33"/>
      <c r="W201" s="104"/>
      <c r="X201" s="94"/>
      <c r="Y201" s="94"/>
      <c r="Z201" s="93"/>
      <c r="AA201" s="8"/>
      <c r="AB201" s="93"/>
      <c r="AC201" s="93"/>
      <c r="AD201" s="93"/>
      <c r="AE201" s="8"/>
      <c r="AF201" s="8"/>
      <c r="AG201" s="8"/>
      <c r="AH201" s="8"/>
      <c r="AI201" s="8"/>
      <c r="AJ201" s="8"/>
      <c r="AK201" s="8"/>
      <c r="AL201" s="8"/>
      <c r="AM201" s="93"/>
      <c r="AN201" s="89"/>
      <c r="AX201"/>
      <c r="AY201"/>
      <c r="AZ201"/>
      <c r="BA201"/>
      <c r="BB201"/>
      <c r="BC201"/>
      <c r="BD201"/>
      <c r="BE201"/>
      <c r="BF201"/>
      <c r="BG201"/>
      <c r="BH201"/>
      <c r="BI201"/>
      <c r="BJ201"/>
      <c r="BK201"/>
      <c r="BL201"/>
      <c r="BM201"/>
      <c r="BN201"/>
      <c r="BO201"/>
      <c r="BP201"/>
      <c r="BQ201"/>
      <c r="BR201"/>
      <c r="BY201"/>
      <c r="BZ201"/>
      <c r="CA201"/>
      <c r="CB201"/>
      <c r="CC201"/>
      <c r="CD201"/>
      <c r="CE201"/>
      <c r="CF201"/>
      <c r="CG201"/>
      <c r="CH201"/>
      <c r="CI201"/>
      <c r="CJ201"/>
      <c r="CK201"/>
      <c r="CL201"/>
      <c r="CM201"/>
      <c r="CN201"/>
      <c r="CO201"/>
      <c r="CP201"/>
      <c r="CQ201"/>
      <c r="CR201"/>
      <c r="CS201"/>
      <c r="CT201"/>
      <c r="CU201"/>
      <c r="CV201"/>
      <c r="CW201"/>
      <c r="CX201"/>
      <c r="CY201"/>
    </row>
    <row r="202" spans="2:103" ht="20.100000000000001" customHeight="1" x14ac:dyDescent="0.25">
      <c r="B202" s="68"/>
      <c r="C202" s="68"/>
      <c r="D202" s="68"/>
      <c r="E202" s="68"/>
      <c r="F202" s="69"/>
      <c r="G202" s="69"/>
      <c r="H202" s="69"/>
      <c r="I202" s="70"/>
      <c r="J202" s="67"/>
      <c r="K202" s="112"/>
      <c r="L202" s="4"/>
      <c r="M202" s="4"/>
      <c r="N202" s="4"/>
      <c r="O202" s="4"/>
      <c r="P202" s="4"/>
      <c r="Q202" s="4"/>
      <c r="R202" s="84"/>
      <c r="S202" s="4"/>
      <c r="T202" s="4"/>
      <c r="U202" s="107"/>
      <c r="V202" s="33"/>
      <c r="W202" s="104"/>
      <c r="X202" s="94"/>
      <c r="Y202" s="94"/>
      <c r="Z202" s="93"/>
      <c r="AA202" s="8"/>
      <c r="AB202" s="93"/>
      <c r="AC202" s="93"/>
      <c r="AD202" s="93"/>
      <c r="AE202" s="8"/>
      <c r="AF202" s="8"/>
      <c r="AG202" s="8"/>
      <c r="AH202" s="8"/>
      <c r="AI202" s="8"/>
      <c r="AJ202" s="8"/>
      <c r="AK202" s="8"/>
      <c r="AL202" s="8"/>
      <c r="AM202" s="93"/>
      <c r="AN202" s="89"/>
      <c r="AX202"/>
      <c r="AY202"/>
      <c r="AZ202"/>
      <c r="BA202"/>
      <c r="BB202"/>
      <c r="BC202"/>
      <c r="BD202"/>
      <c r="BE202"/>
      <c r="BF202"/>
      <c r="BG202"/>
      <c r="BH202"/>
      <c r="BI202"/>
      <c r="BJ202"/>
      <c r="BK202"/>
      <c r="BL202"/>
      <c r="BM202"/>
      <c r="BN202"/>
      <c r="BO202"/>
      <c r="BP202"/>
      <c r="BQ202"/>
      <c r="BR202"/>
      <c r="BY202"/>
      <c r="BZ202"/>
      <c r="CA202"/>
      <c r="CB202"/>
      <c r="CC202"/>
      <c r="CD202"/>
      <c r="CE202"/>
      <c r="CF202"/>
      <c r="CG202"/>
      <c r="CH202"/>
      <c r="CI202"/>
      <c r="CJ202"/>
      <c r="CK202"/>
      <c r="CL202"/>
      <c r="CM202"/>
      <c r="CN202"/>
      <c r="CO202"/>
      <c r="CP202"/>
      <c r="CQ202"/>
      <c r="CR202"/>
      <c r="CS202"/>
      <c r="CT202"/>
      <c r="CU202"/>
      <c r="CV202"/>
      <c r="CW202"/>
      <c r="CX202"/>
      <c r="CY202"/>
    </row>
    <row r="203" spans="2:103" ht="20.100000000000001" customHeight="1" x14ac:dyDescent="0.25">
      <c r="B203" s="68"/>
      <c r="C203" s="68"/>
      <c r="D203" s="68"/>
      <c r="E203" s="68"/>
      <c r="F203" s="69"/>
      <c r="G203" s="69"/>
      <c r="H203" s="69"/>
      <c r="I203" s="70"/>
      <c r="J203" s="67"/>
      <c r="K203" s="112"/>
      <c r="L203" s="4"/>
      <c r="M203" s="4"/>
      <c r="N203" s="4"/>
      <c r="O203" s="4"/>
      <c r="P203" s="4"/>
      <c r="Q203" s="4"/>
      <c r="R203" s="84"/>
      <c r="S203" s="4"/>
      <c r="T203" s="4"/>
      <c r="U203" s="107"/>
      <c r="V203" s="33"/>
      <c r="W203" s="104"/>
      <c r="X203" s="94"/>
      <c r="Y203" s="94"/>
      <c r="Z203" s="93"/>
      <c r="AA203" s="8"/>
      <c r="AB203" s="93"/>
      <c r="AC203" s="93"/>
      <c r="AD203" s="93"/>
      <c r="AE203" s="8"/>
      <c r="AF203" s="8"/>
      <c r="AG203" s="8"/>
      <c r="AH203" s="8"/>
      <c r="AI203" s="8"/>
      <c r="AJ203" s="8"/>
      <c r="AK203" s="8"/>
      <c r="AL203" s="8"/>
      <c r="AM203" s="93"/>
      <c r="AN203" s="89"/>
      <c r="AX203"/>
      <c r="AY203"/>
      <c r="AZ203"/>
      <c r="BA203"/>
      <c r="BB203"/>
      <c r="BC203"/>
      <c r="BD203"/>
      <c r="BE203"/>
      <c r="BF203"/>
      <c r="BG203"/>
      <c r="BH203"/>
      <c r="BI203"/>
      <c r="BJ203"/>
      <c r="BK203"/>
      <c r="BL203"/>
      <c r="BM203"/>
      <c r="BN203"/>
      <c r="BO203"/>
      <c r="BP203"/>
      <c r="BQ203"/>
      <c r="BR203"/>
      <c r="BY203"/>
      <c r="BZ203"/>
      <c r="CA203"/>
      <c r="CB203"/>
      <c r="CC203"/>
      <c r="CD203"/>
      <c r="CE203"/>
      <c r="CF203"/>
      <c r="CG203"/>
      <c r="CH203"/>
      <c r="CI203"/>
      <c r="CJ203"/>
      <c r="CK203"/>
      <c r="CL203"/>
      <c r="CM203"/>
      <c r="CN203"/>
      <c r="CO203"/>
      <c r="CP203"/>
      <c r="CQ203"/>
      <c r="CR203"/>
      <c r="CS203"/>
      <c r="CT203"/>
      <c r="CU203"/>
      <c r="CV203"/>
      <c r="CW203"/>
      <c r="CX203"/>
      <c r="CY203"/>
    </row>
    <row r="204" spans="2:103" ht="20.100000000000001" customHeight="1" x14ac:dyDescent="0.25">
      <c r="B204" s="68"/>
      <c r="C204" s="68"/>
      <c r="D204" s="68"/>
      <c r="E204" s="68"/>
      <c r="F204" s="69"/>
      <c r="G204" s="69"/>
      <c r="H204" s="69"/>
      <c r="I204" s="70"/>
      <c r="J204" s="67"/>
      <c r="K204" s="112"/>
      <c r="L204" s="4"/>
      <c r="M204" s="4"/>
      <c r="N204" s="4"/>
      <c r="O204" s="4"/>
      <c r="P204" s="4"/>
      <c r="Q204" s="4"/>
      <c r="R204" s="84"/>
      <c r="S204" s="4"/>
      <c r="T204" s="4"/>
      <c r="U204" s="107"/>
      <c r="V204" s="33"/>
      <c r="W204" s="104"/>
      <c r="X204" s="94"/>
      <c r="Y204" s="94"/>
      <c r="Z204" s="93"/>
      <c r="AA204" s="8"/>
      <c r="AB204" s="93"/>
      <c r="AC204" s="93"/>
      <c r="AD204" s="93"/>
      <c r="AE204" s="8"/>
      <c r="AF204" s="8"/>
      <c r="AG204" s="8"/>
      <c r="AH204" s="8"/>
      <c r="AI204" s="8"/>
      <c r="AJ204" s="8"/>
      <c r="AK204" s="8"/>
      <c r="AL204" s="8"/>
      <c r="AM204" s="93"/>
      <c r="AN204" s="89"/>
      <c r="AX204"/>
      <c r="AY204"/>
      <c r="AZ204"/>
      <c r="BA204"/>
      <c r="BB204"/>
      <c r="BC204"/>
      <c r="BD204"/>
      <c r="BE204"/>
      <c r="BF204"/>
      <c r="BG204"/>
      <c r="BH204"/>
      <c r="BI204"/>
      <c r="BJ204"/>
      <c r="BK204"/>
      <c r="BL204"/>
      <c r="BM204"/>
      <c r="BN204"/>
      <c r="BO204"/>
      <c r="BP204"/>
      <c r="BQ204"/>
      <c r="BR204"/>
      <c r="BY204"/>
      <c r="BZ204"/>
      <c r="CA204"/>
      <c r="CB204"/>
      <c r="CC204"/>
      <c r="CD204"/>
      <c r="CE204"/>
      <c r="CF204"/>
      <c r="CG204"/>
      <c r="CH204"/>
      <c r="CI204"/>
      <c r="CJ204"/>
      <c r="CK204"/>
      <c r="CL204"/>
      <c r="CM204"/>
      <c r="CN204"/>
      <c r="CO204"/>
      <c r="CP204"/>
      <c r="CQ204"/>
      <c r="CR204"/>
      <c r="CS204"/>
      <c r="CT204"/>
      <c r="CU204"/>
      <c r="CV204"/>
      <c r="CW204"/>
      <c r="CX204"/>
      <c r="CY204"/>
    </row>
    <row r="205" spans="2:103" ht="20.100000000000001" customHeight="1" x14ac:dyDescent="0.25">
      <c r="B205" s="68"/>
      <c r="C205" s="68"/>
      <c r="D205" s="68"/>
      <c r="E205" s="68"/>
      <c r="F205" s="69"/>
      <c r="G205" s="69"/>
      <c r="H205" s="69"/>
      <c r="I205" s="70"/>
      <c r="J205" s="67"/>
      <c r="K205" s="112"/>
      <c r="L205" s="4"/>
      <c r="M205" s="4"/>
      <c r="N205" s="4"/>
      <c r="O205" s="4"/>
      <c r="P205" s="4"/>
      <c r="Q205" s="4"/>
      <c r="R205" s="84"/>
      <c r="S205" s="4"/>
      <c r="T205" s="4"/>
      <c r="U205" s="107"/>
      <c r="V205" s="33"/>
      <c r="W205" s="104"/>
      <c r="X205" s="94"/>
      <c r="Y205" s="94"/>
      <c r="Z205" s="93"/>
      <c r="AA205" s="8"/>
      <c r="AB205" s="93"/>
      <c r="AC205" s="93"/>
      <c r="AD205" s="93"/>
      <c r="AE205" s="8"/>
      <c r="AF205" s="8"/>
      <c r="AG205" s="8"/>
      <c r="AH205" s="8"/>
      <c r="AI205" s="8"/>
      <c r="AJ205" s="8"/>
      <c r="AK205" s="8"/>
      <c r="AL205" s="8"/>
      <c r="AM205" s="93"/>
      <c r="AN205" s="89"/>
      <c r="AX205"/>
      <c r="AY205"/>
      <c r="AZ205"/>
      <c r="BA205"/>
      <c r="BB205"/>
      <c r="BC205"/>
      <c r="BD205"/>
      <c r="BE205"/>
      <c r="BF205"/>
      <c r="BG205"/>
      <c r="BH205"/>
      <c r="BI205"/>
      <c r="BJ205"/>
      <c r="BK205"/>
      <c r="BL205"/>
      <c r="BM205"/>
      <c r="BN205"/>
      <c r="BO205"/>
      <c r="BP205"/>
      <c r="BQ205"/>
      <c r="BR205"/>
      <c r="BY205"/>
      <c r="BZ205"/>
      <c r="CA205"/>
      <c r="CB205"/>
      <c r="CC205"/>
      <c r="CD205"/>
      <c r="CE205"/>
      <c r="CF205"/>
      <c r="CG205"/>
      <c r="CH205"/>
      <c r="CI205"/>
      <c r="CJ205"/>
      <c r="CK205"/>
      <c r="CL205"/>
      <c r="CM205"/>
      <c r="CN205"/>
      <c r="CO205"/>
      <c r="CP205"/>
      <c r="CQ205"/>
      <c r="CR205"/>
      <c r="CS205"/>
      <c r="CT205"/>
      <c r="CU205"/>
      <c r="CV205"/>
      <c r="CW205"/>
      <c r="CX205"/>
      <c r="CY205"/>
    </row>
    <row r="206" spans="2:103" ht="20.100000000000001" customHeight="1" x14ac:dyDescent="0.25">
      <c r="B206" s="68"/>
      <c r="C206" s="68"/>
      <c r="D206" s="68"/>
      <c r="E206" s="68"/>
      <c r="F206" s="69"/>
      <c r="G206" s="69"/>
      <c r="H206" s="69"/>
      <c r="I206" s="70"/>
      <c r="J206" s="67"/>
      <c r="K206" s="112"/>
      <c r="L206" s="4"/>
      <c r="M206" s="4"/>
      <c r="N206" s="4"/>
      <c r="O206" s="4"/>
      <c r="P206" s="4"/>
      <c r="Q206" s="4"/>
      <c r="R206" s="84"/>
      <c r="S206" s="4"/>
      <c r="T206" s="4"/>
      <c r="U206" s="107"/>
      <c r="V206" s="33"/>
      <c r="W206" s="104"/>
      <c r="X206" s="94"/>
      <c r="Y206" s="94"/>
      <c r="Z206" s="93"/>
      <c r="AA206" s="8"/>
      <c r="AB206" s="93"/>
      <c r="AC206" s="93"/>
      <c r="AD206" s="93"/>
      <c r="AE206" s="8"/>
      <c r="AF206" s="8"/>
      <c r="AG206" s="8"/>
      <c r="AH206" s="8"/>
      <c r="AI206" s="8"/>
      <c r="AJ206" s="8"/>
      <c r="AK206" s="8"/>
      <c r="AL206" s="8"/>
      <c r="AM206" s="93"/>
      <c r="AN206" s="89"/>
      <c r="AX206"/>
      <c r="AY206"/>
      <c r="AZ206"/>
      <c r="BA206"/>
      <c r="BB206"/>
      <c r="BC206"/>
      <c r="BD206"/>
      <c r="BE206"/>
      <c r="BF206"/>
      <c r="BG206"/>
      <c r="BH206"/>
      <c r="BI206"/>
      <c r="BJ206"/>
      <c r="BK206"/>
      <c r="BL206"/>
      <c r="BM206"/>
      <c r="BN206"/>
      <c r="BO206"/>
      <c r="BP206"/>
      <c r="BQ206"/>
      <c r="BR206"/>
      <c r="BY206"/>
      <c r="BZ206"/>
      <c r="CA206"/>
      <c r="CB206"/>
      <c r="CC206"/>
      <c r="CD206"/>
      <c r="CE206"/>
      <c r="CF206"/>
      <c r="CG206"/>
      <c r="CH206"/>
      <c r="CI206"/>
      <c r="CJ206"/>
      <c r="CK206"/>
      <c r="CL206"/>
      <c r="CM206"/>
      <c r="CN206"/>
      <c r="CO206"/>
      <c r="CP206"/>
      <c r="CQ206"/>
      <c r="CR206"/>
      <c r="CS206"/>
      <c r="CT206"/>
      <c r="CU206"/>
      <c r="CV206"/>
      <c r="CW206"/>
      <c r="CX206"/>
      <c r="CY206"/>
    </row>
    <row r="207" spans="2:103" ht="20.100000000000001" customHeight="1" x14ac:dyDescent="0.25">
      <c r="B207" s="68"/>
      <c r="C207" s="68"/>
      <c r="D207" s="68"/>
      <c r="E207" s="68"/>
      <c r="F207" s="69"/>
      <c r="G207" s="69"/>
      <c r="H207" s="69"/>
      <c r="I207" s="70"/>
      <c r="J207" s="67"/>
      <c r="K207" s="112"/>
      <c r="L207" s="4"/>
      <c r="M207" s="4"/>
      <c r="N207" s="4"/>
      <c r="O207" s="4"/>
      <c r="P207" s="4"/>
      <c r="Q207" s="4"/>
      <c r="R207" s="84"/>
      <c r="S207" s="4"/>
      <c r="T207" s="4"/>
      <c r="U207" s="107"/>
      <c r="V207" s="33"/>
      <c r="W207" s="104"/>
      <c r="X207" s="94"/>
      <c r="Y207" s="94"/>
      <c r="Z207" s="93"/>
      <c r="AA207" s="8"/>
      <c r="AB207" s="93"/>
      <c r="AC207" s="93"/>
      <c r="AD207" s="93"/>
      <c r="AE207" s="8"/>
      <c r="AF207" s="8"/>
      <c r="AG207" s="8"/>
      <c r="AH207" s="8"/>
      <c r="AI207" s="8"/>
      <c r="AJ207" s="8"/>
      <c r="AK207" s="8"/>
      <c r="AL207" s="8"/>
      <c r="AM207" s="93"/>
      <c r="AN207" s="89"/>
      <c r="AX207"/>
      <c r="AY207"/>
      <c r="AZ207"/>
      <c r="BA207"/>
      <c r="BB207"/>
      <c r="BC207"/>
      <c r="BD207"/>
      <c r="BE207"/>
      <c r="BF207"/>
      <c r="BG207"/>
      <c r="BH207"/>
      <c r="BI207"/>
      <c r="BJ207"/>
      <c r="BK207"/>
      <c r="BL207"/>
      <c r="BM207"/>
      <c r="BN207"/>
      <c r="BO207"/>
      <c r="BP207"/>
      <c r="BQ207"/>
      <c r="BR207"/>
      <c r="BY207"/>
      <c r="BZ207"/>
      <c r="CA207"/>
      <c r="CB207"/>
      <c r="CC207"/>
      <c r="CD207"/>
      <c r="CE207"/>
      <c r="CF207"/>
      <c r="CG207"/>
      <c r="CH207"/>
      <c r="CI207"/>
      <c r="CJ207"/>
      <c r="CK207"/>
      <c r="CL207"/>
      <c r="CM207"/>
      <c r="CN207"/>
      <c r="CO207"/>
      <c r="CP207"/>
      <c r="CQ207"/>
      <c r="CR207"/>
      <c r="CS207"/>
      <c r="CT207"/>
      <c r="CU207"/>
      <c r="CV207"/>
      <c r="CW207"/>
      <c r="CX207"/>
      <c r="CY207"/>
    </row>
    <row r="208" spans="2:103" ht="20.100000000000001" customHeight="1" x14ac:dyDescent="0.25">
      <c r="B208" s="68"/>
      <c r="C208" s="68"/>
      <c r="D208" s="68"/>
      <c r="E208" s="68"/>
      <c r="F208" s="69"/>
      <c r="G208" s="69"/>
      <c r="H208" s="69"/>
      <c r="I208" s="70"/>
      <c r="J208" s="67"/>
      <c r="K208" s="112"/>
      <c r="L208" s="4"/>
      <c r="M208" s="4"/>
      <c r="N208" s="4"/>
      <c r="O208" s="4"/>
      <c r="P208" s="4"/>
      <c r="Q208" s="4"/>
      <c r="R208" s="84"/>
      <c r="S208" s="4"/>
      <c r="T208" s="4"/>
      <c r="U208" s="107"/>
      <c r="V208" s="33"/>
      <c r="W208" s="104"/>
      <c r="X208" s="94"/>
      <c r="Y208" s="94"/>
      <c r="Z208" s="93"/>
      <c r="AA208" s="8"/>
      <c r="AB208" s="93"/>
      <c r="AC208" s="93"/>
      <c r="AD208" s="93"/>
      <c r="AE208" s="8"/>
      <c r="AF208" s="8"/>
      <c r="AG208" s="8"/>
      <c r="AH208" s="8"/>
      <c r="AI208" s="8"/>
      <c r="AJ208" s="8"/>
      <c r="AK208" s="8"/>
      <c r="AL208" s="8"/>
      <c r="AM208" s="93"/>
      <c r="AN208" s="89"/>
      <c r="AX208"/>
      <c r="AY208"/>
      <c r="AZ208"/>
      <c r="BA208"/>
      <c r="BB208"/>
      <c r="BC208"/>
      <c r="BD208"/>
      <c r="BE208"/>
      <c r="BF208"/>
      <c r="BG208"/>
      <c r="BH208"/>
      <c r="BI208"/>
      <c r="BJ208"/>
      <c r="BK208"/>
      <c r="BL208"/>
      <c r="BM208"/>
      <c r="BN208"/>
      <c r="BO208"/>
      <c r="BP208"/>
      <c r="BQ208"/>
      <c r="BR208"/>
      <c r="BY208"/>
      <c r="BZ208"/>
      <c r="CA208"/>
      <c r="CB208"/>
      <c r="CC208"/>
      <c r="CD208"/>
      <c r="CE208"/>
      <c r="CF208"/>
      <c r="CG208"/>
      <c r="CH208"/>
      <c r="CI208"/>
      <c r="CJ208"/>
      <c r="CK208"/>
      <c r="CL208"/>
      <c r="CM208"/>
      <c r="CN208"/>
      <c r="CO208"/>
      <c r="CP208"/>
      <c r="CQ208"/>
      <c r="CR208"/>
      <c r="CS208"/>
      <c r="CT208"/>
      <c r="CU208"/>
      <c r="CV208"/>
      <c r="CW208"/>
      <c r="CX208"/>
      <c r="CY208"/>
    </row>
    <row r="209" spans="2:103" ht="20.100000000000001" customHeight="1" x14ac:dyDescent="0.25">
      <c r="B209" s="68"/>
      <c r="C209" s="68"/>
      <c r="D209" s="68"/>
      <c r="E209" s="68"/>
      <c r="F209" s="69"/>
      <c r="G209" s="69"/>
      <c r="H209" s="69"/>
      <c r="I209" s="70"/>
      <c r="J209" s="67"/>
      <c r="K209" s="112"/>
      <c r="L209" s="4"/>
      <c r="M209" s="4"/>
      <c r="N209" s="4"/>
      <c r="O209" s="4"/>
      <c r="P209" s="4"/>
      <c r="Q209" s="4"/>
      <c r="R209" s="84"/>
      <c r="S209" s="4"/>
      <c r="T209" s="4"/>
      <c r="U209" s="107"/>
      <c r="V209" s="33"/>
      <c r="W209" s="104"/>
      <c r="X209" s="94"/>
      <c r="Y209" s="94"/>
      <c r="Z209" s="93"/>
      <c r="AA209" s="8"/>
      <c r="AB209" s="93"/>
      <c r="AC209" s="93"/>
      <c r="AD209" s="93"/>
      <c r="AE209" s="8"/>
      <c r="AF209" s="8"/>
      <c r="AG209" s="8"/>
      <c r="AH209" s="8"/>
      <c r="AI209" s="8"/>
      <c r="AJ209" s="8"/>
      <c r="AK209" s="8"/>
      <c r="AL209" s="8"/>
      <c r="AM209" s="93"/>
      <c r="AN209" s="89"/>
      <c r="AX209"/>
      <c r="AY209"/>
      <c r="AZ209"/>
      <c r="BA209"/>
      <c r="BB209"/>
      <c r="BC209"/>
      <c r="BD209"/>
      <c r="BE209"/>
      <c r="BF209"/>
      <c r="BG209"/>
      <c r="BH209"/>
      <c r="BI209"/>
      <c r="BJ209"/>
      <c r="BK209"/>
      <c r="BL209"/>
      <c r="BM209"/>
      <c r="BN209"/>
      <c r="BO209"/>
      <c r="BP209"/>
      <c r="BQ209"/>
      <c r="BR209"/>
      <c r="BY209"/>
      <c r="BZ209"/>
      <c r="CA209"/>
      <c r="CB209"/>
      <c r="CC209"/>
      <c r="CD209"/>
      <c r="CE209"/>
      <c r="CF209"/>
      <c r="CG209"/>
      <c r="CH209"/>
      <c r="CI209"/>
      <c r="CJ209"/>
      <c r="CK209"/>
      <c r="CL209"/>
      <c r="CM209"/>
      <c r="CN209"/>
      <c r="CO209"/>
      <c r="CP209"/>
      <c r="CQ209"/>
      <c r="CR209"/>
      <c r="CS209"/>
      <c r="CT209"/>
      <c r="CU209"/>
      <c r="CV209"/>
      <c r="CW209"/>
      <c r="CX209"/>
      <c r="CY209"/>
    </row>
    <row r="210" spans="2:103" ht="20.100000000000001" customHeight="1" x14ac:dyDescent="0.25">
      <c r="B210" s="68"/>
      <c r="C210" s="68"/>
      <c r="D210" s="68"/>
      <c r="E210" s="68"/>
      <c r="F210" s="69"/>
      <c r="G210" s="69"/>
      <c r="H210" s="69"/>
      <c r="I210" s="70"/>
      <c r="J210" s="67"/>
      <c r="K210" s="112"/>
      <c r="L210" s="4"/>
      <c r="M210" s="4"/>
      <c r="N210" s="4"/>
      <c r="O210" s="4"/>
      <c r="P210" s="4"/>
      <c r="Q210" s="4"/>
      <c r="R210" s="84"/>
      <c r="S210" s="4"/>
      <c r="T210" s="4"/>
      <c r="U210" s="107"/>
      <c r="V210" s="33"/>
      <c r="W210" s="104"/>
      <c r="X210" s="94"/>
      <c r="Y210" s="94"/>
      <c r="Z210" s="93"/>
      <c r="AA210" s="8"/>
      <c r="AB210" s="93"/>
      <c r="AC210" s="93"/>
      <c r="AD210" s="93"/>
      <c r="AE210" s="8"/>
      <c r="AF210" s="8"/>
      <c r="AG210" s="8"/>
      <c r="AH210" s="8"/>
      <c r="AI210" s="8"/>
      <c r="AJ210" s="8"/>
      <c r="AK210" s="8"/>
      <c r="AL210" s="8"/>
      <c r="AM210" s="93"/>
      <c r="AN210" s="89"/>
      <c r="AX210"/>
      <c r="AY210"/>
      <c r="AZ210"/>
      <c r="BA210"/>
      <c r="BB210"/>
      <c r="BC210"/>
      <c r="BD210"/>
      <c r="BE210"/>
      <c r="BF210"/>
      <c r="BG210"/>
      <c r="BH210"/>
      <c r="BI210"/>
      <c r="BJ210"/>
      <c r="BK210"/>
      <c r="BL210"/>
      <c r="BM210"/>
      <c r="BN210"/>
      <c r="BO210"/>
      <c r="BP210"/>
      <c r="BQ210"/>
      <c r="BR210"/>
      <c r="BY210"/>
      <c r="BZ210"/>
      <c r="CA210"/>
      <c r="CB210"/>
      <c r="CC210"/>
      <c r="CD210"/>
      <c r="CE210"/>
      <c r="CF210"/>
      <c r="CG210"/>
      <c r="CH210"/>
      <c r="CI210"/>
      <c r="CJ210"/>
      <c r="CK210"/>
      <c r="CL210"/>
      <c r="CM210"/>
      <c r="CN210"/>
      <c r="CO210"/>
      <c r="CP210"/>
      <c r="CQ210"/>
      <c r="CR210"/>
      <c r="CS210"/>
      <c r="CT210"/>
      <c r="CU210"/>
      <c r="CV210"/>
      <c r="CW210"/>
      <c r="CX210"/>
      <c r="CY210"/>
    </row>
    <row r="211" spans="2:103" ht="20.100000000000001" customHeight="1" x14ac:dyDescent="0.25">
      <c r="B211" s="68"/>
      <c r="C211" s="68"/>
      <c r="D211" s="68"/>
      <c r="E211" s="68"/>
      <c r="F211" s="69"/>
      <c r="G211" s="69"/>
      <c r="H211" s="69"/>
      <c r="I211" s="70"/>
      <c r="J211" s="67"/>
      <c r="K211" s="112"/>
      <c r="L211" s="4"/>
      <c r="M211" s="4"/>
      <c r="N211" s="4"/>
      <c r="O211" s="4"/>
      <c r="P211" s="4"/>
      <c r="Q211" s="4"/>
      <c r="R211" s="84"/>
      <c r="S211" s="4"/>
      <c r="T211" s="4"/>
      <c r="U211" s="107"/>
      <c r="V211" s="33"/>
      <c r="W211" s="104"/>
      <c r="X211" s="94"/>
      <c r="Y211" s="94"/>
      <c r="Z211" s="93"/>
      <c r="AA211" s="8"/>
      <c r="AB211" s="93"/>
      <c r="AC211" s="93"/>
      <c r="AD211" s="93"/>
      <c r="AE211" s="8"/>
      <c r="AF211" s="8"/>
      <c r="AG211" s="8"/>
      <c r="AH211" s="8"/>
      <c r="AI211" s="8"/>
      <c r="AJ211" s="8"/>
      <c r="AK211" s="8"/>
      <c r="AL211" s="8"/>
      <c r="AM211" s="93"/>
      <c r="AN211" s="89"/>
      <c r="AX211"/>
      <c r="AY211"/>
      <c r="AZ211"/>
      <c r="BA211"/>
      <c r="BB211"/>
      <c r="BC211"/>
      <c r="BD211"/>
      <c r="BE211"/>
      <c r="BF211"/>
      <c r="BG211"/>
      <c r="BH211"/>
      <c r="BI211"/>
      <c r="BJ211"/>
      <c r="BK211"/>
      <c r="BL211"/>
      <c r="BM211"/>
      <c r="BN211"/>
      <c r="BO211"/>
      <c r="BP211"/>
      <c r="BQ211"/>
      <c r="BR211"/>
      <c r="BY211"/>
      <c r="BZ211"/>
      <c r="CA211"/>
      <c r="CB211"/>
      <c r="CC211"/>
      <c r="CD211"/>
      <c r="CE211"/>
      <c r="CF211"/>
      <c r="CG211"/>
      <c r="CH211"/>
      <c r="CI211"/>
      <c r="CJ211"/>
      <c r="CK211"/>
      <c r="CL211"/>
      <c r="CM211"/>
      <c r="CN211"/>
      <c r="CO211"/>
      <c r="CP211"/>
      <c r="CQ211"/>
      <c r="CR211"/>
      <c r="CS211"/>
      <c r="CT211"/>
      <c r="CU211"/>
      <c r="CV211"/>
      <c r="CW211"/>
      <c r="CX211"/>
      <c r="CY211"/>
    </row>
    <row r="212" spans="2:103" ht="20.100000000000001" customHeight="1" x14ac:dyDescent="0.25">
      <c r="B212" s="68"/>
      <c r="C212" s="68"/>
      <c r="D212" s="68"/>
      <c r="E212" s="68"/>
      <c r="F212" s="69"/>
      <c r="G212" s="69"/>
      <c r="H212" s="69"/>
      <c r="I212" s="70"/>
      <c r="J212" s="67"/>
      <c r="K212" s="112"/>
      <c r="L212" s="4"/>
      <c r="M212" s="4"/>
      <c r="N212" s="4"/>
      <c r="O212" s="4"/>
      <c r="P212" s="4"/>
      <c r="Q212" s="4"/>
      <c r="R212" s="84"/>
      <c r="S212" s="4"/>
      <c r="T212" s="4"/>
      <c r="U212" s="107"/>
      <c r="V212" s="33"/>
      <c r="W212" s="104"/>
      <c r="X212" s="94"/>
      <c r="Y212" s="94"/>
      <c r="Z212" s="93"/>
      <c r="AA212" s="8"/>
      <c r="AB212" s="93"/>
      <c r="AC212" s="93"/>
      <c r="AD212" s="93"/>
      <c r="AE212" s="8"/>
      <c r="AF212" s="8"/>
      <c r="AG212" s="8"/>
      <c r="AH212" s="8"/>
      <c r="AI212" s="8"/>
      <c r="AJ212" s="8"/>
      <c r="AK212" s="8"/>
      <c r="AL212" s="8"/>
      <c r="AM212" s="93"/>
      <c r="AN212" s="89"/>
      <c r="AX212"/>
      <c r="AY212"/>
      <c r="AZ212"/>
      <c r="BA212"/>
      <c r="BB212"/>
      <c r="BC212"/>
      <c r="BD212"/>
      <c r="BE212"/>
      <c r="BF212"/>
      <c r="BG212"/>
      <c r="BH212"/>
      <c r="BI212"/>
      <c r="BJ212"/>
      <c r="BK212"/>
      <c r="BL212"/>
      <c r="BM212"/>
      <c r="BN212"/>
      <c r="BO212"/>
      <c r="BP212"/>
      <c r="BQ212"/>
      <c r="BR212"/>
      <c r="BY212"/>
      <c r="BZ212"/>
      <c r="CA212"/>
      <c r="CB212"/>
      <c r="CC212"/>
      <c r="CD212"/>
      <c r="CE212"/>
      <c r="CF212"/>
      <c r="CG212"/>
      <c r="CH212"/>
      <c r="CI212"/>
      <c r="CJ212"/>
      <c r="CK212"/>
      <c r="CL212"/>
      <c r="CM212"/>
      <c r="CN212"/>
      <c r="CO212"/>
      <c r="CP212"/>
      <c r="CQ212"/>
      <c r="CR212"/>
      <c r="CS212"/>
      <c r="CT212"/>
      <c r="CU212"/>
      <c r="CV212"/>
      <c r="CW212"/>
      <c r="CX212"/>
      <c r="CY212"/>
    </row>
    <row r="213" spans="2:103" ht="20.100000000000001" customHeight="1" x14ac:dyDescent="0.25">
      <c r="B213" s="68"/>
      <c r="C213" s="68"/>
      <c r="D213" s="68"/>
      <c r="E213" s="68"/>
      <c r="F213" s="69"/>
      <c r="G213" s="69"/>
      <c r="H213" s="69"/>
      <c r="I213" s="70"/>
      <c r="J213" s="67"/>
      <c r="K213" s="112"/>
      <c r="L213" s="4"/>
      <c r="M213" s="4"/>
      <c r="N213" s="4"/>
      <c r="O213" s="4"/>
      <c r="P213" s="4"/>
      <c r="Q213" s="4"/>
      <c r="R213" s="84"/>
      <c r="S213" s="4"/>
      <c r="T213" s="4"/>
      <c r="U213" s="107"/>
      <c r="V213" s="33"/>
      <c r="W213" s="104"/>
      <c r="X213" s="94"/>
      <c r="Y213" s="94"/>
      <c r="Z213" s="93"/>
      <c r="AA213" s="8"/>
      <c r="AB213" s="93"/>
      <c r="AC213" s="93"/>
      <c r="AD213" s="93"/>
      <c r="AE213" s="8"/>
      <c r="AF213" s="8"/>
      <c r="AG213" s="8"/>
      <c r="AH213" s="8"/>
      <c r="AI213" s="8"/>
      <c r="AJ213" s="8"/>
      <c r="AK213" s="8"/>
      <c r="AL213" s="8"/>
      <c r="AM213" s="93"/>
      <c r="AN213" s="89"/>
      <c r="AX213"/>
      <c r="AY213"/>
      <c r="AZ213"/>
      <c r="BA213"/>
      <c r="BB213"/>
      <c r="BC213"/>
      <c r="BD213"/>
      <c r="BE213"/>
      <c r="BF213"/>
      <c r="BG213"/>
      <c r="BH213"/>
      <c r="BI213"/>
      <c r="BJ213"/>
      <c r="BK213"/>
      <c r="BL213"/>
      <c r="BM213"/>
      <c r="BN213"/>
      <c r="BO213"/>
      <c r="BP213"/>
      <c r="BQ213"/>
      <c r="BR213"/>
      <c r="BY213"/>
      <c r="BZ213"/>
      <c r="CA213"/>
      <c r="CB213"/>
      <c r="CC213"/>
      <c r="CD213"/>
      <c r="CE213"/>
      <c r="CF213"/>
      <c r="CG213"/>
      <c r="CH213"/>
      <c r="CI213"/>
      <c r="CJ213"/>
      <c r="CK213"/>
      <c r="CL213"/>
      <c r="CM213"/>
      <c r="CN213"/>
      <c r="CO213"/>
      <c r="CP213"/>
      <c r="CQ213"/>
      <c r="CR213"/>
      <c r="CS213"/>
      <c r="CT213"/>
      <c r="CU213"/>
      <c r="CV213"/>
      <c r="CW213"/>
      <c r="CX213"/>
      <c r="CY213"/>
    </row>
    <row r="214" spans="2:103" ht="20.100000000000001" customHeight="1" x14ac:dyDescent="0.25">
      <c r="B214" s="68"/>
      <c r="C214" s="68"/>
      <c r="D214" s="68"/>
      <c r="E214" s="68"/>
      <c r="F214" s="69"/>
      <c r="G214" s="69"/>
      <c r="H214" s="69"/>
      <c r="I214" s="70"/>
      <c r="J214" s="67"/>
      <c r="K214" s="112"/>
      <c r="L214" s="4"/>
      <c r="M214" s="4"/>
      <c r="N214" s="4"/>
      <c r="O214" s="4"/>
      <c r="P214" s="4"/>
      <c r="Q214" s="4"/>
      <c r="R214" s="84"/>
      <c r="S214" s="4"/>
      <c r="T214" s="4"/>
      <c r="U214" s="107"/>
      <c r="V214" s="33"/>
      <c r="W214" s="104"/>
      <c r="X214" s="94"/>
      <c r="Y214" s="94"/>
      <c r="Z214" s="93"/>
      <c r="AA214" s="8"/>
      <c r="AB214" s="93"/>
      <c r="AC214" s="93"/>
      <c r="AD214" s="93"/>
      <c r="AE214" s="8"/>
      <c r="AF214" s="8"/>
      <c r="AG214" s="8"/>
      <c r="AH214" s="8"/>
      <c r="AI214" s="8"/>
      <c r="AJ214" s="8"/>
      <c r="AK214" s="8"/>
      <c r="AL214" s="8"/>
      <c r="AM214" s="93"/>
      <c r="AN214" s="89"/>
      <c r="AX214"/>
      <c r="AY214"/>
      <c r="AZ214"/>
      <c r="BA214"/>
      <c r="BB214"/>
      <c r="BC214"/>
      <c r="BD214"/>
      <c r="BE214"/>
      <c r="BF214"/>
      <c r="BG214"/>
      <c r="BH214"/>
      <c r="BI214"/>
      <c r="BJ214"/>
      <c r="BK214"/>
      <c r="BL214"/>
      <c r="BM214"/>
      <c r="BN214"/>
      <c r="BO214"/>
      <c r="BP214"/>
      <c r="BQ214"/>
      <c r="BR214"/>
      <c r="BY214"/>
      <c r="BZ214"/>
      <c r="CA214"/>
      <c r="CB214"/>
      <c r="CC214"/>
      <c r="CD214"/>
      <c r="CE214"/>
      <c r="CF214"/>
      <c r="CG214"/>
      <c r="CH214"/>
      <c r="CI214"/>
      <c r="CJ214"/>
      <c r="CK214"/>
      <c r="CL214"/>
      <c r="CM214"/>
      <c r="CN214"/>
      <c r="CO214"/>
      <c r="CP214"/>
      <c r="CQ214"/>
      <c r="CR214"/>
      <c r="CS214"/>
      <c r="CT214"/>
      <c r="CU214"/>
      <c r="CV214"/>
      <c r="CW214"/>
      <c r="CX214"/>
      <c r="CY214"/>
    </row>
    <row r="215" spans="2:103" ht="20.100000000000001" customHeight="1" x14ac:dyDescent="0.25">
      <c r="B215" s="68"/>
      <c r="C215" s="68"/>
      <c r="D215" s="68"/>
      <c r="E215" s="68"/>
      <c r="F215" s="69"/>
      <c r="G215" s="69"/>
      <c r="H215" s="69"/>
      <c r="I215" s="70"/>
      <c r="J215" s="67"/>
      <c r="K215" s="112"/>
      <c r="L215" s="4"/>
      <c r="M215" s="4"/>
      <c r="N215" s="4"/>
      <c r="O215" s="4"/>
      <c r="P215" s="4"/>
      <c r="Q215" s="4"/>
      <c r="R215" s="84"/>
      <c r="S215" s="4"/>
      <c r="T215" s="4"/>
      <c r="U215" s="107"/>
      <c r="V215" s="33"/>
      <c r="W215" s="104"/>
      <c r="X215" s="94"/>
      <c r="Y215" s="94"/>
      <c r="Z215" s="93"/>
      <c r="AA215" s="8"/>
      <c r="AB215" s="93"/>
      <c r="AC215" s="93"/>
      <c r="AD215" s="93"/>
      <c r="AE215" s="8"/>
      <c r="AF215" s="8"/>
      <c r="AG215" s="8"/>
      <c r="AH215" s="8"/>
      <c r="AI215" s="8"/>
      <c r="AJ215" s="8"/>
      <c r="AK215" s="8"/>
      <c r="AL215" s="8"/>
      <c r="AM215" s="93"/>
      <c r="AN215" s="89"/>
      <c r="AX215"/>
      <c r="AY215"/>
      <c r="AZ215"/>
      <c r="BA215"/>
      <c r="BB215"/>
      <c r="BC215"/>
      <c r="BD215"/>
      <c r="BE215"/>
      <c r="BF215"/>
      <c r="BG215"/>
      <c r="BH215"/>
      <c r="BI215"/>
      <c r="BJ215"/>
      <c r="BK215"/>
      <c r="BL215"/>
      <c r="BM215"/>
      <c r="BN215"/>
      <c r="BO215"/>
      <c r="BP215"/>
      <c r="BQ215"/>
      <c r="BR215"/>
      <c r="BY215"/>
      <c r="BZ215"/>
      <c r="CA215"/>
      <c r="CB215"/>
      <c r="CC215"/>
      <c r="CD215"/>
      <c r="CE215"/>
      <c r="CF215"/>
      <c r="CG215"/>
      <c r="CH215"/>
      <c r="CI215"/>
      <c r="CJ215"/>
      <c r="CK215"/>
      <c r="CL215"/>
      <c r="CM215"/>
      <c r="CN215"/>
      <c r="CO215"/>
      <c r="CP215"/>
      <c r="CQ215"/>
      <c r="CR215"/>
      <c r="CS215"/>
      <c r="CT215"/>
      <c r="CU215"/>
      <c r="CV215"/>
      <c r="CW215"/>
      <c r="CX215"/>
      <c r="CY215"/>
    </row>
    <row r="216" spans="2:103" ht="20.100000000000001" customHeight="1" x14ac:dyDescent="0.25">
      <c r="B216" s="68"/>
      <c r="C216" s="68"/>
      <c r="D216" s="68"/>
      <c r="E216" s="68"/>
      <c r="F216" s="69"/>
      <c r="G216" s="69"/>
      <c r="H216" s="69"/>
      <c r="I216" s="70"/>
      <c r="J216" s="67"/>
      <c r="K216" s="112"/>
      <c r="L216" s="4"/>
      <c r="M216" s="4"/>
      <c r="N216" s="4"/>
      <c r="O216" s="4"/>
      <c r="P216" s="4"/>
      <c r="Q216" s="4"/>
      <c r="R216" s="84"/>
      <c r="S216" s="4"/>
      <c r="T216" s="4"/>
      <c r="U216" s="107"/>
      <c r="V216" s="33"/>
      <c r="W216" s="104"/>
      <c r="X216" s="94"/>
      <c r="Y216" s="94"/>
      <c r="Z216" s="93"/>
      <c r="AA216" s="8"/>
      <c r="AB216" s="93"/>
      <c r="AC216" s="93"/>
      <c r="AD216" s="93"/>
      <c r="AE216" s="8"/>
      <c r="AF216" s="8"/>
      <c r="AG216" s="8"/>
      <c r="AH216" s="8"/>
      <c r="AI216" s="8"/>
      <c r="AJ216" s="8"/>
      <c r="AK216" s="8"/>
      <c r="AL216" s="8"/>
      <c r="AM216" s="93"/>
      <c r="AN216" s="89"/>
      <c r="AX216"/>
      <c r="AY216"/>
      <c r="AZ216"/>
      <c r="BA216"/>
      <c r="BB216"/>
      <c r="BC216"/>
      <c r="BD216"/>
      <c r="BE216"/>
      <c r="BF216"/>
      <c r="BG216"/>
      <c r="BH216"/>
      <c r="BI216"/>
      <c r="BJ216"/>
      <c r="BK216"/>
      <c r="BL216"/>
      <c r="BM216"/>
      <c r="BN216"/>
      <c r="BO216"/>
      <c r="BP216"/>
      <c r="BQ216"/>
      <c r="BR216"/>
      <c r="BY216"/>
      <c r="BZ216"/>
      <c r="CA216"/>
      <c r="CB216"/>
      <c r="CC216"/>
      <c r="CD216"/>
      <c r="CE216"/>
      <c r="CF216"/>
      <c r="CG216"/>
      <c r="CH216"/>
      <c r="CI216"/>
      <c r="CJ216"/>
      <c r="CK216"/>
      <c r="CL216"/>
      <c r="CM216"/>
      <c r="CN216"/>
      <c r="CO216"/>
      <c r="CP216"/>
      <c r="CQ216"/>
      <c r="CR216"/>
      <c r="CS216"/>
      <c r="CT216"/>
      <c r="CU216"/>
      <c r="CV216"/>
      <c r="CW216"/>
      <c r="CX216"/>
      <c r="CY216"/>
    </row>
    <row r="217" spans="2:103" ht="20.100000000000001" customHeight="1" x14ac:dyDescent="0.25">
      <c r="B217" s="68"/>
      <c r="C217" s="68"/>
      <c r="D217" s="68"/>
      <c r="E217" s="68"/>
      <c r="F217" s="69"/>
      <c r="G217" s="69"/>
      <c r="H217" s="69"/>
      <c r="I217" s="70"/>
      <c r="J217" s="67"/>
      <c r="K217" s="112"/>
      <c r="L217" s="4"/>
      <c r="M217" s="4"/>
      <c r="N217" s="4"/>
      <c r="O217" s="4"/>
      <c r="P217" s="4"/>
      <c r="Q217" s="4"/>
      <c r="R217" s="84"/>
      <c r="S217" s="4"/>
      <c r="T217" s="4"/>
      <c r="U217" s="107"/>
      <c r="V217" s="33"/>
      <c r="W217" s="104"/>
      <c r="X217" s="94"/>
      <c r="Y217" s="94"/>
      <c r="Z217" s="93"/>
      <c r="AA217" s="8"/>
      <c r="AB217" s="93"/>
      <c r="AC217" s="93"/>
      <c r="AD217" s="93"/>
      <c r="AE217" s="8"/>
      <c r="AF217" s="8"/>
      <c r="AG217" s="8"/>
      <c r="AH217" s="8"/>
      <c r="AI217" s="8"/>
      <c r="AJ217" s="8"/>
      <c r="AK217" s="8"/>
      <c r="AL217" s="8"/>
      <c r="AM217" s="93"/>
      <c r="AN217" s="89"/>
      <c r="AX217"/>
      <c r="AY217"/>
      <c r="AZ217"/>
      <c r="BA217"/>
      <c r="BB217"/>
      <c r="BC217"/>
      <c r="BD217"/>
      <c r="BE217"/>
      <c r="BF217"/>
      <c r="BG217"/>
      <c r="BH217"/>
      <c r="BI217"/>
      <c r="BJ217"/>
      <c r="BK217"/>
      <c r="BL217"/>
      <c r="BM217"/>
      <c r="BN217"/>
      <c r="BO217"/>
      <c r="BP217"/>
      <c r="BQ217"/>
      <c r="BR217"/>
      <c r="BY217"/>
      <c r="BZ217"/>
      <c r="CA217"/>
      <c r="CB217"/>
      <c r="CC217"/>
      <c r="CD217"/>
      <c r="CE217"/>
      <c r="CF217"/>
      <c r="CG217"/>
      <c r="CH217"/>
      <c r="CI217"/>
      <c r="CJ217"/>
      <c r="CK217"/>
      <c r="CL217"/>
      <c r="CM217"/>
      <c r="CN217"/>
      <c r="CO217"/>
      <c r="CP217"/>
      <c r="CQ217"/>
      <c r="CR217"/>
      <c r="CS217"/>
      <c r="CT217"/>
      <c r="CU217"/>
      <c r="CV217"/>
      <c r="CW217"/>
      <c r="CX217"/>
      <c r="CY217"/>
    </row>
    <row r="218" spans="2:103" ht="20.100000000000001" customHeight="1" x14ac:dyDescent="0.25">
      <c r="B218" s="68"/>
      <c r="C218" s="68"/>
      <c r="D218" s="68"/>
      <c r="E218" s="68"/>
      <c r="F218" s="69"/>
      <c r="G218" s="69"/>
      <c r="H218" s="69"/>
      <c r="I218" s="70"/>
      <c r="J218" s="67"/>
      <c r="K218" s="112"/>
      <c r="L218" s="4"/>
      <c r="M218" s="4"/>
      <c r="N218" s="4"/>
      <c r="O218" s="4"/>
      <c r="P218" s="4"/>
      <c r="Q218" s="4"/>
      <c r="R218" s="84"/>
      <c r="S218" s="4"/>
      <c r="T218" s="4"/>
      <c r="U218" s="107"/>
      <c r="V218" s="33"/>
      <c r="W218" s="104"/>
      <c r="X218" s="94"/>
      <c r="Y218" s="94"/>
      <c r="Z218" s="93"/>
      <c r="AA218" s="8"/>
      <c r="AB218" s="93"/>
      <c r="AC218" s="93"/>
      <c r="AD218" s="93"/>
      <c r="AE218" s="8"/>
      <c r="AF218" s="8"/>
      <c r="AG218" s="8"/>
      <c r="AH218" s="8"/>
      <c r="AI218" s="8"/>
      <c r="AJ218" s="8"/>
      <c r="AK218" s="8"/>
      <c r="AL218" s="8"/>
      <c r="AM218" s="93"/>
      <c r="AN218" s="89"/>
      <c r="AX218"/>
      <c r="AY218"/>
      <c r="AZ218"/>
      <c r="BA218"/>
      <c r="BB218"/>
      <c r="BC218"/>
      <c r="BD218"/>
      <c r="BE218"/>
      <c r="BF218"/>
      <c r="BG218"/>
      <c r="BH218"/>
      <c r="BI218"/>
      <c r="BJ218"/>
      <c r="BK218"/>
      <c r="BL218"/>
      <c r="BM218"/>
      <c r="BN218"/>
      <c r="BO218"/>
      <c r="BP218"/>
      <c r="BQ218"/>
      <c r="BR218"/>
      <c r="BY218"/>
      <c r="BZ218"/>
      <c r="CA218"/>
      <c r="CB218"/>
      <c r="CC218"/>
      <c r="CD218"/>
      <c r="CE218"/>
      <c r="CF218"/>
      <c r="CG218"/>
      <c r="CH218"/>
      <c r="CI218"/>
      <c r="CJ218"/>
      <c r="CK218"/>
      <c r="CL218"/>
      <c r="CM218"/>
      <c r="CN218"/>
      <c r="CO218"/>
      <c r="CP218"/>
      <c r="CQ218"/>
      <c r="CR218"/>
      <c r="CS218"/>
      <c r="CT218"/>
      <c r="CU218"/>
      <c r="CV218"/>
      <c r="CW218"/>
      <c r="CX218"/>
      <c r="CY218"/>
    </row>
    <row r="219" spans="2:103" ht="20.100000000000001" customHeight="1" x14ac:dyDescent="0.25">
      <c r="B219" s="68"/>
      <c r="C219" s="68"/>
      <c r="D219" s="68"/>
      <c r="E219" s="68"/>
      <c r="F219" s="69"/>
      <c r="G219" s="69"/>
      <c r="H219" s="69"/>
      <c r="I219" s="70"/>
      <c r="J219" s="67"/>
      <c r="K219" s="112"/>
      <c r="L219" s="4"/>
      <c r="M219" s="4"/>
      <c r="N219" s="4"/>
      <c r="O219" s="4"/>
      <c r="P219" s="4"/>
      <c r="Q219" s="4"/>
      <c r="R219" s="84"/>
      <c r="S219" s="4"/>
      <c r="T219" s="4"/>
      <c r="U219" s="107"/>
      <c r="V219" s="33"/>
      <c r="W219" s="104"/>
      <c r="X219" s="94"/>
      <c r="Y219" s="94"/>
      <c r="Z219" s="93"/>
      <c r="AA219" s="8"/>
      <c r="AB219" s="93"/>
      <c r="AC219" s="93"/>
      <c r="AD219" s="93"/>
      <c r="AE219" s="8"/>
      <c r="AF219" s="8"/>
      <c r="AG219" s="8"/>
      <c r="AH219" s="8"/>
      <c r="AI219" s="8"/>
      <c r="AJ219" s="8"/>
      <c r="AK219" s="8"/>
      <c r="AL219" s="8"/>
      <c r="AM219" s="93"/>
      <c r="AN219" s="89"/>
      <c r="AX219"/>
      <c r="AY219"/>
      <c r="AZ219"/>
      <c r="BA219"/>
      <c r="BB219"/>
      <c r="BC219"/>
      <c r="BD219"/>
      <c r="BE219"/>
      <c r="BF219"/>
      <c r="BG219"/>
      <c r="BH219"/>
      <c r="BI219"/>
      <c r="BJ219"/>
      <c r="BK219"/>
      <c r="BL219"/>
      <c r="BM219"/>
      <c r="BN219"/>
      <c r="BO219"/>
      <c r="BP219"/>
      <c r="BQ219"/>
      <c r="BR219"/>
      <c r="BY219"/>
      <c r="BZ219"/>
      <c r="CA219"/>
      <c r="CB219"/>
      <c r="CC219"/>
      <c r="CD219"/>
      <c r="CE219"/>
      <c r="CF219"/>
      <c r="CG219"/>
      <c r="CH219"/>
      <c r="CI219"/>
      <c r="CJ219"/>
      <c r="CK219"/>
      <c r="CL219"/>
      <c r="CM219"/>
      <c r="CN219"/>
      <c r="CO219"/>
      <c r="CP219"/>
      <c r="CQ219"/>
      <c r="CR219"/>
      <c r="CS219"/>
      <c r="CT219"/>
      <c r="CU219"/>
      <c r="CV219"/>
      <c r="CW219"/>
      <c r="CX219"/>
      <c r="CY219"/>
    </row>
    <row r="220" spans="2:103" ht="20.100000000000001" customHeight="1" x14ac:dyDescent="0.25">
      <c r="B220" s="68"/>
      <c r="C220" s="68"/>
      <c r="D220" s="68"/>
      <c r="E220" s="68"/>
      <c r="F220" s="69"/>
      <c r="G220" s="69"/>
      <c r="H220" s="69"/>
      <c r="I220" s="70"/>
      <c r="J220" s="67"/>
      <c r="K220" s="112"/>
      <c r="L220" s="4"/>
      <c r="M220" s="4"/>
      <c r="N220" s="4"/>
      <c r="O220" s="4"/>
      <c r="P220" s="4"/>
      <c r="Q220" s="4"/>
      <c r="R220" s="84"/>
      <c r="S220" s="4"/>
      <c r="T220" s="4"/>
      <c r="U220" s="107"/>
      <c r="V220" s="33"/>
      <c r="W220" s="104"/>
      <c r="X220" s="94"/>
      <c r="Y220" s="94"/>
      <c r="Z220" s="93"/>
      <c r="AA220" s="8"/>
      <c r="AB220" s="93"/>
      <c r="AC220" s="93"/>
      <c r="AD220" s="93"/>
      <c r="AE220" s="8"/>
      <c r="AF220" s="8"/>
      <c r="AG220" s="8"/>
      <c r="AH220" s="8"/>
      <c r="AI220" s="8"/>
      <c r="AJ220" s="8"/>
      <c r="AK220" s="8"/>
      <c r="AL220" s="8"/>
      <c r="AM220" s="93"/>
      <c r="AN220" s="89"/>
      <c r="AX220"/>
      <c r="AY220"/>
      <c r="AZ220"/>
      <c r="BA220"/>
      <c r="BB220"/>
      <c r="BC220"/>
      <c r="BD220"/>
      <c r="BE220"/>
      <c r="BF220"/>
      <c r="BG220"/>
      <c r="BH220"/>
      <c r="BI220"/>
      <c r="BJ220"/>
      <c r="BK220"/>
      <c r="BL220"/>
      <c r="BM220"/>
      <c r="BN220"/>
      <c r="BO220"/>
      <c r="BP220"/>
      <c r="BQ220"/>
      <c r="BR220"/>
      <c r="BY220"/>
      <c r="BZ220"/>
      <c r="CA220"/>
      <c r="CB220"/>
      <c r="CC220"/>
      <c r="CD220"/>
      <c r="CE220"/>
      <c r="CF220"/>
      <c r="CG220"/>
      <c r="CH220"/>
      <c r="CI220"/>
      <c r="CJ220"/>
      <c r="CK220"/>
      <c r="CL220"/>
      <c r="CM220"/>
      <c r="CN220"/>
      <c r="CO220"/>
      <c r="CP220"/>
      <c r="CQ220"/>
      <c r="CR220"/>
      <c r="CS220"/>
      <c r="CT220"/>
      <c r="CU220"/>
      <c r="CV220"/>
      <c r="CW220"/>
      <c r="CX220"/>
      <c r="CY220"/>
    </row>
    <row r="221" spans="2:103" ht="20.100000000000001" customHeight="1" x14ac:dyDescent="0.25">
      <c r="B221" s="68"/>
      <c r="C221" s="68"/>
      <c r="D221" s="68"/>
      <c r="E221" s="68"/>
      <c r="F221" s="69"/>
      <c r="G221" s="69"/>
      <c r="H221" s="69"/>
      <c r="I221" s="70"/>
      <c r="J221" s="67"/>
      <c r="K221" s="112"/>
      <c r="L221" s="4"/>
      <c r="M221" s="4"/>
      <c r="N221" s="4"/>
      <c r="O221" s="4"/>
      <c r="P221" s="4"/>
      <c r="Q221" s="4"/>
      <c r="R221" s="84"/>
      <c r="S221" s="4"/>
      <c r="T221" s="4"/>
      <c r="U221" s="107"/>
      <c r="V221" s="33"/>
      <c r="W221" s="104"/>
      <c r="X221" s="94"/>
      <c r="Y221" s="94"/>
      <c r="Z221" s="93"/>
      <c r="AA221" s="8"/>
      <c r="AB221" s="93"/>
      <c r="AC221" s="93"/>
      <c r="AD221" s="93"/>
      <c r="AE221" s="8"/>
      <c r="AF221" s="8"/>
      <c r="AG221" s="8"/>
      <c r="AH221" s="8"/>
      <c r="AI221" s="8"/>
      <c r="AJ221" s="8"/>
      <c r="AK221" s="8"/>
      <c r="AL221" s="8"/>
      <c r="AM221" s="93"/>
      <c r="AN221" s="89"/>
      <c r="AX221"/>
      <c r="AY221"/>
      <c r="AZ221"/>
      <c r="BA221"/>
      <c r="BB221"/>
      <c r="BC221"/>
      <c r="BD221"/>
      <c r="BE221"/>
      <c r="BF221"/>
      <c r="BG221"/>
      <c r="BH221"/>
      <c r="BI221"/>
      <c r="BJ221"/>
      <c r="BK221"/>
      <c r="BL221"/>
      <c r="BM221"/>
      <c r="BN221"/>
      <c r="BO221"/>
      <c r="BP221"/>
      <c r="BQ221"/>
      <c r="BR221"/>
      <c r="BY221"/>
      <c r="BZ221"/>
      <c r="CA221"/>
      <c r="CB221"/>
      <c r="CC221"/>
      <c r="CD221"/>
      <c r="CE221"/>
      <c r="CF221"/>
      <c r="CG221"/>
      <c r="CH221"/>
      <c r="CI221"/>
      <c r="CJ221"/>
      <c r="CK221"/>
      <c r="CL221"/>
      <c r="CM221"/>
      <c r="CN221"/>
      <c r="CO221"/>
      <c r="CP221"/>
      <c r="CQ221"/>
      <c r="CR221"/>
      <c r="CS221"/>
      <c r="CT221"/>
      <c r="CU221"/>
      <c r="CV221"/>
      <c r="CW221"/>
      <c r="CX221"/>
      <c r="CY221"/>
    </row>
    <row r="222" spans="2:103" ht="20.100000000000001" customHeight="1" x14ac:dyDescent="0.25">
      <c r="B222" s="68"/>
      <c r="C222" s="68"/>
      <c r="D222" s="68"/>
      <c r="E222" s="68"/>
      <c r="F222" s="69"/>
      <c r="G222" s="69"/>
      <c r="H222" s="69"/>
      <c r="I222" s="70"/>
      <c r="J222" s="67"/>
      <c r="K222" s="112"/>
      <c r="L222" s="4"/>
      <c r="M222" s="4"/>
      <c r="N222" s="4"/>
      <c r="O222" s="4"/>
      <c r="P222" s="4"/>
      <c r="Q222" s="4"/>
      <c r="R222" s="84"/>
      <c r="S222" s="4"/>
      <c r="T222" s="4"/>
      <c r="U222" s="107"/>
      <c r="V222" s="33"/>
      <c r="W222" s="104"/>
      <c r="X222" s="94"/>
      <c r="Y222" s="94"/>
      <c r="Z222" s="93"/>
      <c r="AA222" s="8"/>
      <c r="AB222" s="93"/>
      <c r="AC222" s="93"/>
      <c r="AD222" s="93"/>
      <c r="AE222" s="8"/>
      <c r="AF222" s="8"/>
      <c r="AG222" s="8"/>
      <c r="AH222" s="8"/>
      <c r="AI222" s="8"/>
      <c r="AJ222" s="8"/>
      <c r="AK222" s="8"/>
      <c r="AL222" s="8"/>
      <c r="AM222" s="93"/>
      <c r="AN222" s="89"/>
      <c r="AX222"/>
      <c r="AY222"/>
      <c r="AZ222"/>
      <c r="BA222"/>
      <c r="BB222"/>
      <c r="BC222"/>
      <c r="BD222"/>
      <c r="BE222"/>
      <c r="BF222"/>
      <c r="BG222"/>
      <c r="BH222"/>
      <c r="BI222"/>
      <c r="BJ222"/>
      <c r="BK222"/>
      <c r="BL222"/>
      <c r="BM222"/>
      <c r="BN222"/>
      <c r="BO222"/>
      <c r="BP222"/>
      <c r="BQ222"/>
      <c r="BR222"/>
      <c r="BY222"/>
      <c r="BZ222"/>
      <c r="CA222"/>
      <c r="CB222"/>
      <c r="CC222"/>
      <c r="CD222"/>
      <c r="CE222"/>
      <c r="CF222"/>
      <c r="CG222"/>
      <c r="CH222"/>
      <c r="CI222"/>
      <c r="CJ222"/>
      <c r="CK222"/>
      <c r="CL222"/>
      <c r="CM222"/>
      <c r="CN222"/>
      <c r="CO222"/>
      <c r="CP222"/>
      <c r="CQ222"/>
      <c r="CR222"/>
      <c r="CS222"/>
      <c r="CT222"/>
      <c r="CU222"/>
      <c r="CV222"/>
      <c r="CW222"/>
      <c r="CX222"/>
      <c r="CY222"/>
    </row>
    <row r="223" spans="2:103" ht="20.100000000000001" customHeight="1" x14ac:dyDescent="0.25">
      <c r="B223" s="68"/>
      <c r="C223" s="68"/>
      <c r="D223" s="68"/>
      <c r="E223" s="68"/>
      <c r="F223" s="69"/>
      <c r="G223" s="69"/>
      <c r="H223" s="69"/>
      <c r="I223" s="70"/>
      <c r="J223" s="67"/>
      <c r="K223" s="112"/>
      <c r="L223" s="4"/>
      <c r="M223" s="4"/>
      <c r="N223" s="4"/>
      <c r="O223" s="4"/>
      <c r="P223" s="4"/>
      <c r="Q223" s="4"/>
      <c r="R223" s="84"/>
      <c r="S223" s="4"/>
      <c r="T223" s="4"/>
      <c r="U223" s="107"/>
      <c r="V223" s="33"/>
      <c r="W223" s="104"/>
      <c r="X223" s="94"/>
      <c r="Y223" s="94"/>
      <c r="Z223" s="93"/>
      <c r="AA223" s="8"/>
      <c r="AB223" s="93"/>
      <c r="AC223" s="93"/>
      <c r="AD223" s="93"/>
      <c r="AE223" s="8"/>
      <c r="AF223" s="8"/>
      <c r="AG223" s="8"/>
      <c r="AH223" s="8"/>
      <c r="AI223" s="8"/>
      <c r="AJ223" s="8"/>
      <c r="AK223" s="8"/>
      <c r="AL223" s="8"/>
      <c r="AM223" s="93"/>
      <c r="AN223" s="89"/>
      <c r="AX223"/>
      <c r="AY223"/>
      <c r="AZ223"/>
      <c r="BA223"/>
      <c r="BB223"/>
      <c r="BC223"/>
      <c r="BD223"/>
      <c r="BE223"/>
      <c r="BF223"/>
      <c r="BG223"/>
      <c r="BH223"/>
      <c r="BI223"/>
      <c r="BJ223"/>
      <c r="BK223"/>
      <c r="BL223"/>
      <c r="BM223"/>
      <c r="BN223"/>
      <c r="BO223"/>
      <c r="BP223"/>
      <c r="BQ223"/>
      <c r="BR223"/>
      <c r="BY223"/>
      <c r="BZ223"/>
      <c r="CA223"/>
      <c r="CB223"/>
      <c r="CC223"/>
      <c r="CD223"/>
      <c r="CE223"/>
      <c r="CF223"/>
      <c r="CG223"/>
      <c r="CH223"/>
      <c r="CI223"/>
      <c r="CJ223"/>
      <c r="CK223"/>
      <c r="CL223"/>
      <c r="CM223"/>
      <c r="CN223"/>
      <c r="CO223"/>
      <c r="CP223"/>
      <c r="CQ223"/>
      <c r="CR223"/>
      <c r="CS223"/>
      <c r="CT223"/>
      <c r="CU223"/>
      <c r="CV223"/>
      <c r="CW223"/>
      <c r="CX223"/>
      <c r="CY223"/>
    </row>
    <row r="224" spans="2:103" ht="20.100000000000001" customHeight="1" x14ac:dyDescent="0.25">
      <c r="B224" s="68"/>
      <c r="C224" s="68"/>
      <c r="D224" s="68"/>
      <c r="E224" s="68"/>
      <c r="F224" s="69"/>
      <c r="G224" s="69"/>
      <c r="H224" s="69"/>
      <c r="I224" s="70"/>
      <c r="J224" s="67"/>
      <c r="K224" s="112"/>
      <c r="L224" s="4"/>
      <c r="M224" s="4"/>
      <c r="N224" s="4"/>
      <c r="O224" s="4"/>
      <c r="P224" s="4"/>
      <c r="Q224" s="4"/>
      <c r="R224" s="84"/>
      <c r="S224" s="4"/>
      <c r="T224" s="4"/>
      <c r="U224" s="107"/>
      <c r="V224" s="33"/>
      <c r="W224" s="104"/>
      <c r="X224" s="94"/>
      <c r="Y224" s="94"/>
      <c r="Z224" s="93"/>
      <c r="AA224" s="8"/>
      <c r="AB224" s="93"/>
      <c r="AC224" s="93"/>
      <c r="AD224" s="93"/>
      <c r="AE224" s="8"/>
      <c r="AF224" s="8"/>
      <c r="AG224" s="8"/>
      <c r="AH224" s="8"/>
      <c r="AI224" s="8"/>
      <c r="AJ224" s="8"/>
      <c r="AK224" s="8"/>
      <c r="AL224" s="8"/>
      <c r="AM224" s="93"/>
      <c r="AN224" s="89"/>
      <c r="AX224"/>
      <c r="AY224"/>
      <c r="AZ224"/>
      <c r="BA224"/>
      <c r="BB224"/>
      <c r="BC224"/>
      <c r="BD224"/>
      <c r="BE224"/>
      <c r="BF224"/>
      <c r="BG224"/>
      <c r="BH224"/>
      <c r="BI224"/>
      <c r="BJ224"/>
      <c r="BK224"/>
      <c r="BL224"/>
      <c r="BM224"/>
      <c r="BN224"/>
      <c r="BO224"/>
      <c r="BP224"/>
      <c r="BQ224"/>
      <c r="BR224"/>
      <c r="BY224"/>
      <c r="BZ224"/>
      <c r="CA224"/>
      <c r="CB224"/>
      <c r="CC224"/>
      <c r="CD224"/>
      <c r="CE224"/>
      <c r="CF224"/>
      <c r="CG224"/>
      <c r="CH224"/>
      <c r="CI224"/>
      <c r="CJ224"/>
      <c r="CK224"/>
      <c r="CL224"/>
      <c r="CM224"/>
      <c r="CN224"/>
      <c r="CO224"/>
      <c r="CP224"/>
      <c r="CQ224"/>
      <c r="CR224"/>
      <c r="CS224"/>
      <c r="CT224"/>
      <c r="CU224"/>
      <c r="CV224"/>
      <c r="CW224"/>
      <c r="CX224"/>
      <c r="CY224"/>
    </row>
    <row r="225" spans="2:103" ht="20.100000000000001" customHeight="1" x14ac:dyDescent="0.25">
      <c r="B225" s="68"/>
      <c r="C225" s="68"/>
      <c r="D225" s="68"/>
      <c r="E225" s="68"/>
      <c r="F225" s="69"/>
      <c r="G225" s="69"/>
      <c r="H225" s="69"/>
      <c r="I225" s="70"/>
      <c r="J225" s="67"/>
      <c r="K225" s="112"/>
      <c r="L225" s="4"/>
      <c r="M225" s="4"/>
      <c r="N225" s="4"/>
      <c r="O225" s="4"/>
      <c r="P225" s="4"/>
      <c r="Q225" s="4"/>
      <c r="R225" s="84"/>
      <c r="S225" s="4"/>
      <c r="T225" s="4"/>
      <c r="U225" s="107"/>
      <c r="V225" s="33"/>
      <c r="W225" s="104"/>
      <c r="X225" s="94"/>
      <c r="Y225" s="94"/>
      <c r="Z225" s="93"/>
      <c r="AA225" s="8"/>
      <c r="AB225" s="93"/>
      <c r="AC225" s="93"/>
      <c r="AD225" s="93"/>
      <c r="AE225" s="8"/>
      <c r="AF225" s="8"/>
      <c r="AG225" s="8"/>
      <c r="AH225" s="8"/>
      <c r="AI225" s="8"/>
      <c r="AJ225" s="8"/>
      <c r="AK225" s="8"/>
      <c r="AL225" s="8"/>
      <c r="AM225" s="93"/>
      <c r="AN225" s="89"/>
      <c r="AX225"/>
      <c r="AY225"/>
      <c r="AZ225"/>
      <c r="BA225"/>
      <c r="BB225"/>
      <c r="BC225"/>
      <c r="BD225"/>
      <c r="BE225"/>
      <c r="BF225"/>
      <c r="BG225"/>
      <c r="BH225"/>
      <c r="BI225"/>
      <c r="BJ225"/>
      <c r="BK225"/>
      <c r="BL225"/>
      <c r="BM225"/>
      <c r="BN225"/>
      <c r="BO225"/>
      <c r="BP225"/>
      <c r="BQ225"/>
      <c r="BR225"/>
      <c r="BY225"/>
      <c r="BZ225"/>
      <c r="CA225"/>
      <c r="CB225"/>
      <c r="CC225"/>
      <c r="CD225"/>
      <c r="CE225"/>
      <c r="CF225"/>
      <c r="CG225"/>
      <c r="CH225"/>
      <c r="CI225"/>
      <c r="CJ225"/>
      <c r="CK225"/>
      <c r="CL225"/>
      <c r="CM225"/>
      <c r="CN225"/>
      <c r="CO225"/>
      <c r="CP225"/>
      <c r="CQ225"/>
      <c r="CR225"/>
      <c r="CS225"/>
      <c r="CT225"/>
      <c r="CU225"/>
      <c r="CV225"/>
      <c r="CW225"/>
      <c r="CX225"/>
      <c r="CY225"/>
    </row>
    <row r="226" spans="2:103" ht="20.100000000000001" customHeight="1" x14ac:dyDescent="0.25">
      <c r="B226" s="68"/>
      <c r="C226" s="68"/>
      <c r="D226" s="68"/>
      <c r="E226" s="68"/>
      <c r="F226" s="69"/>
      <c r="G226" s="69"/>
      <c r="H226" s="69"/>
      <c r="I226" s="70"/>
      <c r="J226" s="67"/>
      <c r="K226" s="112"/>
      <c r="L226" s="4"/>
      <c r="M226" s="4"/>
      <c r="N226" s="4"/>
      <c r="O226" s="4"/>
      <c r="P226" s="4"/>
      <c r="Q226" s="4"/>
      <c r="R226" s="84"/>
      <c r="S226" s="4"/>
      <c r="T226" s="4"/>
      <c r="U226" s="107"/>
      <c r="V226" s="33"/>
      <c r="W226" s="104"/>
      <c r="X226" s="94"/>
      <c r="Y226" s="94"/>
      <c r="Z226" s="93"/>
      <c r="AA226" s="8"/>
      <c r="AB226" s="93"/>
      <c r="AC226" s="93"/>
      <c r="AD226" s="93"/>
      <c r="AE226" s="8"/>
      <c r="AF226" s="8"/>
      <c r="AG226" s="8"/>
      <c r="AH226" s="8"/>
      <c r="AI226" s="8"/>
      <c r="AJ226" s="8"/>
      <c r="AK226" s="8"/>
      <c r="AL226" s="8"/>
      <c r="AM226" s="93"/>
      <c r="AN226" s="89"/>
      <c r="AX226"/>
      <c r="AY226"/>
      <c r="AZ226"/>
      <c r="BA226"/>
      <c r="BB226"/>
      <c r="BC226"/>
      <c r="BD226"/>
      <c r="BE226"/>
      <c r="BF226"/>
      <c r="BG226"/>
      <c r="BH226"/>
      <c r="BI226"/>
      <c r="BJ226"/>
      <c r="BK226"/>
      <c r="BL226"/>
      <c r="BM226"/>
      <c r="BN226"/>
      <c r="BO226"/>
      <c r="BP226"/>
      <c r="BQ226"/>
      <c r="BR226"/>
      <c r="BY226"/>
      <c r="BZ226"/>
      <c r="CA226"/>
      <c r="CB226"/>
      <c r="CC226"/>
      <c r="CD226"/>
      <c r="CE226"/>
      <c r="CF226"/>
      <c r="CG226"/>
      <c r="CH226"/>
      <c r="CI226"/>
      <c r="CJ226"/>
      <c r="CK226"/>
      <c r="CL226"/>
      <c r="CM226"/>
      <c r="CN226"/>
      <c r="CO226"/>
      <c r="CP226"/>
      <c r="CQ226"/>
      <c r="CR226"/>
      <c r="CS226"/>
      <c r="CT226"/>
      <c r="CU226"/>
      <c r="CV226"/>
      <c r="CW226"/>
      <c r="CX226"/>
      <c r="CY226"/>
    </row>
    <row r="227" spans="2:103" ht="20.100000000000001" customHeight="1" x14ac:dyDescent="0.25">
      <c r="B227" s="68"/>
      <c r="C227" s="68"/>
      <c r="D227" s="68"/>
      <c r="E227" s="68"/>
      <c r="F227" s="69"/>
      <c r="G227" s="69"/>
      <c r="H227" s="69"/>
      <c r="I227" s="70"/>
      <c r="J227" s="67"/>
      <c r="K227" s="112"/>
      <c r="L227" s="4"/>
      <c r="M227" s="4"/>
      <c r="N227" s="4"/>
      <c r="O227" s="4"/>
      <c r="P227" s="4"/>
      <c r="Q227" s="4"/>
      <c r="R227" s="84"/>
      <c r="S227" s="4"/>
      <c r="T227" s="4"/>
      <c r="U227" s="107"/>
      <c r="V227" s="33"/>
      <c r="W227" s="104"/>
      <c r="X227" s="94"/>
      <c r="Y227" s="94"/>
      <c r="Z227" s="93"/>
      <c r="AA227" s="8"/>
      <c r="AB227" s="93"/>
      <c r="AC227" s="93"/>
      <c r="AD227" s="93"/>
      <c r="AE227" s="8"/>
      <c r="AF227" s="8"/>
      <c r="AG227" s="8"/>
      <c r="AH227" s="8"/>
      <c r="AI227" s="8"/>
      <c r="AJ227" s="8"/>
      <c r="AK227" s="8"/>
      <c r="AL227" s="8"/>
      <c r="AM227" s="93"/>
      <c r="AN227" s="89"/>
      <c r="AX227"/>
      <c r="AY227"/>
      <c r="AZ227"/>
      <c r="BA227"/>
      <c r="BB227"/>
      <c r="BC227"/>
      <c r="BD227"/>
      <c r="BE227"/>
      <c r="BF227"/>
      <c r="BG227"/>
      <c r="BH227"/>
      <c r="BI227"/>
      <c r="BJ227"/>
      <c r="BK227"/>
      <c r="BL227"/>
      <c r="BM227"/>
      <c r="BN227"/>
      <c r="BO227"/>
      <c r="BP227"/>
      <c r="BQ227"/>
      <c r="BR227"/>
      <c r="BY227"/>
      <c r="BZ227"/>
      <c r="CA227"/>
      <c r="CB227"/>
      <c r="CC227"/>
      <c r="CD227"/>
      <c r="CE227"/>
      <c r="CF227"/>
      <c r="CG227"/>
      <c r="CH227"/>
      <c r="CI227"/>
      <c r="CJ227"/>
      <c r="CK227"/>
      <c r="CL227"/>
      <c r="CM227"/>
      <c r="CN227"/>
      <c r="CO227"/>
      <c r="CP227"/>
      <c r="CQ227"/>
      <c r="CR227"/>
      <c r="CS227"/>
      <c r="CT227"/>
      <c r="CU227"/>
      <c r="CV227"/>
      <c r="CW227"/>
      <c r="CX227"/>
      <c r="CY227"/>
    </row>
    <row r="228" spans="2:103" ht="20.100000000000001" customHeight="1" x14ac:dyDescent="0.25">
      <c r="B228" s="68"/>
      <c r="C228" s="68"/>
      <c r="D228" s="68"/>
      <c r="E228" s="68"/>
      <c r="F228" s="69"/>
      <c r="G228" s="69"/>
      <c r="H228" s="69"/>
      <c r="I228" s="70"/>
      <c r="J228" s="67"/>
      <c r="K228" s="112"/>
      <c r="L228" s="4"/>
      <c r="M228" s="4"/>
      <c r="N228" s="4"/>
      <c r="O228" s="4"/>
      <c r="P228" s="4"/>
      <c r="Q228" s="4"/>
      <c r="R228" s="84"/>
      <c r="S228" s="4"/>
      <c r="T228" s="4"/>
      <c r="U228" s="107"/>
      <c r="V228" s="33"/>
      <c r="W228" s="104"/>
      <c r="X228" s="94"/>
      <c r="Y228" s="94"/>
      <c r="Z228" s="93"/>
      <c r="AA228" s="8"/>
      <c r="AB228" s="93"/>
      <c r="AC228" s="93"/>
      <c r="AD228" s="93"/>
      <c r="AE228" s="8"/>
      <c r="AF228" s="8"/>
      <c r="AG228" s="8"/>
      <c r="AH228" s="8"/>
      <c r="AI228" s="8"/>
      <c r="AJ228" s="8"/>
      <c r="AK228" s="8"/>
      <c r="AL228" s="8"/>
      <c r="AM228" s="93"/>
      <c r="AN228" s="89"/>
      <c r="AX228"/>
      <c r="AY228"/>
      <c r="AZ228"/>
      <c r="BA228"/>
      <c r="BB228"/>
      <c r="BC228"/>
      <c r="BD228"/>
      <c r="BE228"/>
      <c r="BF228"/>
      <c r="BG228"/>
      <c r="BH228"/>
      <c r="BI228"/>
      <c r="BJ228"/>
      <c r="BK228"/>
      <c r="BL228"/>
      <c r="BM228"/>
      <c r="BN228"/>
      <c r="BO228"/>
      <c r="BP228"/>
      <c r="BQ228"/>
      <c r="BR228"/>
      <c r="BY228"/>
      <c r="BZ228"/>
      <c r="CA228"/>
      <c r="CB228"/>
      <c r="CC228"/>
      <c r="CD228"/>
      <c r="CE228"/>
      <c r="CF228"/>
      <c r="CG228"/>
      <c r="CH228"/>
      <c r="CI228"/>
      <c r="CJ228"/>
      <c r="CK228"/>
      <c r="CL228"/>
      <c r="CM228"/>
      <c r="CN228"/>
      <c r="CO228"/>
      <c r="CP228"/>
      <c r="CQ228"/>
      <c r="CR228"/>
      <c r="CS228"/>
      <c r="CT228"/>
      <c r="CU228"/>
      <c r="CV228"/>
      <c r="CW228"/>
      <c r="CX228"/>
      <c r="CY228"/>
    </row>
    <row r="229" spans="2:103" ht="20.100000000000001" customHeight="1" x14ac:dyDescent="0.25">
      <c r="B229" s="68"/>
      <c r="C229" s="68"/>
      <c r="D229" s="68"/>
      <c r="E229" s="68"/>
      <c r="F229" s="69"/>
      <c r="G229" s="69"/>
      <c r="H229" s="69"/>
      <c r="I229" s="70"/>
      <c r="J229" s="67"/>
      <c r="K229" s="112"/>
      <c r="L229" s="4"/>
      <c r="M229" s="4"/>
      <c r="N229" s="4"/>
      <c r="O229" s="4"/>
      <c r="P229" s="4"/>
      <c r="Q229" s="4"/>
      <c r="R229" s="84"/>
      <c r="S229" s="4"/>
      <c r="T229" s="4"/>
      <c r="U229" s="107"/>
      <c r="V229" s="33"/>
      <c r="W229" s="104"/>
      <c r="X229" s="94"/>
      <c r="Y229" s="94"/>
      <c r="Z229" s="93"/>
      <c r="AA229" s="8"/>
      <c r="AB229" s="93"/>
      <c r="AC229" s="93"/>
      <c r="AD229" s="93"/>
      <c r="AE229" s="8"/>
      <c r="AF229" s="8"/>
      <c r="AG229" s="8"/>
      <c r="AH229" s="8"/>
      <c r="AI229" s="8"/>
      <c r="AJ229" s="8"/>
      <c r="AK229" s="8"/>
      <c r="AL229" s="8"/>
      <c r="AM229" s="93"/>
      <c r="AN229" s="89"/>
      <c r="AX229"/>
      <c r="AY229"/>
      <c r="AZ229"/>
      <c r="BA229"/>
      <c r="BB229"/>
      <c r="BC229"/>
      <c r="BD229"/>
      <c r="BE229"/>
      <c r="BF229"/>
      <c r="BG229"/>
      <c r="BH229"/>
      <c r="BI229"/>
      <c r="BJ229"/>
      <c r="BK229"/>
      <c r="BL229"/>
      <c r="BM229"/>
      <c r="BN229"/>
      <c r="BO229"/>
      <c r="BP229"/>
      <c r="BQ229"/>
      <c r="BR229"/>
      <c r="BY229"/>
      <c r="BZ229"/>
      <c r="CA229"/>
      <c r="CB229"/>
      <c r="CC229"/>
      <c r="CD229"/>
      <c r="CE229"/>
      <c r="CF229"/>
      <c r="CG229"/>
      <c r="CH229"/>
      <c r="CI229"/>
      <c r="CJ229"/>
      <c r="CK229"/>
      <c r="CL229"/>
      <c r="CM229"/>
      <c r="CN229"/>
      <c r="CO229"/>
      <c r="CP229"/>
      <c r="CQ229"/>
      <c r="CR229"/>
      <c r="CS229"/>
      <c r="CT229"/>
      <c r="CU229"/>
      <c r="CV229"/>
      <c r="CW229"/>
      <c r="CX229"/>
      <c r="CY229"/>
    </row>
    <row r="230" spans="2:103" ht="20.100000000000001" customHeight="1" x14ac:dyDescent="0.25">
      <c r="B230" s="68"/>
      <c r="C230" s="68"/>
      <c r="D230" s="68"/>
      <c r="E230" s="68"/>
      <c r="F230" s="69"/>
      <c r="G230" s="69"/>
      <c r="H230" s="69"/>
      <c r="I230" s="70"/>
      <c r="J230" s="67"/>
      <c r="K230" s="112"/>
      <c r="L230" s="4"/>
      <c r="M230" s="4"/>
      <c r="N230" s="4"/>
      <c r="O230" s="4"/>
      <c r="P230" s="4"/>
      <c r="Q230" s="4"/>
      <c r="R230" s="84"/>
      <c r="S230" s="4"/>
      <c r="T230" s="4"/>
      <c r="U230" s="107"/>
      <c r="V230" s="33"/>
      <c r="W230" s="104"/>
      <c r="X230" s="94"/>
      <c r="Y230" s="94"/>
      <c r="Z230" s="93"/>
      <c r="AA230" s="8"/>
      <c r="AB230" s="93"/>
      <c r="AC230" s="93"/>
      <c r="AD230" s="93"/>
      <c r="AE230" s="8"/>
      <c r="AF230" s="8"/>
      <c r="AG230" s="8"/>
      <c r="AH230" s="8"/>
      <c r="AI230" s="8"/>
      <c r="AJ230" s="8"/>
      <c r="AK230" s="8"/>
      <c r="AL230" s="8"/>
      <c r="AM230" s="93"/>
      <c r="AN230" s="89"/>
      <c r="AX230"/>
      <c r="AY230"/>
      <c r="AZ230"/>
      <c r="BA230"/>
      <c r="BB230"/>
      <c r="BC230"/>
      <c r="BD230"/>
      <c r="BE230"/>
      <c r="BF230"/>
      <c r="BG230"/>
      <c r="BH230"/>
      <c r="BI230"/>
      <c r="BJ230"/>
      <c r="BK230"/>
      <c r="BL230"/>
      <c r="BM230"/>
      <c r="BN230"/>
      <c r="BO230"/>
      <c r="BP230"/>
      <c r="BQ230"/>
      <c r="BR230"/>
      <c r="BY230"/>
      <c r="BZ230"/>
      <c r="CA230"/>
      <c r="CB230"/>
      <c r="CC230"/>
      <c r="CD230"/>
      <c r="CE230"/>
      <c r="CF230"/>
      <c r="CG230"/>
      <c r="CH230"/>
      <c r="CI230"/>
      <c r="CJ230"/>
      <c r="CK230"/>
      <c r="CL230"/>
      <c r="CM230"/>
      <c r="CN230"/>
      <c r="CO230"/>
      <c r="CP230"/>
      <c r="CQ230"/>
      <c r="CR230"/>
      <c r="CS230"/>
      <c r="CT230"/>
      <c r="CU230"/>
      <c r="CV230"/>
      <c r="CW230"/>
      <c r="CX230"/>
      <c r="CY230"/>
    </row>
    <row r="231" spans="2:103" ht="20.100000000000001" customHeight="1" x14ac:dyDescent="0.25">
      <c r="B231" s="68"/>
      <c r="C231" s="68"/>
      <c r="D231" s="68"/>
      <c r="E231" s="68"/>
      <c r="F231" s="69"/>
      <c r="G231" s="69"/>
      <c r="H231" s="69"/>
      <c r="I231" s="70"/>
      <c r="J231" s="67"/>
      <c r="K231" s="112"/>
      <c r="L231" s="4"/>
      <c r="M231" s="4"/>
      <c r="N231" s="4"/>
      <c r="O231" s="4"/>
      <c r="P231" s="4"/>
      <c r="Q231" s="4"/>
      <c r="R231" s="84"/>
      <c r="S231" s="4"/>
      <c r="T231" s="4"/>
      <c r="U231" s="107"/>
      <c r="V231" s="33"/>
      <c r="W231" s="104"/>
      <c r="X231" s="94"/>
      <c r="Y231" s="94"/>
      <c r="Z231" s="93"/>
      <c r="AA231" s="8"/>
      <c r="AB231" s="93"/>
      <c r="AC231" s="93"/>
      <c r="AD231" s="93"/>
      <c r="AE231" s="8"/>
      <c r="AF231" s="8"/>
      <c r="AG231" s="8"/>
      <c r="AH231" s="8"/>
      <c r="AI231" s="8"/>
      <c r="AJ231" s="8"/>
      <c r="AK231" s="8"/>
      <c r="AL231" s="8"/>
      <c r="AM231" s="93"/>
      <c r="AN231" s="89"/>
      <c r="AX231"/>
      <c r="AY231"/>
      <c r="AZ231"/>
      <c r="BA231"/>
      <c r="BB231"/>
      <c r="BC231"/>
      <c r="BD231"/>
      <c r="BE231"/>
      <c r="BF231"/>
      <c r="BG231"/>
      <c r="BH231"/>
      <c r="BI231"/>
      <c r="BJ231"/>
      <c r="BK231"/>
      <c r="BL231"/>
      <c r="BM231"/>
      <c r="BN231"/>
      <c r="BO231"/>
      <c r="BP231"/>
      <c r="BQ231"/>
      <c r="BR231"/>
      <c r="BY231"/>
      <c r="BZ231"/>
      <c r="CA231"/>
      <c r="CB231"/>
      <c r="CC231"/>
      <c r="CD231"/>
      <c r="CE231"/>
      <c r="CF231"/>
      <c r="CG231"/>
      <c r="CH231"/>
      <c r="CI231"/>
      <c r="CJ231"/>
      <c r="CK231"/>
      <c r="CL231"/>
      <c r="CM231"/>
      <c r="CN231"/>
      <c r="CO231"/>
      <c r="CP231"/>
      <c r="CQ231"/>
      <c r="CR231"/>
      <c r="CS231"/>
      <c r="CT231"/>
      <c r="CU231"/>
      <c r="CV231"/>
      <c r="CW231"/>
      <c r="CX231"/>
      <c r="CY231"/>
    </row>
    <row r="232" spans="2:103" ht="20.100000000000001" customHeight="1" x14ac:dyDescent="0.25">
      <c r="B232" s="68"/>
      <c r="C232" s="68"/>
      <c r="D232" s="68"/>
      <c r="E232" s="68"/>
      <c r="F232" s="69"/>
      <c r="G232" s="69"/>
      <c r="H232" s="69"/>
      <c r="I232" s="70"/>
      <c r="J232" s="67"/>
      <c r="K232" s="112"/>
      <c r="L232" s="4"/>
      <c r="M232" s="4"/>
      <c r="N232" s="4"/>
      <c r="O232" s="4"/>
      <c r="P232" s="4"/>
      <c r="Q232" s="4"/>
      <c r="R232" s="84"/>
      <c r="S232" s="4"/>
      <c r="T232" s="4"/>
      <c r="U232" s="107"/>
      <c r="V232" s="33"/>
      <c r="W232" s="104"/>
      <c r="X232" s="94"/>
      <c r="Y232" s="94"/>
      <c r="Z232" s="93"/>
      <c r="AA232" s="8"/>
      <c r="AB232" s="93"/>
      <c r="AC232" s="93"/>
      <c r="AD232" s="93"/>
      <c r="AE232" s="8"/>
      <c r="AF232" s="8"/>
      <c r="AG232" s="8"/>
      <c r="AH232" s="8"/>
      <c r="AI232" s="8"/>
      <c r="AJ232" s="8"/>
      <c r="AK232" s="8"/>
      <c r="AL232" s="8"/>
      <c r="AM232" s="93"/>
      <c r="AN232" s="89"/>
      <c r="AX232"/>
      <c r="AY232"/>
      <c r="AZ232"/>
      <c r="BA232"/>
      <c r="BB232"/>
      <c r="BC232"/>
      <c r="BD232"/>
      <c r="BE232"/>
      <c r="BF232"/>
      <c r="BG232"/>
      <c r="BH232"/>
      <c r="BI232"/>
      <c r="BJ232"/>
      <c r="BK232"/>
      <c r="BL232"/>
      <c r="BM232"/>
      <c r="BN232"/>
      <c r="BO232"/>
      <c r="BP232"/>
      <c r="BQ232"/>
      <c r="BR232"/>
      <c r="BY232"/>
      <c r="BZ232"/>
      <c r="CA232"/>
      <c r="CB232"/>
      <c r="CC232"/>
      <c r="CD232"/>
      <c r="CE232"/>
      <c r="CF232"/>
      <c r="CG232"/>
      <c r="CH232"/>
      <c r="CI232"/>
      <c r="CJ232"/>
      <c r="CK232"/>
      <c r="CL232"/>
      <c r="CM232"/>
      <c r="CN232"/>
      <c r="CO232"/>
      <c r="CP232"/>
      <c r="CQ232"/>
      <c r="CR232"/>
      <c r="CS232"/>
      <c r="CT232"/>
      <c r="CU232"/>
      <c r="CV232"/>
      <c r="CW232"/>
      <c r="CX232"/>
      <c r="CY232"/>
    </row>
    <row r="233" spans="2:103" ht="20.100000000000001" customHeight="1" x14ac:dyDescent="0.25">
      <c r="B233" s="68"/>
      <c r="C233" s="68"/>
      <c r="D233" s="68"/>
      <c r="E233" s="68"/>
      <c r="F233" s="69"/>
      <c r="G233" s="69"/>
      <c r="H233" s="69"/>
      <c r="I233" s="70"/>
      <c r="J233" s="67"/>
      <c r="K233" s="112"/>
      <c r="L233" s="4"/>
      <c r="M233" s="4"/>
      <c r="N233" s="4"/>
      <c r="O233" s="4"/>
      <c r="P233" s="4"/>
      <c r="Q233" s="4"/>
      <c r="R233" s="84"/>
      <c r="S233" s="4"/>
      <c r="T233" s="4"/>
      <c r="U233" s="107"/>
      <c r="V233" s="33"/>
      <c r="W233" s="104"/>
      <c r="X233" s="94"/>
      <c r="Y233" s="94"/>
      <c r="Z233" s="93"/>
      <c r="AA233" s="8"/>
      <c r="AB233" s="93"/>
      <c r="AC233" s="93"/>
      <c r="AD233" s="93"/>
      <c r="AE233" s="8"/>
      <c r="AF233" s="8"/>
      <c r="AG233" s="8"/>
      <c r="AH233" s="8"/>
      <c r="AI233" s="8"/>
      <c r="AJ233" s="8"/>
      <c r="AK233" s="8"/>
      <c r="AL233" s="8"/>
      <c r="AM233" s="93"/>
      <c r="AN233" s="89"/>
      <c r="AX233"/>
      <c r="AY233"/>
      <c r="AZ233"/>
      <c r="BA233"/>
      <c r="BB233"/>
      <c r="BC233"/>
      <c r="BD233"/>
      <c r="BE233"/>
      <c r="BF233"/>
      <c r="BG233"/>
      <c r="BH233"/>
      <c r="BI233"/>
      <c r="BJ233"/>
      <c r="BK233"/>
      <c r="BL233"/>
      <c r="BM233"/>
      <c r="BN233"/>
      <c r="BO233"/>
      <c r="BP233"/>
      <c r="BQ233"/>
      <c r="BR233"/>
      <c r="BY233"/>
      <c r="BZ233"/>
      <c r="CA233"/>
      <c r="CB233"/>
      <c r="CC233"/>
      <c r="CD233"/>
      <c r="CE233"/>
      <c r="CF233"/>
      <c r="CG233"/>
      <c r="CH233"/>
      <c r="CI233"/>
      <c r="CJ233"/>
      <c r="CK233"/>
      <c r="CL233"/>
      <c r="CM233"/>
      <c r="CN233"/>
      <c r="CO233"/>
      <c r="CP233"/>
      <c r="CQ233"/>
      <c r="CR233"/>
      <c r="CS233"/>
      <c r="CT233"/>
      <c r="CU233"/>
      <c r="CV233"/>
      <c r="CW233"/>
      <c r="CX233"/>
      <c r="CY233"/>
    </row>
    <row r="234" spans="2:103" ht="20.100000000000001" customHeight="1" x14ac:dyDescent="0.25">
      <c r="B234" s="68"/>
      <c r="C234" s="68"/>
      <c r="D234" s="68"/>
      <c r="E234" s="68"/>
      <c r="F234" s="69"/>
      <c r="G234" s="69"/>
      <c r="H234" s="69"/>
      <c r="I234" s="70"/>
      <c r="J234" s="67"/>
      <c r="K234" s="112"/>
      <c r="L234" s="4"/>
      <c r="M234" s="4"/>
      <c r="N234" s="4"/>
      <c r="O234" s="4"/>
      <c r="P234" s="4"/>
      <c r="Q234" s="4"/>
      <c r="R234" s="84"/>
      <c r="S234" s="4"/>
      <c r="T234" s="4"/>
      <c r="U234" s="107"/>
      <c r="V234" s="33"/>
      <c r="W234" s="104"/>
      <c r="X234" s="94"/>
      <c r="Y234" s="94"/>
      <c r="Z234" s="93"/>
      <c r="AA234" s="8"/>
      <c r="AB234" s="93"/>
      <c r="AC234" s="93"/>
      <c r="AD234" s="93"/>
      <c r="AE234" s="8"/>
      <c r="AF234" s="8"/>
      <c r="AG234" s="8"/>
      <c r="AH234" s="8"/>
      <c r="AI234" s="8"/>
      <c r="AJ234" s="8"/>
      <c r="AK234" s="8"/>
      <c r="AL234" s="8"/>
      <c r="AM234" s="93"/>
      <c r="AN234" s="89"/>
      <c r="AX234"/>
      <c r="AY234"/>
      <c r="AZ234"/>
      <c r="BA234"/>
      <c r="BB234"/>
      <c r="BC234"/>
      <c r="BD234"/>
      <c r="BE234"/>
      <c r="BF234"/>
      <c r="BG234"/>
      <c r="BH234"/>
      <c r="BI234"/>
      <c r="BJ234"/>
      <c r="BK234"/>
      <c r="BL234"/>
      <c r="BM234"/>
      <c r="BN234"/>
      <c r="BO234"/>
      <c r="BP234"/>
      <c r="BQ234"/>
      <c r="BR234"/>
      <c r="BY234"/>
      <c r="BZ234"/>
      <c r="CA234"/>
      <c r="CB234"/>
      <c r="CC234"/>
      <c r="CD234"/>
      <c r="CE234"/>
      <c r="CF234"/>
      <c r="CG234"/>
      <c r="CH234"/>
      <c r="CI234"/>
      <c r="CJ234"/>
      <c r="CK234"/>
      <c r="CL234"/>
      <c r="CM234"/>
      <c r="CN234"/>
      <c r="CO234"/>
      <c r="CP234"/>
      <c r="CQ234"/>
      <c r="CR234"/>
      <c r="CS234"/>
      <c r="CT234"/>
      <c r="CU234"/>
      <c r="CV234"/>
      <c r="CW234"/>
      <c r="CX234"/>
      <c r="CY234"/>
    </row>
    <row r="235" spans="2:103" ht="20.100000000000001" customHeight="1" x14ac:dyDescent="0.25">
      <c r="B235" s="68"/>
      <c r="C235" s="68"/>
      <c r="D235" s="68"/>
      <c r="E235" s="68"/>
      <c r="F235" s="69"/>
      <c r="G235" s="69"/>
      <c r="H235" s="69"/>
      <c r="I235" s="70"/>
      <c r="J235" s="67"/>
      <c r="K235" s="112"/>
      <c r="L235" s="4"/>
      <c r="M235" s="4"/>
      <c r="N235" s="4"/>
      <c r="O235" s="4"/>
      <c r="P235" s="4"/>
      <c r="Q235" s="4"/>
      <c r="R235" s="84"/>
      <c r="S235" s="4"/>
      <c r="T235" s="4"/>
      <c r="U235" s="107"/>
      <c r="V235" s="33"/>
      <c r="W235" s="104"/>
      <c r="X235" s="94"/>
      <c r="Y235" s="94"/>
      <c r="Z235" s="93"/>
      <c r="AA235" s="8"/>
      <c r="AB235" s="93"/>
      <c r="AC235" s="93"/>
      <c r="AD235" s="93"/>
      <c r="AE235" s="8"/>
      <c r="AF235" s="8"/>
      <c r="AG235" s="8"/>
      <c r="AH235" s="8"/>
      <c r="AI235" s="8"/>
      <c r="AJ235" s="8"/>
      <c r="AK235" s="8"/>
      <c r="AL235" s="8"/>
      <c r="AM235" s="93"/>
      <c r="AN235" s="89"/>
      <c r="AX235"/>
      <c r="AY235"/>
      <c r="AZ235"/>
      <c r="BA235"/>
      <c r="BB235"/>
      <c r="BC235"/>
      <c r="BD235"/>
      <c r="BE235"/>
      <c r="BF235"/>
      <c r="BG235"/>
      <c r="BH235"/>
      <c r="BI235"/>
      <c r="BJ235"/>
      <c r="BK235"/>
      <c r="BL235"/>
      <c r="BM235"/>
      <c r="BN235"/>
      <c r="BO235"/>
      <c r="BP235"/>
      <c r="BQ235"/>
      <c r="BR235"/>
      <c r="BY235"/>
      <c r="BZ235"/>
      <c r="CA235"/>
      <c r="CB235"/>
      <c r="CC235"/>
      <c r="CD235"/>
      <c r="CE235"/>
      <c r="CF235"/>
      <c r="CG235"/>
      <c r="CH235"/>
      <c r="CI235"/>
      <c r="CJ235"/>
      <c r="CK235"/>
      <c r="CL235"/>
      <c r="CM235"/>
      <c r="CN235"/>
      <c r="CO235"/>
      <c r="CP235"/>
      <c r="CQ235"/>
      <c r="CR235"/>
      <c r="CS235"/>
      <c r="CT235"/>
      <c r="CU235"/>
      <c r="CV235"/>
      <c r="CW235"/>
      <c r="CX235"/>
      <c r="CY235"/>
    </row>
    <row r="236" spans="2:103" ht="20.100000000000001" customHeight="1" x14ac:dyDescent="0.25">
      <c r="B236" s="68"/>
      <c r="C236" s="68"/>
      <c r="D236" s="68"/>
      <c r="E236" s="68"/>
      <c r="F236" s="69"/>
      <c r="G236" s="69"/>
      <c r="H236" s="69"/>
      <c r="I236" s="70"/>
      <c r="J236" s="67"/>
      <c r="K236" s="112"/>
      <c r="L236" s="4"/>
      <c r="M236" s="4"/>
      <c r="N236" s="4"/>
      <c r="O236" s="4"/>
      <c r="P236" s="4"/>
      <c r="Q236" s="4"/>
      <c r="R236" s="84"/>
      <c r="S236" s="4"/>
      <c r="T236" s="4"/>
      <c r="U236" s="107"/>
      <c r="V236" s="33"/>
      <c r="W236" s="104"/>
      <c r="X236" s="94"/>
      <c r="Y236" s="94"/>
      <c r="Z236" s="93"/>
      <c r="AA236" s="8"/>
      <c r="AB236" s="93"/>
      <c r="AC236" s="93"/>
      <c r="AD236" s="93"/>
      <c r="AE236" s="8"/>
      <c r="AF236" s="8"/>
      <c r="AG236" s="8"/>
      <c r="AH236" s="8"/>
      <c r="AI236" s="8"/>
      <c r="AJ236" s="8"/>
      <c r="AK236" s="8"/>
      <c r="AL236" s="8"/>
      <c r="AM236" s="93"/>
      <c r="AN236" s="89"/>
      <c r="AX236"/>
      <c r="AY236"/>
      <c r="AZ236"/>
      <c r="BA236"/>
      <c r="BB236"/>
      <c r="BC236"/>
      <c r="BD236"/>
      <c r="BE236"/>
      <c r="BF236"/>
      <c r="BG236"/>
      <c r="BH236"/>
      <c r="BI236"/>
      <c r="BJ236"/>
      <c r="BK236"/>
      <c r="BL236"/>
      <c r="BM236"/>
      <c r="BN236"/>
      <c r="BO236"/>
      <c r="BP236"/>
      <c r="BQ236"/>
      <c r="BR236"/>
      <c r="BY236"/>
      <c r="BZ236"/>
      <c r="CA236"/>
      <c r="CB236"/>
      <c r="CC236"/>
      <c r="CD236"/>
      <c r="CE236"/>
      <c r="CF236"/>
      <c r="CG236"/>
      <c r="CH236"/>
      <c r="CI236"/>
      <c r="CJ236"/>
      <c r="CK236"/>
      <c r="CL236"/>
      <c r="CM236"/>
      <c r="CN236"/>
      <c r="CO236"/>
      <c r="CP236"/>
      <c r="CQ236"/>
      <c r="CR236"/>
      <c r="CS236"/>
      <c r="CT236"/>
      <c r="CU236"/>
      <c r="CV236"/>
      <c r="CW236"/>
      <c r="CX236"/>
      <c r="CY236"/>
    </row>
    <row r="237" spans="2:103" ht="20.100000000000001" customHeight="1" x14ac:dyDescent="0.25">
      <c r="B237" s="68"/>
      <c r="C237" s="68"/>
      <c r="D237" s="68"/>
      <c r="E237" s="68"/>
      <c r="F237" s="69"/>
      <c r="G237" s="69"/>
      <c r="H237" s="69"/>
      <c r="I237" s="70"/>
      <c r="J237" s="67"/>
      <c r="K237" s="112"/>
      <c r="L237" s="4"/>
      <c r="M237" s="4"/>
      <c r="N237" s="4"/>
      <c r="O237" s="4"/>
      <c r="P237" s="4"/>
      <c r="Q237" s="4"/>
      <c r="R237" s="84"/>
      <c r="S237" s="4"/>
      <c r="T237" s="4"/>
      <c r="U237" s="107"/>
      <c r="V237" s="33"/>
      <c r="W237" s="104"/>
      <c r="X237" s="94"/>
      <c r="Y237" s="94"/>
      <c r="Z237" s="93"/>
      <c r="AA237" s="8"/>
      <c r="AB237" s="93"/>
      <c r="AC237" s="93"/>
      <c r="AD237" s="93"/>
      <c r="AE237" s="8"/>
      <c r="AF237" s="8"/>
      <c r="AG237" s="8"/>
      <c r="AH237" s="8"/>
      <c r="AI237" s="8"/>
      <c r="AJ237" s="8"/>
      <c r="AK237" s="8"/>
      <c r="AL237" s="8"/>
      <c r="AM237" s="93"/>
      <c r="AN237" s="89"/>
      <c r="AX237"/>
      <c r="AY237"/>
      <c r="AZ237"/>
      <c r="BA237"/>
      <c r="BB237"/>
      <c r="BC237"/>
      <c r="BD237"/>
      <c r="BE237"/>
      <c r="BF237"/>
      <c r="BG237"/>
      <c r="BH237"/>
      <c r="BI237"/>
      <c r="BJ237"/>
      <c r="BK237"/>
      <c r="BL237"/>
      <c r="BM237"/>
      <c r="BN237"/>
      <c r="BO237"/>
      <c r="BP237"/>
      <c r="BQ237"/>
      <c r="BR237"/>
      <c r="BY237"/>
      <c r="BZ237"/>
      <c r="CA237"/>
      <c r="CB237"/>
      <c r="CC237"/>
      <c r="CD237"/>
      <c r="CE237"/>
      <c r="CF237"/>
      <c r="CG237"/>
      <c r="CH237"/>
      <c r="CI237"/>
      <c r="CJ237"/>
      <c r="CK237"/>
      <c r="CL237"/>
      <c r="CM237"/>
      <c r="CN237"/>
      <c r="CO237"/>
      <c r="CP237"/>
      <c r="CQ237"/>
      <c r="CR237"/>
      <c r="CS237"/>
      <c r="CT237"/>
      <c r="CU237"/>
      <c r="CV237"/>
      <c r="CW237"/>
      <c r="CX237"/>
      <c r="CY237"/>
    </row>
    <row r="238" spans="2:103" ht="20.100000000000001" customHeight="1" x14ac:dyDescent="0.25">
      <c r="B238" s="68"/>
      <c r="C238" s="68"/>
      <c r="D238" s="68"/>
      <c r="E238" s="68"/>
      <c r="F238" s="69"/>
      <c r="G238" s="69"/>
      <c r="H238" s="69"/>
      <c r="I238" s="70"/>
      <c r="J238" s="67"/>
      <c r="K238" s="112"/>
      <c r="L238" s="4"/>
      <c r="M238" s="4"/>
      <c r="N238" s="4"/>
      <c r="O238" s="4"/>
      <c r="P238" s="4"/>
      <c r="Q238" s="4"/>
      <c r="R238" s="84"/>
      <c r="S238" s="4"/>
      <c r="T238" s="4"/>
      <c r="U238" s="107"/>
      <c r="V238" s="33"/>
      <c r="W238" s="104"/>
      <c r="X238" s="94"/>
      <c r="Y238" s="94"/>
      <c r="Z238" s="93"/>
      <c r="AA238" s="8"/>
      <c r="AB238" s="93"/>
      <c r="AC238" s="93"/>
      <c r="AD238" s="93"/>
      <c r="AE238" s="8"/>
      <c r="AF238" s="8"/>
      <c r="AG238" s="8"/>
      <c r="AH238" s="8"/>
      <c r="AI238" s="8"/>
      <c r="AJ238" s="8"/>
      <c r="AK238" s="8"/>
      <c r="AL238" s="8"/>
      <c r="AM238" s="93"/>
      <c r="AN238" s="89"/>
      <c r="AX238"/>
      <c r="AY238"/>
      <c r="AZ238"/>
      <c r="BA238"/>
      <c r="BB238"/>
      <c r="BC238"/>
      <c r="BD238"/>
      <c r="BE238"/>
      <c r="BF238"/>
      <c r="BG238"/>
      <c r="BH238"/>
      <c r="BI238"/>
      <c r="BJ238"/>
      <c r="BK238"/>
      <c r="BL238"/>
      <c r="BM238"/>
      <c r="BN238"/>
      <c r="BO238"/>
      <c r="BP238"/>
      <c r="BQ238"/>
      <c r="BR238"/>
      <c r="BY238"/>
      <c r="BZ238"/>
      <c r="CA238"/>
      <c r="CB238"/>
      <c r="CC238"/>
      <c r="CD238"/>
      <c r="CE238"/>
      <c r="CF238"/>
      <c r="CG238"/>
      <c r="CH238"/>
      <c r="CI238"/>
      <c r="CJ238"/>
      <c r="CK238"/>
      <c r="CL238"/>
      <c r="CM238"/>
      <c r="CN238"/>
      <c r="CO238"/>
      <c r="CP238"/>
      <c r="CQ238"/>
      <c r="CR238"/>
      <c r="CS238"/>
      <c r="CT238"/>
      <c r="CU238"/>
      <c r="CV238"/>
      <c r="CW238"/>
      <c r="CX238"/>
      <c r="CY238"/>
    </row>
    <row r="239" spans="2:103" ht="20.100000000000001" customHeight="1" x14ac:dyDescent="0.25">
      <c r="B239" s="68"/>
      <c r="C239" s="68"/>
      <c r="D239" s="68"/>
      <c r="E239" s="68"/>
      <c r="F239" s="69"/>
      <c r="G239" s="69"/>
      <c r="H239" s="69"/>
      <c r="I239" s="70"/>
      <c r="J239" s="67"/>
      <c r="K239" s="112"/>
      <c r="L239" s="4"/>
      <c r="M239" s="4"/>
      <c r="N239" s="4"/>
      <c r="O239" s="4"/>
      <c r="P239" s="4"/>
      <c r="Q239" s="4"/>
      <c r="R239" s="84"/>
      <c r="S239" s="4"/>
      <c r="T239" s="4"/>
      <c r="U239" s="107"/>
      <c r="V239" s="33"/>
      <c r="W239" s="104"/>
      <c r="X239" s="94"/>
      <c r="Y239" s="94"/>
      <c r="Z239" s="93"/>
      <c r="AA239" s="8"/>
      <c r="AB239" s="93"/>
      <c r="AC239" s="93"/>
      <c r="AD239" s="93"/>
      <c r="AE239" s="8"/>
      <c r="AF239" s="8"/>
      <c r="AG239" s="8"/>
      <c r="AH239" s="8"/>
      <c r="AI239" s="8"/>
      <c r="AJ239" s="8"/>
      <c r="AK239" s="8"/>
      <c r="AL239" s="8"/>
      <c r="AM239" s="93"/>
      <c r="AN239" s="89"/>
      <c r="AX239"/>
      <c r="AY239"/>
      <c r="AZ239"/>
      <c r="BA239"/>
      <c r="BB239"/>
      <c r="BC239"/>
      <c r="BD239"/>
      <c r="BE239"/>
      <c r="BF239"/>
      <c r="BG239"/>
      <c r="BH239"/>
      <c r="BI239"/>
      <c r="BJ239"/>
      <c r="BK239"/>
      <c r="BL239"/>
      <c r="BM239"/>
      <c r="BN239"/>
      <c r="BO239"/>
      <c r="BP239"/>
      <c r="BQ239"/>
      <c r="BR239"/>
      <c r="BY239"/>
      <c r="BZ239"/>
      <c r="CA239"/>
      <c r="CB239"/>
      <c r="CC239"/>
      <c r="CD239"/>
      <c r="CE239"/>
      <c r="CF239"/>
      <c r="CG239"/>
      <c r="CH239"/>
      <c r="CI239"/>
      <c r="CJ239"/>
      <c r="CK239"/>
      <c r="CL239"/>
      <c r="CM239"/>
      <c r="CN239"/>
      <c r="CO239"/>
      <c r="CP239"/>
      <c r="CQ239"/>
      <c r="CR239"/>
      <c r="CS239"/>
      <c r="CT239"/>
      <c r="CU239"/>
      <c r="CV239"/>
      <c r="CW239"/>
      <c r="CX239"/>
      <c r="CY239"/>
    </row>
    <row r="240" spans="2:103" ht="20.100000000000001" customHeight="1" x14ac:dyDescent="0.25">
      <c r="B240" s="68"/>
      <c r="C240" s="68"/>
      <c r="D240" s="68"/>
      <c r="E240" s="68"/>
      <c r="F240" s="69"/>
      <c r="G240" s="69"/>
      <c r="H240" s="69"/>
      <c r="I240" s="70"/>
      <c r="J240" s="67"/>
      <c r="K240" s="112"/>
      <c r="L240" s="4"/>
      <c r="M240" s="4"/>
      <c r="N240" s="4"/>
      <c r="O240" s="4"/>
      <c r="P240" s="4"/>
      <c r="Q240" s="4"/>
      <c r="R240" s="84"/>
      <c r="S240" s="4"/>
      <c r="T240" s="4"/>
      <c r="U240" s="107"/>
      <c r="V240" s="33"/>
      <c r="W240" s="104"/>
      <c r="X240" s="94"/>
      <c r="Y240" s="94"/>
      <c r="Z240" s="93"/>
      <c r="AA240" s="8"/>
      <c r="AB240" s="93"/>
      <c r="AC240" s="93"/>
      <c r="AD240" s="93"/>
      <c r="AE240" s="8"/>
      <c r="AF240" s="8"/>
      <c r="AG240" s="8"/>
      <c r="AH240" s="8"/>
      <c r="AI240" s="8"/>
      <c r="AJ240" s="8"/>
      <c r="AK240" s="8"/>
      <c r="AL240" s="8"/>
      <c r="AM240" s="93"/>
      <c r="AN240" s="89"/>
      <c r="AX240"/>
      <c r="AY240"/>
      <c r="AZ240"/>
      <c r="BA240"/>
      <c r="BB240"/>
      <c r="BC240"/>
      <c r="BD240"/>
      <c r="BE240"/>
      <c r="BF240"/>
      <c r="BG240"/>
      <c r="BH240"/>
      <c r="BI240"/>
      <c r="BJ240"/>
      <c r="BK240"/>
      <c r="BL240"/>
      <c r="BM240"/>
      <c r="BN240"/>
      <c r="BO240"/>
      <c r="BP240"/>
      <c r="BQ240"/>
      <c r="BR240"/>
      <c r="BY240"/>
      <c r="BZ240"/>
      <c r="CA240"/>
      <c r="CB240"/>
      <c r="CC240"/>
      <c r="CD240"/>
      <c r="CE240"/>
      <c r="CF240"/>
      <c r="CG240"/>
      <c r="CH240"/>
      <c r="CI240"/>
      <c r="CJ240"/>
      <c r="CK240"/>
      <c r="CL240"/>
      <c r="CM240"/>
      <c r="CN240"/>
      <c r="CO240"/>
      <c r="CP240"/>
      <c r="CQ240"/>
      <c r="CR240"/>
      <c r="CS240"/>
      <c r="CT240"/>
      <c r="CU240"/>
      <c r="CV240"/>
      <c r="CW240"/>
      <c r="CX240"/>
      <c r="CY240"/>
    </row>
    <row r="241" spans="2:103" ht="20.100000000000001" customHeight="1" x14ac:dyDescent="0.25">
      <c r="B241" s="68"/>
      <c r="C241" s="68"/>
      <c r="D241" s="68"/>
      <c r="E241" s="68"/>
      <c r="F241" s="69"/>
      <c r="G241" s="69"/>
      <c r="H241" s="69"/>
      <c r="I241" s="70"/>
      <c r="J241" s="67"/>
      <c r="K241" s="112"/>
      <c r="L241" s="4"/>
      <c r="M241" s="4"/>
      <c r="N241" s="4"/>
      <c r="O241" s="4"/>
      <c r="P241" s="4"/>
      <c r="Q241" s="4"/>
      <c r="R241" s="84"/>
      <c r="S241" s="4"/>
      <c r="T241" s="4"/>
      <c r="U241" s="107"/>
      <c r="V241" s="33"/>
      <c r="W241" s="104"/>
      <c r="X241" s="94"/>
      <c r="Y241" s="94"/>
      <c r="Z241" s="93"/>
      <c r="AA241" s="8"/>
      <c r="AB241" s="93"/>
      <c r="AC241" s="93"/>
      <c r="AD241" s="93"/>
      <c r="AE241" s="8"/>
      <c r="AF241" s="8"/>
      <c r="AG241" s="8"/>
      <c r="AH241" s="8"/>
      <c r="AI241" s="8"/>
      <c r="AJ241" s="8"/>
      <c r="AK241" s="8"/>
      <c r="AL241" s="8"/>
      <c r="AM241" s="93"/>
      <c r="AN241" s="89"/>
      <c r="AX241"/>
      <c r="AY241"/>
      <c r="AZ241"/>
      <c r="BA241"/>
      <c r="BB241"/>
      <c r="BC241"/>
      <c r="BD241"/>
      <c r="BE241"/>
      <c r="BF241"/>
      <c r="BG241"/>
      <c r="BH241"/>
      <c r="BI241"/>
      <c r="BJ241"/>
      <c r="BK241"/>
      <c r="BL241"/>
      <c r="BM241"/>
      <c r="BN241"/>
      <c r="BO241"/>
      <c r="BP241"/>
      <c r="BQ241"/>
      <c r="BR241"/>
      <c r="BY241"/>
      <c r="BZ241"/>
      <c r="CA241"/>
      <c r="CB241"/>
      <c r="CC241"/>
      <c r="CD241"/>
      <c r="CE241"/>
      <c r="CF241"/>
      <c r="CG241"/>
      <c r="CH241"/>
      <c r="CI241"/>
      <c r="CJ241"/>
      <c r="CK241"/>
      <c r="CL241"/>
      <c r="CM241"/>
      <c r="CN241"/>
      <c r="CO241"/>
      <c r="CP241"/>
      <c r="CQ241"/>
      <c r="CR241"/>
      <c r="CS241"/>
      <c r="CT241"/>
      <c r="CU241"/>
      <c r="CV241"/>
      <c r="CW241"/>
      <c r="CX241"/>
      <c r="CY241"/>
    </row>
    <row r="242" spans="2:103" ht="20.100000000000001" customHeight="1" x14ac:dyDescent="0.25">
      <c r="B242" s="68"/>
      <c r="C242" s="68"/>
      <c r="D242" s="68"/>
      <c r="E242" s="68"/>
      <c r="F242" s="69"/>
      <c r="G242" s="69"/>
      <c r="H242" s="69"/>
      <c r="I242" s="70"/>
      <c r="J242" s="67"/>
      <c r="K242" s="112"/>
      <c r="L242" s="4"/>
      <c r="M242" s="4"/>
      <c r="N242" s="4"/>
      <c r="O242" s="4"/>
      <c r="P242" s="4"/>
      <c r="Q242" s="4"/>
      <c r="R242" s="84"/>
      <c r="S242" s="4"/>
      <c r="T242" s="4"/>
      <c r="U242" s="107"/>
      <c r="V242" s="33"/>
      <c r="W242" s="104"/>
      <c r="X242" s="94"/>
      <c r="Y242" s="94"/>
      <c r="Z242" s="93"/>
      <c r="AA242" s="8"/>
      <c r="AB242" s="93"/>
      <c r="AC242" s="93"/>
      <c r="AD242" s="93"/>
      <c r="AE242" s="8"/>
      <c r="AF242" s="8"/>
      <c r="AG242" s="8"/>
      <c r="AH242" s="8"/>
      <c r="AI242" s="8"/>
      <c r="AJ242" s="8"/>
      <c r="AK242" s="8"/>
      <c r="AL242" s="8"/>
      <c r="AM242" s="93"/>
      <c r="AN242" s="89"/>
      <c r="AX242"/>
      <c r="AY242"/>
      <c r="AZ242"/>
      <c r="BA242"/>
      <c r="BB242"/>
      <c r="BC242"/>
      <c r="BD242"/>
      <c r="BE242"/>
      <c r="BF242"/>
      <c r="BG242"/>
      <c r="BH242"/>
      <c r="BI242"/>
      <c r="BJ242"/>
      <c r="BK242"/>
      <c r="BL242"/>
      <c r="BM242"/>
      <c r="BN242"/>
      <c r="BO242"/>
      <c r="BP242"/>
      <c r="BQ242"/>
      <c r="BR242"/>
      <c r="BY242"/>
      <c r="BZ242"/>
      <c r="CA242"/>
      <c r="CB242"/>
      <c r="CC242"/>
      <c r="CD242"/>
      <c r="CE242"/>
      <c r="CF242"/>
      <c r="CG242"/>
      <c r="CH242"/>
      <c r="CI242"/>
      <c r="CJ242"/>
      <c r="CK242"/>
      <c r="CL242"/>
      <c r="CM242"/>
      <c r="CN242"/>
      <c r="CO242"/>
      <c r="CP242"/>
      <c r="CQ242"/>
      <c r="CR242"/>
      <c r="CS242"/>
      <c r="CT242"/>
      <c r="CU242"/>
      <c r="CV242"/>
      <c r="CW242"/>
      <c r="CX242"/>
      <c r="CY242"/>
    </row>
    <row r="243" spans="2:103" ht="20.100000000000001" customHeight="1" x14ac:dyDescent="0.25">
      <c r="B243" s="68"/>
      <c r="C243" s="68"/>
      <c r="D243" s="68"/>
      <c r="E243" s="68"/>
      <c r="F243" s="69"/>
      <c r="G243" s="69"/>
      <c r="H243" s="69"/>
      <c r="I243" s="70"/>
      <c r="J243" s="67"/>
      <c r="K243" s="112"/>
      <c r="L243" s="4"/>
      <c r="M243" s="4"/>
      <c r="N243" s="4"/>
      <c r="O243" s="4"/>
      <c r="P243" s="4"/>
      <c r="Q243" s="4"/>
      <c r="R243" s="84"/>
      <c r="S243" s="4"/>
      <c r="T243" s="4"/>
      <c r="U243" s="107"/>
      <c r="V243" s="33"/>
      <c r="W243" s="104"/>
      <c r="X243" s="94"/>
      <c r="Y243" s="94"/>
      <c r="Z243" s="93"/>
      <c r="AA243" s="8"/>
      <c r="AB243" s="93"/>
      <c r="AC243" s="93"/>
      <c r="AD243" s="93"/>
      <c r="AE243" s="8"/>
      <c r="AF243" s="8"/>
      <c r="AG243" s="8"/>
      <c r="AH243" s="8"/>
      <c r="AI243" s="8"/>
      <c r="AJ243" s="8"/>
      <c r="AK243" s="8"/>
      <c r="AL243" s="8"/>
      <c r="AM243" s="93"/>
      <c r="AN243" s="89"/>
      <c r="AX243"/>
      <c r="AY243"/>
      <c r="AZ243"/>
      <c r="BA243"/>
      <c r="BB243"/>
      <c r="BC243"/>
      <c r="BD243"/>
      <c r="BE243"/>
      <c r="BF243"/>
      <c r="BG243"/>
      <c r="BH243"/>
      <c r="BI243"/>
      <c r="BJ243"/>
      <c r="BK243"/>
      <c r="BL243"/>
      <c r="BM243"/>
      <c r="BN243"/>
      <c r="BO243"/>
      <c r="BP243"/>
      <c r="BQ243"/>
      <c r="BR243"/>
      <c r="BY243"/>
      <c r="BZ243"/>
      <c r="CA243"/>
      <c r="CB243"/>
      <c r="CC243"/>
      <c r="CD243"/>
      <c r="CE243"/>
      <c r="CF243"/>
      <c r="CG243"/>
      <c r="CH243"/>
      <c r="CI243"/>
      <c r="CJ243"/>
      <c r="CK243"/>
      <c r="CL243"/>
      <c r="CM243"/>
      <c r="CN243"/>
      <c r="CO243"/>
      <c r="CP243"/>
      <c r="CQ243"/>
      <c r="CR243"/>
      <c r="CS243"/>
      <c r="CT243"/>
      <c r="CU243"/>
      <c r="CV243"/>
      <c r="CW243"/>
      <c r="CX243"/>
      <c r="CY243"/>
    </row>
    <row r="244" spans="2:103" ht="20.100000000000001" customHeight="1" x14ac:dyDescent="0.25">
      <c r="B244" s="68"/>
      <c r="C244" s="68"/>
      <c r="D244" s="68"/>
      <c r="E244" s="68"/>
      <c r="F244" s="69"/>
      <c r="G244" s="69"/>
      <c r="H244" s="69"/>
      <c r="I244" s="70"/>
      <c r="J244" s="67"/>
      <c r="K244" s="112"/>
      <c r="L244" s="4"/>
      <c r="M244" s="4"/>
      <c r="N244" s="4"/>
      <c r="O244" s="4"/>
      <c r="P244" s="4"/>
      <c r="Q244" s="4"/>
      <c r="R244" s="84"/>
      <c r="S244" s="4"/>
      <c r="T244" s="4"/>
      <c r="U244" s="107"/>
      <c r="V244" s="33"/>
      <c r="W244" s="104"/>
      <c r="X244" s="94"/>
      <c r="Y244" s="94"/>
      <c r="Z244" s="93"/>
      <c r="AA244" s="8"/>
      <c r="AB244" s="93"/>
      <c r="AC244" s="93"/>
      <c r="AD244" s="93"/>
      <c r="AE244" s="8"/>
      <c r="AF244" s="8"/>
      <c r="AG244" s="8"/>
      <c r="AH244" s="8"/>
      <c r="AI244" s="8"/>
      <c r="AJ244" s="8"/>
      <c r="AK244" s="8"/>
      <c r="AL244" s="8"/>
      <c r="AM244" s="93"/>
      <c r="AN244" s="89"/>
      <c r="AX244"/>
      <c r="AY244"/>
      <c r="AZ244"/>
      <c r="BA244"/>
      <c r="BB244"/>
      <c r="BC244"/>
      <c r="BD244"/>
      <c r="BE244"/>
      <c r="BF244"/>
      <c r="BG244"/>
      <c r="BH244"/>
      <c r="BI244"/>
      <c r="BJ244"/>
      <c r="BK244"/>
      <c r="BL244"/>
      <c r="BM244"/>
      <c r="BN244"/>
      <c r="BO244"/>
      <c r="BP244"/>
      <c r="BQ244"/>
      <c r="BR244"/>
      <c r="BY244"/>
      <c r="BZ244"/>
      <c r="CA244"/>
      <c r="CB244"/>
      <c r="CC244"/>
      <c r="CD244"/>
      <c r="CE244"/>
      <c r="CF244"/>
      <c r="CG244"/>
      <c r="CH244"/>
      <c r="CI244"/>
      <c r="CJ244"/>
      <c r="CK244"/>
      <c r="CL244"/>
      <c r="CM244"/>
      <c r="CN244"/>
      <c r="CO244"/>
      <c r="CP244"/>
      <c r="CQ244"/>
      <c r="CR244"/>
      <c r="CS244"/>
      <c r="CT244"/>
      <c r="CU244"/>
      <c r="CV244"/>
      <c r="CW244"/>
      <c r="CX244"/>
      <c r="CY244"/>
    </row>
    <row r="245" spans="2:103" ht="20.100000000000001" customHeight="1" x14ac:dyDescent="0.25">
      <c r="B245" s="68"/>
      <c r="C245" s="68"/>
      <c r="D245" s="68"/>
      <c r="E245" s="68"/>
      <c r="F245" s="69"/>
      <c r="G245" s="69"/>
      <c r="H245" s="69"/>
      <c r="I245" s="70"/>
      <c r="J245" s="67"/>
      <c r="K245" s="112"/>
      <c r="L245" s="4"/>
      <c r="M245" s="4"/>
      <c r="N245" s="4"/>
      <c r="O245" s="4"/>
      <c r="P245" s="4"/>
      <c r="Q245" s="4"/>
      <c r="R245" s="84"/>
      <c r="S245" s="4"/>
      <c r="T245" s="4"/>
      <c r="U245" s="107"/>
      <c r="V245" s="33"/>
      <c r="W245" s="104"/>
      <c r="X245" s="94"/>
      <c r="Y245" s="94"/>
      <c r="Z245" s="93"/>
      <c r="AA245" s="8"/>
      <c r="AB245" s="93"/>
      <c r="AC245" s="93"/>
      <c r="AD245" s="93"/>
      <c r="AE245" s="8"/>
      <c r="AF245" s="8"/>
      <c r="AG245" s="8"/>
      <c r="AH245" s="8"/>
      <c r="AI245" s="8"/>
      <c r="AJ245" s="8"/>
      <c r="AK245" s="8"/>
      <c r="AL245" s="8"/>
      <c r="AM245" s="93"/>
      <c r="AN245" s="89"/>
      <c r="AX245"/>
      <c r="AY245"/>
      <c r="AZ245"/>
      <c r="BA245"/>
      <c r="BB245"/>
      <c r="BC245"/>
      <c r="BD245"/>
      <c r="BE245"/>
      <c r="BF245"/>
      <c r="BG245"/>
      <c r="BH245"/>
      <c r="BI245"/>
      <c r="BJ245"/>
      <c r="BK245"/>
      <c r="BL245"/>
      <c r="BM245"/>
      <c r="BN245"/>
      <c r="BO245"/>
      <c r="BP245"/>
      <c r="BQ245"/>
      <c r="BR245"/>
      <c r="BY245"/>
      <c r="BZ245"/>
      <c r="CA245"/>
      <c r="CB245"/>
      <c r="CC245"/>
      <c r="CD245"/>
      <c r="CE245"/>
      <c r="CF245"/>
      <c r="CG245"/>
      <c r="CH245"/>
      <c r="CI245"/>
      <c r="CJ245"/>
      <c r="CK245"/>
      <c r="CL245"/>
      <c r="CM245"/>
      <c r="CN245"/>
      <c r="CO245"/>
      <c r="CP245"/>
      <c r="CQ245"/>
      <c r="CR245"/>
      <c r="CS245"/>
      <c r="CT245"/>
      <c r="CU245"/>
      <c r="CV245"/>
      <c r="CW245"/>
      <c r="CX245"/>
      <c r="CY245"/>
    </row>
    <row r="246" spans="2:103" ht="20.100000000000001" customHeight="1" x14ac:dyDescent="0.25">
      <c r="B246" s="68"/>
      <c r="C246" s="68"/>
      <c r="D246" s="68"/>
      <c r="E246" s="68"/>
      <c r="F246" s="69"/>
      <c r="G246" s="69"/>
      <c r="H246" s="69"/>
      <c r="I246" s="70"/>
      <c r="J246" s="67"/>
      <c r="K246" s="112"/>
      <c r="L246" s="4"/>
      <c r="M246" s="4"/>
      <c r="N246" s="4"/>
      <c r="O246" s="4"/>
      <c r="P246" s="4"/>
      <c r="Q246" s="4"/>
      <c r="R246" s="84"/>
      <c r="S246" s="4"/>
      <c r="T246" s="4"/>
      <c r="U246" s="107"/>
      <c r="V246" s="33"/>
      <c r="W246" s="104"/>
      <c r="X246" s="94"/>
      <c r="Y246" s="94"/>
      <c r="Z246" s="93"/>
      <c r="AA246" s="8"/>
      <c r="AB246" s="93"/>
      <c r="AC246" s="93"/>
      <c r="AD246" s="93"/>
      <c r="AE246" s="8"/>
      <c r="AF246" s="8"/>
      <c r="AG246" s="8"/>
      <c r="AH246" s="8"/>
      <c r="AI246" s="8"/>
      <c r="AJ246" s="8"/>
      <c r="AK246" s="8"/>
      <c r="AL246" s="8"/>
      <c r="AM246" s="93"/>
      <c r="AN246" s="89"/>
      <c r="AX246"/>
      <c r="AY246"/>
      <c r="AZ246"/>
      <c r="BA246"/>
      <c r="BB246"/>
      <c r="BC246"/>
      <c r="BD246"/>
      <c r="BE246"/>
      <c r="BF246"/>
      <c r="BG246"/>
      <c r="BH246"/>
      <c r="BI246"/>
      <c r="BJ246"/>
      <c r="BK246"/>
      <c r="BL246"/>
      <c r="BM246"/>
      <c r="BN246"/>
      <c r="BO246"/>
      <c r="BP246"/>
      <c r="BQ246"/>
      <c r="BR246"/>
      <c r="BY246"/>
      <c r="BZ246"/>
      <c r="CA246"/>
      <c r="CB246"/>
      <c r="CC246"/>
      <c r="CD246"/>
      <c r="CE246"/>
      <c r="CF246"/>
      <c r="CG246"/>
      <c r="CH246"/>
      <c r="CI246"/>
      <c r="CJ246"/>
      <c r="CK246"/>
      <c r="CL246"/>
      <c r="CM246"/>
      <c r="CN246"/>
      <c r="CO246"/>
      <c r="CP246"/>
      <c r="CQ246"/>
      <c r="CR246"/>
      <c r="CS246"/>
      <c r="CT246"/>
      <c r="CU246"/>
      <c r="CV246"/>
      <c r="CW246"/>
      <c r="CX246"/>
      <c r="CY246"/>
    </row>
    <row r="247" spans="2:103" ht="20.100000000000001" customHeight="1" x14ac:dyDescent="0.25">
      <c r="B247" s="68"/>
      <c r="C247" s="68"/>
      <c r="D247" s="68"/>
      <c r="E247" s="68"/>
      <c r="F247" s="69"/>
      <c r="G247" s="69"/>
      <c r="H247" s="69"/>
      <c r="I247" s="70"/>
      <c r="J247" s="67"/>
      <c r="K247" s="112"/>
      <c r="L247" s="4"/>
      <c r="M247" s="4"/>
      <c r="N247" s="4"/>
      <c r="O247" s="4"/>
      <c r="P247" s="4"/>
      <c r="Q247" s="4"/>
      <c r="R247" s="84"/>
      <c r="S247" s="4"/>
      <c r="T247" s="4"/>
      <c r="U247" s="107"/>
      <c r="V247" s="33"/>
      <c r="W247" s="104"/>
      <c r="X247" s="94"/>
      <c r="Y247" s="94"/>
      <c r="Z247" s="93"/>
      <c r="AA247" s="8"/>
      <c r="AB247" s="93"/>
      <c r="AC247" s="93"/>
      <c r="AD247" s="93"/>
      <c r="AE247" s="8"/>
      <c r="AF247" s="8"/>
      <c r="AG247" s="8"/>
      <c r="AH247" s="8"/>
      <c r="AI247" s="8"/>
      <c r="AJ247" s="8"/>
      <c r="AK247" s="8"/>
      <c r="AL247" s="8"/>
      <c r="AM247" s="93"/>
      <c r="AN247" s="89"/>
      <c r="AX247"/>
      <c r="AY247"/>
      <c r="AZ247"/>
      <c r="BA247"/>
      <c r="BB247"/>
      <c r="BC247"/>
      <c r="BD247"/>
      <c r="BE247"/>
      <c r="BF247"/>
      <c r="BG247"/>
      <c r="BH247"/>
      <c r="BI247"/>
      <c r="BJ247"/>
      <c r="BK247"/>
      <c r="BL247"/>
      <c r="BM247"/>
      <c r="BN247"/>
      <c r="BO247"/>
      <c r="BP247"/>
      <c r="BQ247"/>
      <c r="BR247"/>
      <c r="BY247"/>
      <c r="BZ247"/>
      <c r="CA247"/>
      <c r="CB247"/>
      <c r="CC247"/>
      <c r="CD247"/>
      <c r="CE247"/>
      <c r="CF247"/>
      <c r="CG247"/>
      <c r="CH247"/>
      <c r="CI247"/>
      <c r="CJ247"/>
      <c r="CK247"/>
      <c r="CL247"/>
      <c r="CM247"/>
      <c r="CN247"/>
      <c r="CO247"/>
      <c r="CP247"/>
      <c r="CQ247"/>
      <c r="CR247"/>
      <c r="CS247"/>
      <c r="CT247"/>
      <c r="CU247"/>
      <c r="CV247"/>
      <c r="CW247"/>
      <c r="CX247"/>
      <c r="CY247"/>
    </row>
    <row r="248" spans="2:103" ht="20.100000000000001" customHeight="1" x14ac:dyDescent="0.25">
      <c r="B248" s="68"/>
      <c r="C248" s="68"/>
      <c r="D248" s="68"/>
      <c r="E248" s="68"/>
      <c r="F248" s="69"/>
      <c r="G248" s="69"/>
      <c r="H248" s="69"/>
      <c r="I248" s="70"/>
      <c r="J248" s="67"/>
      <c r="K248" s="112"/>
      <c r="L248" s="4"/>
      <c r="M248" s="4"/>
      <c r="N248" s="4"/>
      <c r="O248" s="4"/>
      <c r="P248" s="4"/>
      <c r="Q248" s="4"/>
      <c r="R248" s="84"/>
      <c r="S248" s="4"/>
      <c r="T248" s="4"/>
      <c r="U248" s="107"/>
      <c r="V248" s="33"/>
      <c r="W248" s="104"/>
      <c r="X248" s="94"/>
      <c r="Y248" s="94"/>
      <c r="Z248" s="93"/>
      <c r="AA248" s="8"/>
      <c r="AB248" s="93"/>
      <c r="AC248" s="93"/>
      <c r="AD248" s="93"/>
      <c r="AE248" s="8"/>
      <c r="AF248" s="8"/>
      <c r="AG248" s="8"/>
      <c r="AH248" s="8"/>
      <c r="AI248" s="8"/>
      <c r="AJ248" s="8"/>
      <c r="AK248" s="8"/>
      <c r="AL248" s="8"/>
      <c r="AM248" s="93"/>
      <c r="AN248" s="89"/>
      <c r="AX248"/>
      <c r="AY248"/>
      <c r="AZ248"/>
      <c r="BA248"/>
      <c r="BB248"/>
      <c r="BC248"/>
      <c r="BD248"/>
      <c r="BE248"/>
      <c r="BF248"/>
      <c r="BG248"/>
      <c r="BH248"/>
      <c r="BI248"/>
      <c r="BJ248"/>
      <c r="BK248"/>
      <c r="BL248"/>
      <c r="BM248"/>
      <c r="BN248"/>
      <c r="BO248"/>
      <c r="BP248"/>
      <c r="BQ248"/>
      <c r="BR248"/>
      <c r="BY248"/>
      <c r="BZ248"/>
      <c r="CA248"/>
      <c r="CB248"/>
      <c r="CC248"/>
      <c r="CD248"/>
      <c r="CE248"/>
      <c r="CF248"/>
      <c r="CG248"/>
      <c r="CH248"/>
      <c r="CI248"/>
      <c r="CJ248"/>
      <c r="CK248"/>
      <c r="CL248"/>
      <c r="CM248"/>
      <c r="CN248"/>
      <c r="CO248"/>
      <c r="CP248"/>
      <c r="CQ248"/>
      <c r="CR248"/>
      <c r="CS248"/>
      <c r="CT248"/>
      <c r="CU248"/>
      <c r="CV248"/>
      <c r="CW248"/>
      <c r="CX248"/>
      <c r="CY248"/>
    </row>
    <row r="249" spans="2:103" ht="20.100000000000001" customHeight="1" x14ac:dyDescent="0.25">
      <c r="B249" s="68"/>
      <c r="C249" s="68"/>
      <c r="D249" s="68"/>
      <c r="E249" s="68"/>
      <c r="F249" s="69"/>
      <c r="G249" s="69"/>
      <c r="H249" s="69"/>
      <c r="I249" s="70"/>
      <c r="J249" s="67"/>
      <c r="K249" s="112"/>
      <c r="L249" s="4"/>
      <c r="M249" s="4"/>
      <c r="N249" s="4"/>
      <c r="O249" s="4"/>
      <c r="P249" s="4"/>
      <c r="Q249" s="4"/>
      <c r="R249" s="84"/>
      <c r="S249" s="4"/>
      <c r="T249" s="4"/>
      <c r="U249" s="107"/>
      <c r="V249" s="33"/>
      <c r="W249" s="104"/>
      <c r="X249" s="94"/>
      <c r="Y249" s="94"/>
      <c r="Z249" s="93"/>
      <c r="AA249" s="8"/>
      <c r="AB249" s="93"/>
      <c r="AC249" s="93"/>
      <c r="AD249" s="93"/>
      <c r="AE249" s="8"/>
      <c r="AF249" s="8"/>
      <c r="AG249" s="8"/>
      <c r="AH249" s="8"/>
      <c r="AI249" s="8"/>
      <c r="AJ249" s="8"/>
      <c r="AK249" s="8"/>
      <c r="AL249" s="8"/>
      <c r="AM249" s="93"/>
      <c r="AN249" s="89"/>
      <c r="AX249"/>
      <c r="AY249"/>
      <c r="AZ249"/>
      <c r="BA249"/>
      <c r="BB249"/>
      <c r="BC249"/>
      <c r="BD249"/>
      <c r="BE249"/>
      <c r="BF249"/>
      <c r="BG249"/>
      <c r="BH249"/>
      <c r="BI249"/>
      <c r="BJ249"/>
      <c r="BK249"/>
      <c r="BL249"/>
      <c r="BM249"/>
      <c r="BN249"/>
      <c r="BO249"/>
      <c r="BP249"/>
      <c r="BQ249"/>
      <c r="BR249"/>
      <c r="BY249"/>
      <c r="BZ249"/>
      <c r="CA249"/>
      <c r="CB249"/>
      <c r="CC249"/>
      <c r="CD249"/>
      <c r="CE249"/>
      <c r="CF249"/>
      <c r="CG249"/>
      <c r="CH249"/>
      <c r="CI249"/>
      <c r="CJ249"/>
      <c r="CK249"/>
      <c r="CL249"/>
      <c r="CM249"/>
      <c r="CN249"/>
      <c r="CO249"/>
      <c r="CP249"/>
      <c r="CQ249"/>
      <c r="CR249"/>
      <c r="CS249"/>
      <c r="CT249"/>
      <c r="CU249"/>
      <c r="CV249"/>
      <c r="CW249"/>
      <c r="CX249"/>
      <c r="CY249"/>
    </row>
    <row r="250" spans="2:103" ht="20.100000000000001" customHeight="1" x14ac:dyDescent="0.25">
      <c r="B250" s="68"/>
      <c r="C250" s="68"/>
      <c r="D250" s="68"/>
      <c r="E250" s="68"/>
      <c r="F250" s="69"/>
      <c r="G250" s="69"/>
      <c r="H250" s="69"/>
      <c r="I250" s="70"/>
      <c r="J250" s="67"/>
      <c r="K250" s="112"/>
      <c r="L250" s="4"/>
      <c r="M250" s="4"/>
      <c r="N250" s="4"/>
      <c r="O250" s="4"/>
      <c r="P250" s="4"/>
      <c r="Q250" s="4"/>
      <c r="R250" s="84"/>
      <c r="S250" s="4"/>
      <c r="T250" s="4"/>
      <c r="U250" s="107"/>
      <c r="V250" s="33"/>
      <c r="W250" s="104"/>
      <c r="X250" s="94"/>
      <c r="Y250" s="94"/>
      <c r="Z250" s="93"/>
      <c r="AA250" s="8"/>
      <c r="AB250" s="93"/>
      <c r="AC250" s="93"/>
      <c r="AD250" s="93"/>
      <c r="AE250" s="8"/>
      <c r="AF250" s="8"/>
      <c r="AG250" s="8"/>
      <c r="AH250" s="8"/>
      <c r="AI250" s="8"/>
      <c r="AJ250" s="8"/>
      <c r="AK250" s="8"/>
      <c r="AL250" s="8"/>
      <c r="AM250" s="93"/>
      <c r="AN250" s="89"/>
      <c r="AX250"/>
      <c r="AY250"/>
      <c r="AZ250"/>
      <c r="BA250"/>
      <c r="BB250"/>
      <c r="BC250"/>
      <c r="BD250"/>
      <c r="BE250"/>
      <c r="BF250"/>
      <c r="BG250"/>
      <c r="BH250"/>
      <c r="BI250"/>
      <c r="BJ250"/>
      <c r="BK250"/>
      <c r="BL250"/>
      <c r="BM250"/>
      <c r="BN250"/>
      <c r="BO250"/>
      <c r="BP250"/>
      <c r="BQ250"/>
      <c r="BR250"/>
      <c r="BY250"/>
      <c r="BZ250"/>
      <c r="CA250"/>
      <c r="CB250"/>
      <c r="CC250"/>
      <c r="CD250"/>
      <c r="CE250"/>
      <c r="CF250"/>
      <c r="CG250"/>
      <c r="CH250"/>
      <c r="CI250"/>
      <c r="CJ250"/>
      <c r="CK250"/>
      <c r="CL250"/>
      <c r="CM250"/>
      <c r="CN250"/>
      <c r="CO250"/>
      <c r="CP250"/>
      <c r="CQ250"/>
      <c r="CR250"/>
      <c r="CS250"/>
      <c r="CT250"/>
      <c r="CU250"/>
      <c r="CV250"/>
      <c r="CW250"/>
      <c r="CX250"/>
      <c r="CY250"/>
    </row>
    <row r="251" spans="2:103" ht="20.100000000000001" customHeight="1" x14ac:dyDescent="0.25">
      <c r="B251" s="68"/>
      <c r="C251" s="68"/>
      <c r="D251" s="68"/>
      <c r="E251" s="68"/>
      <c r="F251" s="69"/>
      <c r="G251" s="69"/>
      <c r="H251" s="69"/>
      <c r="I251" s="70"/>
      <c r="J251" s="67"/>
      <c r="K251" s="112"/>
      <c r="L251" s="4"/>
      <c r="M251" s="4"/>
      <c r="N251" s="4"/>
      <c r="O251" s="4"/>
      <c r="P251" s="4"/>
      <c r="Q251" s="4"/>
      <c r="R251" s="84"/>
      <c r="S251" s="4"/>
      <c r="T251" s="4"/>
      <c r="U251" s="107"/>
      <c r="V251" s="33"/>
      <c r="W251" s="104"/>
      <c r="X251" s="94"/>
      <c r="Y251" s="94"/>
      <c r="Z251" s="93"/>
      <c r="AA251" s="8"/>
      <c r="AB251" s="93"/>
      <c r="AC251" s="93"/>
      <c r="AD251" s="93"/>
      <c r="AE251" s="8"/>
      <c r="AF251" s="8"/>
      <c r="AG251" s="8"/>
      <c r="AH251" s="8"/>
      <c r="AI251" s="8"/>
      <c r="AJ251" s="8"/>
      <c r="AK251" s="8"/>
      <c r="AL251" s="8"/>
      <c r="AM251" s="93"/>
      <c r="AN251" s="89"/>
      <c r="AX251"/>
      <c r="AY251"/>
      <c r="AZ251"/>
      <c r="BA251"/>
      <c r="BB251"/>
      <c r="BC251"/>
      <c r="BD251"/>
      <c r="BE251"/>
      <c r="BF251"/>
      <c r="BG251"/>
      <c r="BH251"/>
      <c r="BI251"/>
      <c r="BJ251"/>
      <c r="BK251"/>
      <c r="BL251"/>
      <c r="BM251"/>
      <c r="BN251"/>
      <c r="BO251"/>
      <c r="BP251"/>
      <c r="BQ251"/>
      <c r="BR251"/>
      <c r="BY251"/>
      <c r="BZ251"/>
      <c r="CA251"/>
      <c r="CB251"/>
      <c r="CC251"/>
      <c r="CD251"/>
      <c r="CE251"/>
      <c r="CF251"/>
      <c r="CG251"/>
      <c r="CH251"/>
      <c r="CI251"/>
      <c r="CJ251"/>
      <c r="CK251"/>
      <c r="CL251"/>
      <c r="CM251"/>
      <c r="CN251"/>
      <c r="CO251"/>
      <c r="CP251"/>
      <c r="CQ251"/>
      <c r="CR251"/>
      <c r="CS251"/>
      <c r="CT251"/>
      <c r="CU251"/>
      <c r="CV251"/>
      <c r="CW251"/>
      <c r="CX251"/>
      <c r="CY251"/>
    </row>
    <row r="252" spans="2:103" ht="20.100000000000001" customHeight="1" x14ac:dyDescent="0.25">
      <c r="B252" s="68"/>
      <c r="C252" s="68"/>
      <c r="D252" s="68"/>
      <c r="E252" s="68"/>
      <c r="F252" s="69"/>
      <c r="G252" s="69"/>
      <c r="H252" s="69"/>
      <c r="I252" s="70"/>
      <c r="J252" s="67"/>
      <c r="K252" s="112"/>
      <c r="L252" s="4"/>
      <c r="M252" s="4"/>
      <c r="N252" s="4"/>
      <c r="O252" s="4"/>
      <c r="P252" s="4"/>
      <c r="Q252" s="4"/>
      <c r="R252" s="84"/>
      <c r="S252" s="4"/>
      <c r="T252" s="4"/>
      <c r="U252" s="107"/>
      <c r="V252" s="33"/>
      <c r="W252" s="104"/>
      <c r="X252" s="94"/>
      <c r="Y252" s="94"/>
      <c r="Z252" s="93"/>
      <c r="AA252" s="8"/>
      <c r="AB252" s="93"/>
      <c r="AC252" s="93"/>
      <c r="AD252" s="93"/>
      <c r="AE252" s="8"/>
      <c r="AF252" s="8"/>
      <c r="AG252" s="8"/>
      <c r="AH252" s="8"/>
      <c r="AI252" s="8"/>
      <c r="AJ252" s="8"/>
      <c r="AK252" s="8"/>
      <c r="AL252" s="8"/>
      <c r="AM252" s="93"/>
      <c r="AN252" s="89"/>
      <c r="AX252"/>
      <c r="AY252"/>
      <c r="AZ252"/>
      <c r="BA252"/>
      <c r="BB252"/>
      <c r="BC252"/>
      <c r="BD252"/>
      <c r="BE252"/>
      <c r="BF252"/>
      <c r="BG252"/>
      <c r="BH252"/>
      <c r="BI252"/>
      <c r="BJ252"/>
      <c r="BK252"/>
      <c r="BL252"/>
      <c r="BM252"/>
      <c r="BN252"/>
      <c r="BO252"/>
      <c r="BP252"/>
      <c r="BQ252"/>
      <c r="BR252"/>
      <c r="BY252"/>
      <c r="BZ252"/>
      <c r="CA252"/>
      <c r="CB252"/>
      <c r="CC252"/>
      <c r="CD252"/>
      <c r="CE252"/>
      <c r="CF252"/>
      <c r="CG252"/>
      <c r="CH252"/>
      <c r="CI252"/>
      <c r="CJ252"/>
      <c r="CK252"/>
      <c r="CL252"/>
      <c r="CM252"/>
      <c r="CN252"/>
      <c r="CO252"/>
      <c r="CP252"/>
      <c r="CQ252"/>
      <c r="CR252"/>
      <c r="CS252"/>
      <c r="CT252"/>
      <c r="CU252"/>
      <c r="CV252"/>
      <c r="CW252"/>
      <c r="CX252"/>
      <c r="CY252"/>
    </row>
    <row r="253" spans="2:103" ht="20.100000000000001" customHeight="1" x14ac:dyDescent="0.25">
      <c r="B253" s="68"/>
      <c r="C253" s="68"/>
      <c r="D253" s="68"/>
      <c r="E253" s="68"/>
      <c r="F253" s="69"/>
      <c r="G253" s="69"/>
      <c r="H253" s="69"/>
      <c r="I253" s="70"/>
      <c r="J253" s="67"/>
      <c r="K253" s="112"/>
      <c r="L253" s="4"/>
      <c r="M253" s="4"/>
      <c r="N253" s="4"/>
      <c r="O253" s="4"/>
      <c r="P253" s="4"/>
      <c r="Q253" s="4"/>
      <c r="R253" s="84"/>
      <c r="S253" s="4"/>
      <c r="T253" s="4"/>
      <c r="U253" s="107"/>
      <c r="V253" s="33"/>
      <c r="W253" s="104"/>
      <c r="X253" s="94"/>
      <c r="Y253" s="94"/>
      <c r="Z253" s="93"/>
      <c r="AA253" s="8"/>
      <c r="AB253" s="93"/>
      <c r="AC253" s="93"/>
      <c r="AD253" s="93"/>
      <c r="AE253" s="8"/>
      <c r="AF253" s="8"/>
      <c r="AG253" s="8"/>
      <c r="AH253" s="8"/>
      <c r="AI253" s="8"/>
      <c r="AJ253" s="8"/>
      <c r="AK253" s="8"/>
      <c r="AL253" s="8"/>
      <c r="AM253" s="93"/>
      <c r="AN253" s="89"/>
      <c r="AX253"/>
      <c r="AY253"/>
      <c r="AZ253"/>
      <c r="BA253"/>
      <c r="BB253"/>
      <c r="BC253"/>
      <c r="BD253"/>
      <c r="BE253"/>
      <c r="BF253"/>
      <c r="BG253"/>
      <c r="BH253"/>
      <c r="BI253"/>
      <c r="BJ253"/>
      <c r="BK253"/>
      <c r="BL253"/>
      <c r="BM253"/>
      <c r="BN253"/>
      <c r="BO253"/>
      <c r="BP253"/>
      <c r="BQ253"/>
      <c r="BR253"/>
      <c r="BY253"/>
      <c r="BZ253"/>
      <c r="CA253"/>
      <c r="CB253"/>
      <c r="CC253"/>
      <c r="CD253"/>
      <c r="CE253"/>
      <c r="CF253"/>
      <c r="CG253"/>
      <c r="CH253"/>
      <c r="CI253"/>
      <c r="CJ253"/>
      <c r="CK253"/>
      <c r="CL253"/>
      <c r="CM253"/>
      <c r="CN253"/>
      <c r="CO253"/>
      <c r="CP253"/>
      <c r="CQ253"/>
      <c r="CR253"/>
      <c r="CS253"/>
      <c r="CT253"/>
      <c r="CU253"/>
      <c r="CV253"/>
      <c r="CW253"/>
      <c r="CX253"/>
      <c r="CY253"/>
    </row>
    <row r="254" spans="2:103" ht="20.100000000000001" customHeight="1" x14ac:dyDescent="0.25">
      <c r="B254" s="68"/>
      <c r="C254" s="68"/>
      <c r="D254" s="68"/>
      <c r="E254" s="68"/>
      <c r="F254" s="69"/>
      <c r="G254" s="69"/>
      <c r="H254" s="69"/>
      <c r="I254" s="70"/>
      <c r="J254" s="67"/>
      <c r="K254" s="112"/>
      <c r="L254" s="4"/>
      <c r="M254" s="4"/>
      <c r="N254" s="4"/>
      <c r="O254" s="4"/>
      <c r="P254" s="4"/>
      <c r="Q254" s="4"/>
      <c r="R254" s="84"/>
      <c r="S254" s="4"/>
      <c r="T254" s="4"/>
      <c r="U254" s="107"/>
      <c r="V254" s="33"/>
      <c r="W254" s="104"/>
      <c r="X254" s="94"/>
      <c r="Y254" s="94"/>
      <c r="Z254" s="93"/>
      <c r="AA254" s="8"/>
      <c r="AB254" s="93"/>
      <c r="AC254" s="93"/>
      <c r="AD254" s="93"/>
      <c r="AE254" s="8"/>
      <c r="AF254" s="8"/>
      <c r="AG254" s="8"/>
      <c r="AH254" s="8"/>
      <c r="AI254" s="8"/>
      <c r="AJ254" s="8"/>
      <c r="AK254" s="8"/>
      <c r="AL254" s="8"/>
      <c r="AM254" s="93"/>
      <c r="AN254" s="89"/>
      <c r="AX254"/>
      <c r="AY254"/>
      <c r="AZ254"/>
      <c r="BA254"/>
      <c r="BB254"/>
      <c r="BC254"/>
      <c r="BD254"/>
      <c r="BE254"/>
      <c r="BF254"/>
      <c r="BG254"/>
      <c r="BH254"/>
      <c r="BI254"/>
      <c r="BJ254"/>
      <c r="BK254"/>
      <c r="BL254"/>
      <c r="BM254"/>
      <c r="BN254"/>
      <c r="BO254"/>
      <c r="BP254"/>
      <c r="BQ254"/>
      <c r="BR254"/>
      <c r="BY254"/>
      <c r="BZ254"/>
      <c r="CA254"/>
      <c r="CB254"/>
      <c r="CC254"/>
      <c r="CD254"/>
      <c r="CE254"/>
      <c r="CF254"/>
      <c r="CG254"/>
      <c r="CH254"/>
      <c r="CI254"/>
      <c r="CJ254"/>
      <c r="CK254"/>
      <c r="CL254"/>
      <c r="CM254"/>
      <c r="CN254"/>
      <c r="CO254"/>
      <c r="CP254"/>
      <c r="CQ254"/>
      <c r="CR254"/>
      <c r="CS254"/>
      <c r="CT254"/>
      <c r="CU254"/>
      <c r="CV254"/>
      <c r="CW254"/>
      <c r="CX254"/>
      <c r="CY254"/>
    </row>
    <row r="255" spans="2:103" ht="20.100000000000001" customHeight="1" x14ac:dyDescent="0.25">
      <c r="B255" s="68"/>
      <c r="C255" s="68"/>
      <c r="D255" s="68"/>
      <c r="E255" s="68"/>
      <c r="F255" s="69"/>
      <c r="G255" s="69"/>
      <c r="H255" s="69"/>
      <c r="I255" s="70"/>
      <c r="J255" s="67"/>
      <c r="K255" s="112"/>
      <c r="L255" s="4"/>
      <c r="M255" s="4"/>
      <c r="N255" s="4"/>
      <c r="O255" s="4"/>
      <c r="P255" s="4"/>
      <c r="Q255" s="4"/>
      <c r="R255" s="84"/>
      <c r="S255" s="4"/>
      <c r="T255" s="4"/>
      <c r="U255" s="107"/>
      <c r="V255" s="33"/>
      <c r="W255" s="104"/>
      <c r="X255" s="94"/>
      <c r="Y255" s="94"/>
      <c r="Z255" s="93"/>
      <c r="AA255" s="8"/>
      <c r="AB255" s="93"/>
      <c r="AC255" s="93"/>
      <c r="AD255" s="93"/>
      <c r="AE255" s="8"/>
      <c r="AF255" s="8"/>
      <c r="AG255" s="8"/>
      <c r="AH255" s="8"/>
      <c r="AI255" s="8"/>
      <c r="AJ255" s="8"/>
      <c r="AK255" s="8"/>
      <c r="AL255" s="8"/>
      <c r="AM255" s="93"/>
      <c r="AN255" s="89"/>
      <c r="AX255"/>
      <c r="AY255"/>
      <c r="AZ255"/>
      <c r="BA255"/>
      <c r="BB255"/>
      <c r="BC255"/>
      <c r="BD255"/>
      <c r="BE255"/>
      <c r="BF255"/>
      <c r="BG255"/>
      <c r="BH255"/>
      <c r="BI255"/>
      <c r="BJ255"/>
      <c r="BK255"/>
      <c r="BL255"/>
      <c r="BM255"/>
      <c r="BN255"/>
      <c r="BO255"/>
      <c r="BP255"/>
      <c r="BQ255"/>
      <c r="BR255"/>
      <c r="BY255"/>
      <c r="BZ255"/>
      <c r="CA255"/>
      <c r="CB255"/>
      <c r="CC255"/>
      <c r="CD255"/>
      <c r="CE255"/>
      <c r="CF255"/>
      <c r="CG255"/>
      <c r="CH255"/>
      <c r="CI255"/>
      <c r="CJ255"/>
      <c r="CK255"/>
      <c r="CL255"/>
      <c r="CM255"/>
      <c r="CN255"/>
      <c r="CO255"/>
      <c r="CP255"/>
      <c r="CQ255"/>
      <c r="CR255"/>
      <c r="CS255"/>
      <c r="CT255"/>
      <c r="CU255"/>
      <c r="CV255"/>
      <c r="CW255"/>
      <c r="CX255"/>
      <c r="CY255"/>
    </row>
    <row r="256" spans="2:103" ht="20.100000000000001" customHeight="1" x14ac:dyDescent="0.25">
      <c r="B256" s="68"/>
      <c r="C256" s="68"/>
      <c r="D256" s="68"/>
      <c r="E256" s="68"/>
      <c r="F256" s="69"/>
      <c r="G256" s="69"/>
      <c r="H256" s="69"/>
      <c r="I256" s="70"/>
      <c r="J256" s="67"/>
      <c r="K256" s="112"/>
      <c r="L256" s="4"/>
      <c r="M256" s="4"/>
      <c r="N256" s="4"/>
      <c r="O256" s="4"/>
      <c r="P256" s="4"/>
      <c r="Q256" s="4"/>
      <c r="R256" s="84"/>
      <c r="S256" s="4"/>
      <c r="T256" s="4"/>
      <c r="U256" s="107"/>
      <c r="V256" s="33"/>
      <c r="W256" s="104"/>
      <c r="X256" s="94"/>
      <c r="Y256" s="94"/>
      <c r="Z256" s="93"/>
      <c r="AA256" s="8"/>
      <c r="AB256" s="93"/>
      <c r="AC256" s="93"/>
      <c r="AD256" s="93"/>
      <c r="AE256" s="8"/>
      <c r="AF256" s="8"/>
      <c r="AG256" s="8"/>
      <c r="AH256" s="8"/>
      <c r="AI256" s="8"/>
      <c r="AJ256" s="8"/>
      <c r="AK256" s="8"/>
      <c r="AL256" s="8"/>
      <c r="AM256" s="93"/>
      <c r="AN256" s="89"/>
      <c r="AX256"/>
      <c r="AY256"/>
      <c r="AZ256"/>
      <c r="BA256"/>
      <c r="BB256"/>
      <c r="BC256"/>
      <c r="BD256"/>
      <c r="BE256"/>
      <c r="BF256"/>
      <c r="BG256"/>
      <c r="BH256"/>
      <c r="BI256"/>
      <c r="BJ256"/>
      <c r="BK256"/>
      <c r="BL256"/>
      <c r="BM256"/>
      <c r="BN256"/>
      <c r="BO256"/>
      <c r="BP256"/>
      <c r="BQ256"/>
      <c r="BR256"/>
      <c r="BY256"/>
      <c r="BZ256"/>
      <c r="CA256"/>
      <c r="CB256"/>
      <c r="CC256"/>
      <c r="CD256"/>
      <c r="CE256"/>
      <c r="CF256"/>
      <c r="CG256"/>
      <c r="CH256"/>
      <c r="CI256"/>
      <c r="CJ256"/>
      <c r="CK256"/>
      <c r="CL256"/>
      <c r="CM256"/>
      <c r="CN256"/>
      <c r="CO256"/>
      <c r="CP256"/>
      <c r="CQ256"/>
      <c r="CR256"/>
      <c r="CS256"/>
      <c r="CT256"/>
      <c r="CU256"/>
      <c r="CV256"/>
      <c r="CW256"/>
      <c r="CX256"/>
      <c r="CY256"/>
    </row>
    <row r="257" spans="2:103" ht="20.100000000000001" customHeight="1" x14ac:dyDescent="0.25">
      <c r="B257" s="68"/>
      <c r="C257" s="68"/>
      <c r="D257" s="68"/>
      <c r="E257" s="68"/>
      <c r="F257" s="69"/>
      <c r="G257" s="69"/>
      <c r="H257" s="69"/>
      <c r="I257" s="70"/>
      <c r="J257" s="67"/>
      <c r="K257" s="112"/>
      <c r="L257" s="4"/>
      <c r="M257" s="4"/>
      <c r="N257" s="4"/>
      <c r="O257" s="4"/>
      <c r="P257" s="4"/>
      <c r="Q257" s="4"/>
      <c r="R257" s="84"/>
      <c r="S257" s="4"/>
      <c r="T257" s="4"/>
      <c r="U257" s="107"/>
      <c r="V257" s="33"/>
      <c r="W257" s="104"/>
      <c r="X257" s="94"/>
      <c r="Y257" s="94"/>
      <c r="Z257" s="93"/>
      <c r="AA257" s="8"/>
      <c r="AB257" s="93"/>
      <c r="AC257" s="93"/>
      <c r="AD257" s="93"/>
      <c r="AE257" s="8"/>
      <c r="AF257" s="8"/>
      <c r="AG257" s="8"/>
      <c r="AH257" s="8"/>
      <c r="AI257" s="8"/>
      <c r="AJ257" s="8"/>
      <c r="AK257" s="8"/>
      <c r="AL257" s="8"/>
      <c r="AM257" s="93"/>
      <c r="AN257" s="89"/>
      <c r="AX257"/>
      <c r="AY257"/>
      <c r="AZ257"/>
      <c r="BA257"/>
      <c r="BB257"/>
      <c r="BC257"/>
      <c r="BD257"/>
      <c r="BE257"/>
      <c r="BF257"/>
      <c r="BG257"/>
      <c r="BH257"/>
      <c r="BI257"/>
      <c r="BJ257"/>
      <c r="BK257"/>
      <c r="BL257"/>
      <c r="BM257"/>
      <c r="BN257"/>
      <c r="BO257"/>
      <c r="BP257"/>
      <c r="BQ257"/>
      <c r="BR257"/>
      <c r="BY257"/>
      <c r="BZ257"/>
      <c r="CA257"/>
      <c r="CB257"/>
      <c r="CC257"/>
      <c r="CD257"/>
      <c r="CE257"/>
      <c r="CF257"/>
      <c r="CG257"/>
      <c r="CH257"/>
      <c r="CI257"/>
      <c r="CJ257"/>
      <c r="CK257"/>
      <c r="CL257"/>
      <c r="CM257"/>
      <c r="CN257"/>
      <c r="CO257"/>
      <c r="CP257"/>
      <c r="CQ257"/>
      <c r="CR257"/>
      <c r="CS257"/>
      <c r="CT257"/>
      <c r="CU257"/>
      <c r="CV257"/>
      <c r="CW257"/>
      <c r="CX257"/>
      <c r="CY257"/>
    </row>
    <row r="258" spans="2:103" ht="20.100000000000001" customHeight="1" x14ac:dyDescent="0.25">
      <c r="B258" s="68"/>
      <c r="C258" s="68"/>
      <c r="D258" s="68"/>
      <c r="E258" s="68"/>
      <c r="F258" s="69"/>
      <c r="G258" s="69"/>
      <c r="H258" s="69"/>
      <c r="I258" s="70"/>
      <c r="J258" s="67"/>
      <c r="K258" s="112"/>
      <c r="L258" s="4"/>
      <c r="M258" s="4"/>
      <c r="N258" s="4"/>
      <c r="O258" s="4"/>
      <c r="P258" s="4"/>
      <c r="Q258" s="4"/>
      <c r="R258" s="84"/>
      <c r="S258" s="4"/>
      <c r="T258" s="4"/>
      <c r="U258" s="107"/>
      <c r="V258" s="33"/>
      <c r="W258" s="104"/>
      <c r="X258" s="94"/>
      <c r="Y258" s="94"/>
      <c r="Z258" s="93"/>
      <c r="AA258" s="8"/>
      <c r="AB258" s="93"/>
      <c r="AC258" s="93"/>
      <c r="AD258" s="93"/>
      <c r="AE258" s="8"/>
      <c r="AF258" s="8"/>
      <c r="AG258" s="8"/>
      <c r="AH258" s="8"/>
      <c r="AI258" s="8"/>
      <c r="AJ258" s="8"/>
      <c r="AK258" s="8"/>
      <c r="AL258" s="8"/>
      <c r="AM258" s="93"/>
      <c r="AN258" s="89"/>
      <c r="AX258"/>
      <c r="AY258"/>
      <c r="AZ258"/>
      <c r="BA258"/>
      <c r="BB258"/>
      <c r="BC258"/>
      <c r="BD258"/>
      <c r="BE258"/>
      <c r="BF258"/>
      <c r="BG258"/>
      <c r="BH258"/>
      <c r="BI258"/>
      <c r="BJ258"/>
      <c r="BK258"/>
      <c r="BL258"/>
      <c r="BM258"/>
      <c r="BN258"/>
      <c r="BO258"/>
      <c r="BP258"/>
      <c r="BQ258"/>
      <c r="BR258"/>
      <c r="BY258"/>
      <c r="BZ258"/>
      <c r="CA258"/>
      <c r="CB258"/>
      <c r="CC258"/>
      <c r="CD258"/>
      <c r="CE258"/>
      <c r="CF258"/>
      <c r="CG258"/>
      <c r="CH258"/>
      <c r="CI258"/>
      <c r="CJ258"/>
      <c r="CK258"/>
      <c r="CL258"/>
      <c r="CM258"/>
      <c r="CN258"/>
      <c r="CO258"/>
      <c r="CP258"/>
      <c r="CQ258"/>
      <c r="CR258"/>
      <c r="CS258"/>
      <c r="CT258"/>
      <c r="CU258"/>
      <c r="CV258"/>
      <c r="CW258"/>
      <c r="CX258"/>
      <c r="CY258"/>
    </row>
    <row r="259" spans="2:103" ht="20.100000000000001" customHeight="1" x14ac:dyDescent="0.25">
      <c r="B259" s="68"/>
      <c r="C259" s="68"/>
      <c r="D259" s="68"/>
      <c r="E259" s="68"/>
      <c r="F259" s="69"/>
      <c r="G259" s="69"/>
      <c r="H259" s="69"/>
      <c r="I259" s="70"/>
      <c r="J259" s="67"/>
      <c r="K259" s="112"/>
      <c r="L259" s="4"/>
      <c r="M259" s="4"/>
      <c r="N259" s="4"/>
      <c r="O259" s="4"/>
      <c r="P259" s="4"/>
      <c r="Q259" s="4"/>
      <c r="R259" s="84"/>
      <c r="S259" s="4"/>
      <c r="T259" s="4"/>
      <c r="U259" s="107"/>
      <c r="V259" s="33"/>
      <c r="W259" s="104"/>
      <c r="X259" s="94"/>
      <c r="Y259" s="94"/>
      <c r="Z259" s="93"/>
      <c r="AA259" s="8"/>
      <c r="AB259" s="93"/>
      <c r="AC259" s="93"/>
      <c r="AD259" s="93"/>
      <c r="AE259" s="8"/>
      <c r="AF259" s="8"/>
      <c r="AG259" s="8"/>
      <c r="AH259" s="8"/>
      <c r="AI259" s="8"/>
      <c r="AJ259" s="8"/>
      <c r="AK259" s="8"/>
      <c r="AL259" s="8"/>
      <c r="AM259" s="93"/>
      <c r="AN259" s="89"/>
      <c r="AX259"/>
      <c r="AY259"/>
      <c r="AZ259"/>
      <c r="BA259"/>
      <c r="BB259"/>
      <c r="BC259"/>
      <c r="BD259"/>
      <c r="BE259"/>
      <c r="BF259"/>
      <c r="BG259"/>
      <c r="BH259"/>
      <c r="BI259"/>
      <c r="BJ259"/>
      <c r="BK259"/>
      <c r="BL259"/>
      <c r="BM259"/>
      <c r="BN259"/>
      <c r="BO259"/>
      <c r="BP259"/>
      <c r="BQ259"/>
      <c r="BR259"/>
      <c r="BY259"/>
      <c r="BZ259"/>
      <c r="CA259"/>
      <c r="CB259"/>
      <c r="CC259"/>
      <c r="CD259"/>
      <c r="CE259"/>
      <c r="CF259"/>
      <c r="CG259"/>
      <c r="CH259"/>
      <c r="CI259"/>
      <c r="CJ259"/>
      <c r="CK259"/>
      <c r="CL259"/>
      <c r="CM259"/>
      <c r="CN259"/>
      <c r="CO259"/>
      <c r="CP259"/>
      <c r="CQ259"/>
      <c r="CR259"/>
      <c r="CS259"/>
      <c r="CT259"/>
      <c r="CU259"/>
      <c r="CV259"/>
      <c r="CW259"/>
      <c r="CX259"/>
      <c r="CY259"/>
    </row>
    <row r="260" spans="2:103" ht="20.100000000000001" customHeight="1" x14ac:dyDescent="0.25">
      <c r="B260" s="68"/>
      <c r="C260" s="68"/>
      <c r="D260" s="68"/>
      <c r="E260" s="68"/>
      <c r="F260" s="69"/>
      <c r="G260" s="69"/>
      <c r="H260" s="69"/>
      <c r="I260" s="70"/>
      <c r="J260" s="67"/>
      <c r="K260" s="112"/>
      <c r="L260" s="4"/>
      <c r="M260" s="4"/>
      <c r="N260" s="4"/>
      <c r="O260" s="4"/>
      <c r="P260" s="4"/>
      <c r="Q260" s="4"/>
      <c r="R260" s="84"/>
      <c r="S260" s="4"/>
      <c r="T260" s="4"/>
      <c r="U260" s="107"/>
      <c r="V260" s="33"/>
      <c r="W260" s="104"/>
      <c r="X260" s="94"/>
      <c r="Y260" s="94"/>
      <c r="Z260" s="93"/>
      <c r="AA260" s="8"/>
      <c r="AB260" s="93"/>
      <c r="AC260" s="93"/>
      <c r="AD260" s="93"/>
      <c r="AE260" s="8"/>
      <c r="AF260" s="8"/>
      <c r="AG260" s="8"/>
      <c r="AH260" s="8"/>
      <c r="AI260" s="8"/>
      <c r="AJ260" s="8"/>
      <c r="AK260" s="8"/>
      <c r="AL260" s="8"/>
      <c r="AM260" s="93"/>
      <c r="AN260" s="89"/>
      <c r="AX260"/>
      <c r="AY260"/>
      <c r="AZ260"/>
      <c r="BA260"/>
      <c r="BB260"/>
      <c r="BC260"/>
      <c r="BD260"/>
      <c r="BE260"/>
      <c r="BF260"/>
      <c r="BG260"/>
      <c r="BH260"/>
      <c r="BI260"/>
      <c r="BJ260"/>
      <c r="BK260"/>
      <c r="BL260"/>
      <c r="BM260"/>
      <c r="BN260"/>
      <c r="BO260"/>
      <c r="BP260"/>
      <c r="BQ260"/>
      <c r="BR260"/>
      <c r="BY260"/>
      <c r="BZ260"/>
      <c r="CA260"/>
      <c r="CB260"/>
      <c r="CC260"/>
      <c r="CD260"/>
      <c r="CE260"/>
      <c r="CF260"/>
      <c r="CG260"/>
      <c r="CH260"/>
      <c r="CI260"/>
      <c r="CJ260"/>
      <c r="CK260"/>
      <c r="CL260"/>
      <c r="CM260"/>
      <c r="CN260"/>
      <c r="CO260"/>
      <c r="CP260"/>
      <c r="CQ260"/>
      <c r="CR260"/>
      <c r="CS260"/>
      <c r="CT260"/>
      <c r="CU260"/>
      <c r="CV260"/>
      <c r="CW260"/>
      <c r="CX260"/>
      <c r="CY260"/>
    </row>
    <row r="261" spans="2:103" ht="20.100000000000001" customHeight="1" x14ac:dyDescent="0.25">
      <c r="B261" s="68"/>
      <c r="C261" s="68"/>
      <c r="D261" s="68"/>
      <c r="E261" s="68"/>
      <c r="F261" s="69"/>
      <c r="G261" s="69"/>
      <c r="H261" s="69"/>
      <c r="I261" s="70"/>
      <c r="J261" s="67"/>
      <c r="K261" s="112"/>
      <c r="L261" s="4"/>
      <c r="M261" s="4"/>
      <c r="N261" s="4"/>
      <c r="O261" s="4"/>
      <c r="P261" s="4"/>
      <c r="Q261" s="4"/>
      <c r="R261" s="84"/>
      <c r="S261" s="4"/>
      <c r="T261" s="4"/>
      <c r="U261" s="107"/>
      <c r="V261" s="33"/>
      <c r="W261" s="104"/>
      <c r="X261" s="94"/>
      <c r="Y261" s="94"/>
      <c r="Z261" s="93"/>
      <c r="AA261" s="8"/>
      <c r="AB261" s="93"/>
      <c r="AC261" s="93"/>
      <c r="AD261" s="93"/>
      <c r="AE261" s="8"/>
      <c r="AF261" s="8"/>
      <c r="AG261" s="8"/>
      <c r="AH261" s="8"/>
      <c r="AI261" s="8"/>
      <c r="AJ261" s="8"/>
      <c r="AK261" s="8"/>
      <c r="AL261" s="8"/>
      <c r="AM261" s="93"/>
      <c r="AN261" s="89"/>
      <c r="AX261"/>
      <c r="AY261"/>
      <c r="AZ261"/>
      <c r="BA261"/>
      <c r="BB261"/>
      <c r="BC261"/>
      <c r="BD261"/>
      <c r="BE261"/>
      <c r="BF261"/>
      <c r="BG261"/>
      <c r="BH261"/>
      <c r="BI261"/>
      <c r="BJ261"/>
      <c r="BK261"/>
      <c r="BL261"/>
      <c r="BM261"/>
      <c r="BN261"/>
      <c r="BO261"/>
      <c r="BP261"/>
      <c r="BQ261"/>
      <c r="BR261"/>
      <c r="BY261"/>
      <c r="BZ261"/>
      <c r="CA261"/>
      <c r="CB261"/>
      <c r="CC261"/>
      <c r="CD261"/>
      <c r="CE261"/>
      <c r="CF261"/>
      <c r="CG261"/>
      <c r="CH261"/>
      <c r="CI261"/>
      <c r="CJ261"/>
      <c r="CK261"/>
      <c r="CL261"/>
      <c r="CM261"/>
      <c r="CN261"/>
      <c r="CO261"/>
      <c r="CP261"/>
      <c r="CQ261"/>
      <c r="CR261"/>
      <c r="CS261"/>
      <c r="CT261"/>
      <c r="CU261"/>
      <c r="CV261"/>
      <c r="CW261"/>
      <c r="CX261"/>
      <c r="CY261"/>
    </row>
    <row r="262" spans="2:103" ht="20.100000000000001" customHeight="1" x14ac:dyDescent="0.25">
      <c r="B262" s="68"/>
      <c r="C262" s="68"/>
      <c r="D262" s="68"/>
      <c r="E262" s="68"/>
      <c r="F262" s="69"/>
      <c r="G262" s="69"/>
      <c r="H262" s="69"/>
      <c r="I262" s="70"/>
      <c r="J262" s="67"/>
      <c r="K262" s="112"/>
      <c r="L262" s="4"/>
      <c r="M262" s="4"/>
      <c r="N262" s="4"/>
      <c r="O262" s="4"/>
      <c r="P262" s="4"/>
      <c r="Q262" s="4"/>
      <c r="R262" s="84"/>
      <c r="S262" s="4"/>
      <c r="T262" s="4"/>
      <c r="U262" s="107"/>
      <c r="V262" s="33"/>
      <c r="W262" s="104"/>
      <c r="X262" s="94"/>
      <c r="Y262" s="94"/>
      <c r="Z262" s="93"/>
      <c r="AA262" s="8"/>
      <c r="AB262" s="93"/>
      <c r="AC262" s="93"/>
      <c r="AD262" s="93"/>
      <c r="AE262" s="8"/>
      <c r="AF262" s="8"/>
      <c r="AG262" s="8"/>
      <c r="AH262" s="8"/>
      <c r="AI262" s="8"/>
      <c r="AJ262" s="8"/>
      <c r="AK262" s="8"/>
      <c r="AL262" s="8"/>
      <c r="AM262" s="93"/>
      <c r="AN262" s="89"/>
      <c r="AX262"/>
      <c r="AY262"/>
      <c r="AZ262"/>
      <c r="BA262"/>
      <c r="BB262"/>
      <c r="BC262"/>
      <c r="BD262"/>
      <c r="BE262"/>
      <c r="BF262"/>
      <c r="BG262"/>
      <c r="BH262"/>
      <c r="BI262"/>
      <c r="BJ262"/>
      <c r="BK262"/>
      <c r="BL262"/>
      <c r="BM262"/>
      <c r="BN262"/>
      <c r="BO262"/>
      <c r="BP262"/>
      <c r="BQ262"/>
      <c r="BR262"/>
      <c r="BY262"/>
      <c r="BZ262"/>
      <c r="CA262"/>
      <c r="CB262"/>
      <c r="CC262"/>
      <c r="CD262"/>
      <c r="CE262"/>
      <c r="CF262"/>
      <c r="CG262"/>
      <c r="CH262"/>
      <c r="CI262"/>
      <c r="CJ262"/>
      <c r="CK262"/>
      <c r="CL262"/>
      <c r="CM262"/>
      <c r="CN262"/>
      <c r="CO262"/>
      <c r="CP262"/>
      <c r="CQ262"/>
      <c r="CR262"/>
      <c r="CS262"/>
      <c r="CT262"/>
      <c r="CU262"/>
      <c r="CV262"/>
      <c r="CW262"/>
      <c r="CX262"/>
      <c r="CY262"/>
    </row>
    <row r="263" spans="2:103" ht="20.100000000000001" customHeight="1" x14ac:dyDescent="0.25">
      <c r="B263" s="68"/>
      <c r="C263" s="68"/>
      <c r="D263" s="68"/>
      <c r="E263" s="68"/>
      <c r="F263" s="69"/>
      <c r="G263" s="69"/>
      <c r="H263" s="69"/>
      <c r="I263" s="70"/>
      <c r="J263" s="67"/>
      <c r="K263" s="112"/>
      <c r="L263" s="4"/>
      <c r="M263" s="4"/>
      <c r="N263" s="4"/>
      <c r="O263" s="4"/>
      <c r="P263" s="4"/>
      <c r="Q263" s="4"/>
      <c r="R263" s="84"/>
      <c r="S263" s="4"/>
      <c r="T263" s="4"/>
      <c r="U263" s="107"/>
      <c r="V263" s="33"/>
      <c r="W263" s="104"/>
      <c r="X263" s="94"/>
      <c r="Y263" s="94"/>
      <c r="Z263" s="93"/>
      <c r="AA263" s="8"/>
      <c r="AB263" s="93"/>
      <c r="AC263" s="93"/>
      <c r="AD263" s="93"/>
      <c r="AE263" s="8"/>
      <c r="AF263" s="8"/>
      <c r="AG263" s="8"/>
      <c r="AH263" s="8"/>
      <c r="AI263" s="8"/>
      <c r="AJ263" s="8"/>
      <c r="AK263" s="8"/>
      <c r="AL263" s="8"/>
      <c r="AM263" s="93"/>
      <c r="AN263" s="89"/>
      <c r="AX263"/>
      <c r="AY263"/>
      <c r="AZ263"/>
      <c r="BA263"/>
      <c r="BB263"/>
      <c r="BC263"/>
      <c r="BD263"/>
      <c r="BE263"/>
      <c r="BF263"/>
      <c r="BG263"/>
      <c r="BH263"/>
      <c r="BI263"/>
      <c r="BJ263"/>
      <c r="BK263"/>
      <c r="BL263"/>
      <c r="BM263"/>
      <c r="BN263"/>
      <c r="BO263"/>
      <c r="BP263"/>
      <c r="BQ263"/>
      <c r="BR263"/>
      <c r="BY263"/>
      <c r="BZ263"/>
      <c r="CA263"/>
      <c r="CB263"/>
      <c r="CC263"/>
      <c r="CD263"/>
      <c r="CE263"/>
      <c r="CF263"/>
      <c r="CG263"/>
      <c r="CH263"/>
      <c r="CI263"/>
      <c r="CJ263"/>
      <c r="CK263"/>
      <c r="CL263"/>
      <c r="CM263"/>
      <c r="CN263"/>
      <c r="CO263"/>
      <c r="CP263"/>
      <c r="CQ263"/>
      <c r="CR263"/>
      <c r="CS263"/>
      <c r="CT263"/>
      <c r="CU263"/>
      <c r="CV263"/>
      <c r="CW263"/>
      <c r="CX263"/>
      <c r="CY263"/>
    </row>
    <row r="264" spans="2:103" ht="20.100000000000001" customHeight="1" x14ac:dyDescent="0.25">
      <c r="B264" s="68"/>
      <c r="C264" s="68"/>
      <c r="D264" s="68"/>
      <c r="E264" s="68"/>
      <c r="F264" s="69"/>
      <c r="G264" s="69"/>
      <c r="H264" s="69"/>
      <c r="I264" s="70"/>
      <c r="J264" s="67"/>
      <c r="K264" s="112"/>
      <c r="L264" s="4"/>
      <c r="M264" s="4"/>
      <c r="N264" s="4"/>
      <c r="O264" s="4"/>
      <c r="P264" s="4"/>
      <c r="Q264" s="4"/>
      <c r="R264" s="84"/>
      <c r="S264" s="4"/>
      <c r="T264" s="4"/>
      <c r="U264" s="107"/>
      <c r="V264" s="33"/>
      <c r="W264" s="104"/>
      <c r="X264" s="94"/>
      <c r="Y264" s="94"/>
      <c r="Z264" s="93"/>
      <c r="AA264" s="8"/>
      <c r="AB264" s="93"/>
      <c r="AC264" s="93"/>
      <c r="AD264" s="93"/>
      <c r="AE264" s="8"/>
      <c r="AF264" s="8"/>
      <c r="AG264" s="8"/>
      <c r="AH264" s="8"/>
      <c r="AI264" s="8"/>
      <c r="AJ264" s="8"/>
      <c r="AK264" s="8"/>
      <c r="AL264" s="8"/>
      <c r="AM264" s="93"/>
      <c r="AN264" s="89"/>
      <c r="AX264"/>
      <c r="AY264"/>
      <c r="AZ264"/>
      <c r="BA264"/>
      <c r="BB264"/>
      <c r="BC264"/>
      <c r="BD264"/>
      <c r="BE264"/>
      <c r="BF264"/>
      <c r="BG264"/>
      <c r="BH264"/>
      <c r="BI264"/>
      <c r="BJ264"/>
      <c r="BK264"/>
      <c r="BL264"/>
      <c r="BM264"/>
      <c r="BN264"/>
      <c r="BO264"/>
      <c r="BP264"/>
      <c r="BQ264"/>
      <c r="BR264"/>
      <c r="BY264"/>
      <c r="BZ264"/>
      <c r="CA264"/>
      <c r="CB264"/>
      <c r="CC264"/>
      <c r="CD264"/>
      <c r="CE264"/>
      <c r="CF264"/>
      <c r="CG264"/>
      <c r="CH264"/>
      <c r="CI264"/>
      <c r="CJ264"/>
      <c r="CK264"/>
      <c r="CL264"/>
      <c r="CM264"/>
      <c r="CN264"/>
      <c r="CO264"/>
      <c r="CP264"/>
      <c r="CQ264"/>
      <c r="CR264"/>
      <c r="CS264"/>
      <c r="CT264"/>
      <c r="CU264"/>
      <c r="CV264"/>
      <c r="CW264"/>
      <c r="CX264"/>
      <c r="CY264"/>
    </row>
    <row r="265" spans="2:103" ht="20.100000000000001" customHeight="1" x14ac:dyDescent="0.25">
      <c r="B265" s="68"/>
      <c r="C265" s="68"/>
      <c r="D265" s="68"/>
      <c r="E265" s="68"/>
      <c r="F265" s="69"/>
      <c r="G265" s="69"/>
      <c r="H265" s="69"/>
      <c r="I265" s="70"/>
      <c r="J265" s="67"/>
      <c r="K265" s="112"/>
      <c r="L265" s="4"/>
      <c r="M265" s="4"/>
      <c r="N265" s="4"/>
      <c r="O265" s="4"/>
      <c r="P265" s="4"/>
      <c r="Q265" s="4"/>
      <c r="R265" s="84"/>
      <c r="S265" s="4"/>
      <c r="T265" s="4"/>
      <c r="U265" s="107"/>
      <c r="V265" s="33"/>
      <c r="W265" s="104"/>
      <c r="X265" s="94"/>
      <c r="Y265" s="94"/>
      <c r="Z265" s="93"/>
      <c r="AA265" s="8"/>
      <c r="AB265" s="93"/>
      <c r="AC265" s="93"/>
      <c r="AD265" s="93"/>
      <c r="AE265" s="8"/>
      <c r="AF265" s="8"/>
      <c r="AG265" s="8"/>
      <c r="AH265" s="8"/>
      <c r="AI265" s="8"/>
      <c r="AJ265" s="8"/>
      <c r="AK265" s="8"/>
      <c r="AL265" s="8"/>
      <c r="AM265" s="93"/>
      <c r="AN265" s="89"/>
      <c r="AX265"/>
      <c r="AY265"/>
      <c r="AZ265"/>
      <c r="BA265"/>
      <c r="BB265"/>
      <c r="BC265"/>
      <c r="BD265"/>
      <c r="BE265"/>
      <c r="BF265"/>
      <c r="BG265"/>
      <c r="BH265"/>
      <c r="BI265"/>
      <c r="BJ265"/>
      <c r="BK265"/>
      <c r="BL265"/>
      <c r="BM265"/>
      <c r="BN265"/>
      <c r="BO265"/>
      <c r="BP265"/>
      <c r="BQ265"/>
      <c r="BR265"/>
      <c r="BY265"/>
      <c r="BZ265"/>
      <c r="CA265"/>
      <c r="CB265"/>
      <c r="CC265"/>
      <c r="CD265"/>
      <c r="CE265"/>
      <c r="CF265"/>
      <c r="CG265"/>
      <c r="CH265"/>
      <c r="CI265"/>
      <c r="CJ265"/>
      <c r="CK265"/>
      <c r="CL265"/>
      <c r="CM265"/>
      <c r="CN265"/>
      <c r="CO265"/>
      <c r="CP265"/>
      <c r="CQ265"/>
      <c r="CR265"/>
      <c r="CS265"/>
      <c r="CT265"/>
      <c r="CU265"/>
      <c r="CV265"/>
      <c r="CW265"/>
      <c r="CX265"/>
      <c r="CY265"/>
    </row>
    <row r="266" spans="2:103" ht="20.100000000000001" customHeight="1" x14ac:dyDescent="0.25">
      <c r="B266" s="68"/>
      <c r="C266" s="68"/>
      <c r="D266" s="68"/>
      <c r="E266" s="68"/>
      <c r="F266" s="69"/>
      <c r="G266" s="69"/>
      <c r="H266" s="69"/>
      <c r="I266" s="70"/>
      <c r="J266" s="67"/>
      <c r="K266" s="112"/>
      <c r="L266" s="4"/>
      <c r="M266" s="4"/>
      <c r="N266" s="4"/>
      <c r="O266" s="4"/>
      <c r="P266" s="4"/>
      <c r="Q266" s="4"/>
      <c r="R266" s="84"/>
      <c r="S266" s="4"/>
      <c r="T266" s="4"/>
      <c r="U266" s="107"/>
      <c r="V266" s="33"/>
      <c r="W266" s="104"/>
      <c r="X266" s="94"/>
      <c r="Y266" s="94"/>
      <c r="Z266" s="93"/>
      <c r="AA266" s="8"/>
      <c r="AB266" s="93"/>
      <c r="AC266" s="93"/>
      <c r="AD266" s="93"/>
      <c r="AE266" s="8"/>
      <c r="AF266" s="8"/>
      <c r="AG266" s="8"/>
      <c r="AH266" s="8"/>
      <c r="AI266" s="8"/>
      <c r="AJ266" s="8"/>
      <c r="AK266" s="8"/>
      <c r="AL266" s="8"/>
      <c r="AM266" s="93"/>
      <c r="AN266" s="89"/>
      <c r="AX266"/>
      <c r="AY266"/>
      <c r="AZ266"/>
      <c r="BA266"/>
      <c r="BB266"/>
      <c r="BC266"/>
      <c r="BD266"/>
      <c r="BE266"/>
      <c r="BF266"/>
      <c r="BG266"/>
      <c r="BH266"/>
      <c r="BI266"/>
      <c r="BJ266"/>
      <c r="BK266"/>
      <c r="BL266"/>
      <c r="BM266"/>
      <c r="BN266"/>
      <c r="BO266"/>
      <c r="BP266"/>
      <c r="BQ266"/>
      <c r="BR266"/>
      <c r="BY266"/>
      <c r="BZ266"/>
      <c r="CA266"/>
      <c r="CB266"/>
      <c r="CC266"/>
      <c r="CD266"/>
      <c r="CE266"/>
      <c r="CF266"/>
      <c r="CG266"/>
      <c r="CH266"/>
      <c r="CI266"/>
      <c r="CJ266"/>
      <c r="CK266"/>
      <c r="CL266"/>
      <c r="CM266"/>
      <c r="CN266"/>
      <c r="CO266"/>
      <c r="CP266"/>
      <c r="CQ266"/>
      <c r="CR266"/>
      <c r="CS266"/>
      <c r="CT266"/>
      <c r="CU266"/>
      <c r="CV266"/>
      <c r="CW266"/>
      <c r="CX266"/>
      <c r="CY266"/>
    </row>
    <row r="267" spans="2:103" ht="20.100000000000001" customHeight="1" x14ac:dyDescent="0.25">
      <c r="B267" s="68"/>
      <c r="C267" s="68"/>
      <c r="D267" s="68"/>
      <c r="E267" s="68"/>
      <c r="F267" s="69"/>
      <c r="G267" s="69"/>
      <c r="H267" s="69"/>
      <c r="I267" s="70"/>
      <c r="J267" s="67"/>
      <c r="K267" s="112"/>
      <c r="L267" s="4"/>
      <c r="M267" s="4"/>
      <c r="N267" s="4"/>
      <c r="O267" s="4"/>
      <c r="P267" s="4"/>
      <c r="Q267" s="4"/>
      <c r="R267" s="84"/>
      <c r="S267" s="4"/>
      <c r="T267" s="4"/>
      <c r="U267" s="107"/>
      <c r="V267" s="33"/>
      <c r="W267" s="104"/>
      <c r="X267" s="94"/>
      <c r="Y267" s="94"/>
      <c r="Z267" s="93"/>
      <c r="AA267" s="8"/>
      <c r="AB267" s="93"/>
      <c r="AC267" s="93"/>
      <c r="AD267" s="93"/>
      <c r="AE267" s="8"/>
      <c r="AF267" s="8"/>
      <c r="AG267" s="8"/>
      <c r="AH267" s="8"/>
      <c r="AI267" s="8"/>
      <c r="AJ267" s="8"/>
      <c r="AK267" s="8"/>
      <c r="AL267" s="8"/>
      <c r="AM267" s="93"/>
      <c r="AN267" s="89"/>
      <c r="AX267"/>
      <c r="AY267"/>
      <c r="AZ267"/>
      <c r="BA267"/>
      <c r="BB267"/>
      <c r="BC267"/>
      <c r="BD267"/>
      <c r="BE267"/>
      <c r="BF267"/>
      <c r="BG267"/>
      <c r="BH267"/>
      <c r="BI267"/>
      <c r="BJ267"/>
      <c r="BK267"/>
      <c r="BL267"/>
      <c r="BM267"/>
      <c r="BN267"/>
      <c r="BO267"/>
      <c r="BP267"/>
      <c r="BQ267"/>
      <c r="BR267"/>
      <c r="BY267"/>
      <c r="BZ267"/>
      <c r="CA267"/>
      <c r="CB267"/>
      <c r="CC267"/>
      <c r="CD267"/>
      <c r="CE267"/>
      <c r="CF267"/>
      <c r="CG267"/>
      <c r="CH267"/>
      <c r="CI267"/>
      <c r="CJ267"/>
      <c r="CK267"/>
      <c r="CL267"/>
      <c r="CM267"/>
      <c r="CN267"/>
      <c r="CO267"/>
      <c r="CP267"/>
      <c r="CQ267"/>
      <c r="CR267"/>
      <c r="CS267"/>
      <c r="CT267"/>
      <c r="CU267"/>
      <c r="CV267"/>
      <c r="CW267"/>
      <c r="CX267"/>
      <c r="CY267"/>
    </row>
    <row r="268" spans="2:103" ht="20.100000000000001" customHeight="1" x14ac:dyDescent="0.25">
      <c r="B268" s="68"/>
      <c r="C268" s="68"/>
      <c r="D268" s="68"/>
      <c r="E268" s="68"/>
      <c r="F268" s="69"/>
      <c r="G268" s="69"/>
      <c r="H268" s="69"/>
      <c r="I268" s="70"/>
      <c r="J268" s="67"/>
      <c r="K268" s="112"/>
      <c r="L268" s="4"/>
      <c r="M268" s="4"/>
      <c r="N268" s="4"/>
      <c r="O268" s="4"/>
      <c r="P268" s="4"/>
      <c r="Q268" s="4"/>
      <c r="R268" s="84"/>
      <c r="S268" s="4"/>
      <c r="T268" s="4"/>
      <c r="U268" s="107"/>
      <c r="V268" s="33"/>
      <c r="W268" s="104"/>
      <c r="X268" s="94"/>
      <c r="Y268" s="94"/>
      <c r="Z268" s="93"/>
      <c r="AA268" s="8"/>
      <c r="AB268" s="93"/>
      <c r="AC268" s="93"/>
      <c r="AD268" s="93"/>
      <c r="AE268" s="8"/>
      <c r="AF268" s="8"/>
      <c r="AG268" s="8"/>
      <c r="AH268" s="8"/>
      <c r="AI268" s="8"/>
      <c r="AJ268" s="8"/>
      <c r="AK268" s="8"/>
      <c r="AL268" s="8"/>
      <c r="AM268" s="93"/>
      <c r="AN268" s="89"/>
      <c r="AX268"/>
      <c r="AY268"/>
      <c r="AZ268"/>
      <c r="BA268"/>
      <c r="BB268"/>
      <c r="BC268"/>
      <c r="BD268"/>
      <c r="BE268"/>
      <c r="BF268"/>
      <c r="BG268"/>
      <c r="BH268"/>
      <c r="BI268"/>
      <c r="BJ268"/>
      <c r="BK268"/>
      <c r="BL268"/>
      <c r="BM268"/>
      <c r="BN268"/>
      <c r="BO268"/>
      <c r="BP268"/>
      <c r="BQ268"/>
      <c r="BR268"/>
      <c r="BY268"/>
      <c r="BZ268"/>
      <c r="CA268"/>
      <c r="CB268"/>
      <c r="CC268"/>
      <c r="CD268"/>
      <c r="CE268"/>
      <c r="CF268"/>
      <c r="CG268"/>
      <c r="CH268"/>
      <c r="CI268"/>
      <c r="CJ268"/>
      <c r="CK268"/>
      <c r="CL268"/>
      <c r="CM268"/>
      <c r="CN268"/>
      <c r="CO268"/>
      <c r="CP268"/>
      <c r="CQ268"/>
      <c r="CR268"/>
      <c r="CS268"/>
      <c r="CT268"/>
      <c r="CU268"/>
      <c r="CV268"/>
      <c r="CW268"/>
      <c r="CX268"/>
      <c r="CY268"/>
    </row>
    <row r="269" spans="2:103" ht="20.100000000000001" customHeight="1" x14ac:dyDescent="0.25">
      <c r="B269" s="68"/>
      <c r="C269" s="68"/>
      <c r="D269" s="68"/>
      <c r="E269" s="68"/>
      <c r="F269" s="69"/>
      <c r="G269" s="69"/>
      <c r="H269" s="69"/>
      <c r="I269" s="70"/>
      <c r="J269" s="67"/>
      <c r="K269" s="112"/>
      <c r="L269" s="4"/>
      <c r="M269" s="4"/>
      <c r="N269" s="4"/>
      <c r="O269" s="4"/>
      <c r="P269" s="4"/>
      <c r="Q269" s="4"/>
      <c r="R269" s="84"/>
      <c r="S269" s="4"/>
      <c r="T269" s="4"/>
      <c r="U269" s="107"/>
      <c r="V269" s="33"/>
      <c r="W269" s="104"/>
      <c r="X269" s="94"/>
      <c r="Y269" s="94"/>
      <c r="Z269" s="93"/>
      <c r="AA269" s="8"/>
      <c r="AB269" s="93"/>
      <c r="AC269" s="93"/>
      <c r="AD269" s="93"/>
      <c r="AE269" s="8"/>
      <c r="AF269" s="8"/>
      <c r="AG269" s="8"/>
      <c r="AH269" s="8"/>
      <c r="AI269" s="8"/>
      <c r="AJ269" s="8"/>
      <c r="AK269" s="8"/>
      <c r="AL269" s="8"/>
      <c r="AM269" s="93"/>
      <c r="AN269" s="89"/>
      <c r="AX269"/>
      <c r="AY269"/>
      <c r="AZ269"/>
      <c r="BA269"/>
      <c r="BB269"/>
      <c r="BC269"/>
      <c r="BD269"/>
      <c r="BE269"/>
      <c r="BF269"/>
      <c r="BG269"/>
      <c r="BH269"/>
      <c r="BI269"/>
      <c r="BJ269"/>
      <c r="BK269"/>
      <c r="BL269"/>
      <c r="BM269"/>
      <c r="BN269"/>
      <c r="BO269"/>
      <c r="BP269"/>
      <c r="BQ269"/>
      <c r="BR269"/>
      <c r="BY269"/>
      <c r="BZ269"/>
      <c r="CA269"/>
      <c r="CB269"/>
      <c r="CC269"/>
      <c r="CD269"/>
      <c r="CE269"/>
      <c r="CF269"/>
      <c r="CG269"/>
      <c r="CH269"/>
      <c r="CI269"/>
      <c r="CJ269"/>
      <c r="CK269"/>
      <c r="CL269"/>
      <c r="CM269"/>
      <c r="CN269"/>
      <c r="CO269"/>
      <c r="CP269"/>
      <c r="CQ269"/>
      <c r="CR269"/>
      <c r="CS269"/>
      <c r="CT269"/>
      <c r="CU269"/>
      <c r="CV269"/>
      <c r="CW269"/>
      <c r="CX269"/>
      <c r="CY269"/>
    </row>
    <row r="270" spans="2:103" ht="20.100000000000001" customHeight="1" x14ac:dyDescent="0.25">
      <c r="B270" s="68"/>
      <c r="C270" s="68"/>
      <c r="D270" s="68"/>
      <c r="E270" s="68"/>
      <c r="F270" s="69"/>
      <c r="G270" s="69"/>
      <c r="H270" s="69"/>
      <c r="I270" s="70"/>
      <c r="J270" s="67"/>
      <c r="K270" s="112"/>
      <c r="L270" s="4"/>
      <c r="M270" s="4"/>
      <c r="N270" s="4"/>
      <c r="O270" s="4"/>
      <c r="P270" s="4"/>
      <c r="Q270" s="4"/>
      <c r="R270" s="84"/>
      <c r="S270" s="4"/>
      <c r="T270" s="4"/>
      <c r="U270" s="107"/>
      <c r="V270" s="33"/>
      <c r="W270" s="104"/>
      <c r="X270" s="94"/>
      <c r="Y270" s="94"/>
      <c r="Z270" s="93"/>
      <c r="AA270" s="8"/>
      <c r="AB270" s="93"/>
      <c r="AC270" s="93"/>
      <c r="AD270" s="93"/>
      <c r="AE270" s="8"/>
      <c r="AF270" s="8"/>
      <c r="AG270" s="8"/>
      <c r="AH270" s="8"/>
      <c r="AI270" s="8"/>
      <c r="AJ270" s="8"/>
      <c r="AK270" s="8"/>
      <c r="AL270" s="8"/>
      <c r="AM270" s="93"/>
      <c r="AN270" s="89"/>
      <c r="AX270"/>
      <c r="AY270"/>
      <c r="AZ270"/>
      <c r="BA270"/>
      <c r="BB270"/>
      <c r="BC270"/>
      <c r="BD270"/>
      <c r="BE270"/>
      <c r="BF270"/>
      <c r="BG270"/>
      <c r="BH270"/>
      <c r="BI270"/>
      <c r="BJ270"/>
      <c r="BK270"/>
      <c r="BL270"/>
      <c r="BM270"/>
      <c r="BN270"/>
      <c r="BO270"/>
      <c r="BP270"/>
      <c r="BQ270"/>
      <c r="BR270"/>
      <c r="BY270"/>
      <c r="BZ270"/>
      <c r="CA270"/>
      <c r="CB270"/>
      <c r="CC270"/>
      <c r="CD270"/>
      <c r="CE270"/>
      <c r="CF270"/>
      <c r="CG270"/>
      <c r="CH270"/>
      <c r="CI270"/>
      <c r="CJ270"/>
      <c r="CK270"/>
      <c r="CL270"/>
      <c r="CM270"/>
      <c r="CN270"/>
      <c r="CO270"/>
      <c r="CP270"/>
      <c r="CQ270"/>
      <c r="CR270"/>
      <c r="CS270"/>
      <c r="CT270"/>
      <c r="CU270"/>
      <c r="CV270"/>
      <c r="CW270"/>
      <c r="CX270"/>
      <c r="CY270"/>
    </row>
    <row r="271" spans="2:103" ht="20.100000000000001" customHeight="1" x14ac:dyDescent="0.25">
      <c r="B271" s="68"/>
      <c r="C271" s="68"/>
      <c r="D271" s="68"/>
      <c r="E271" s="68"/>
      <c r="F271" s="69"/>
      <c r="G271" s="69"/>
      <c r="H271" s="69"/>
      <c r="I271" s="70"/>
      <c r="J271" s="67"/>
      <c r="K271" s="112"/>
      <c r="L271" s="4"/>
      <c r="M271" s="4"/>
      <c r="N271" s="4"/>
      <c r="O271" s="4"/>
      <c r="P271" s="4"/>
      <c r="Q271" s="4"/>
      <c r="R271" s="84"/>
      <c r="S271" s="4"/>
      <c r="T271" s="4"/>
      <c r="U271" s="107"/>
      <c r="V271" s="33"/>
      <c r="W271" s="104"/>
      <c r="X271" s="94"/>
      <c r="Y271" s="94"/>
      <c r="Z271" s="93"/>
      <c r="AA271" s="8"/>
      <c r="AB271" s="93"/>
      <c r="AC271" s="93"/>
      <c r="AD271" s="93"/>
      <c r="AE271" s="8"/>
      <c r="AF271" s="8"/>
      <c r="AG271" s="8"/>
      <c r="AH271" s="8"/>
      <c r="AI271" s="8"/>
      <c r="AJ271" s="8"/>
      <c r="AK271" s="8"/>
      <c r="AL271" s="8"/>
      <c r="AM271" s="93"/>
      <c r="AN271" s="89"/>
      <c r="AX271"/>
      <c r="AY271"/>
      <c r="AZ271"/>
      <c r="BA271"/>
      <c r="BB271"/>
      <c r="BC271"/>
      <c r="BD271"/>
      <c r="BE271"/>
      <c r="BF271"/>
      <c r="BG271"/>
      <c r="BH271"/>
      <c r="BI271"/>
      <c r="BJ271"/>
      <c r="BK271"/>
      <c r="BL271"/>
      <c r="BM271"/>
      <c r="BN271"/>
      <c r="BO271"/>
      <c r="BP271"/>
      <c r="BQ271"/>
      <c r="BR271"/>
      <c r="BY271"/>
      <c r="BZ271"/>
      <c r="CA271"/>
      <c r="CB271"/>
      <c r="CC271"/>
      <c r="CD271"/>
      <c r="CE271"/>
      <c r="CF271"/>
      <c r="CG271"/>
      <c r="CH271"/>
      <c r="CI271"/>
      <c r="CJ271"/>
      <c r="CK271"/>
      <c r="CL271"/>
      <c r="CM271"/>
      <c r="CN271"/>
      <c r="CO271"/>
      <c r="CP271"/>
      <c r="CQ271"/>
      <c r="CR271"/>
      <c r="CS271"/>
      <c r="CT271"/>
      <c r="CU271"/>
      <c r="CV271"/>
      <c r="CW271"/>
      <c r="CX271"/>
      <c r="CY271"/>
    </row>
    <row r="272" spans="2:103" ht="20.100000000000001" customHeight="1" x14ac:dyDescent="0.25">
      <c r="AX272"/>
      <c r="AY272"/>
      <c r="AZ272"/>
      <c r="BA272"/>
      <c r="BB272"/>
      <c r="BC272"/>
      <c r="BD272"/>
      <c r="BE272"/>
      <c r="BF272"/>
      <c r="BG272"/>
      <c r="BH272"/>
      <c r="BI272"/>
      <c r="BJ272"/>
      <c r="BK272"/>
      <c r="BL272"/>
      <c r="BM272"/>
      <c r="BN272"/>
      <c r="BO272"/>
      <c r="BP272"/>
      <c r="BQ272"/>
      <c r="BR272"/>
      <c r="BY272"/>
      <c r="BZ272"/>
      <c r="CA272"/>
      <c r="CB272"/>
      <c r="CC272"/>
      <c r="CD272"/>
      <c r="CE272"/>
      <c r="CF272"/>
      <c r="CG272"/>
      <c r="CH272"/>
      <c r="CI272"/>
      <c r="CJ272"/>
      <c r="CK272"/>
      <c r="CL272"/>
      <c r="CM272"/>
      <c r="CN272"/>
      <c r="CO272"/>
      <c r="CP272"/>
      <c r="CQ272"/>
      <c r="CR272"/>
      <c r="CS272"/>
      <c r="CT272"/>
      <c r="CU272"/>
      <c r="CV272"/>
      <c r="CW272"/>
      <c r="CX272"/>
      <c r="CY272"/>
    </row>
    <row r="273" spans="50:103" ht="20.100000000000001" customHeight="1" x14ac:dyDescent="0.25">
      <c r="AX273"/>
      <c r="AY273"/>
      <c r="AZ273"/>
      <c r="BA273"/>
      <c r="BB273"/>
      <c r="BC273"/>
      <c r="BD273"/>
      <c r="BE273"/>
      <c r="BF273"/>
      <c r="BG273"/>
      <c r="BH273"/>
      <c r="BI273"/>
      <c r="BJ273"/>
      <c r="BK273"/>
      <c r="BL273"/>
      <c r="BM273"/>
      <c r="BN273"/>
      <c r="BO273"/>
      <c r="BP273"/>
      <c r="BQ273"/>
      <c r="BR273"/>
      <c r="BY273"/>
      <c r="BZ273"/>
      <c r="CA273"/>
      <c r="CB273"/>
      <c r="CC273"/>
      <c r="CD273"/>
      <c r="CE273"/>
      <c r="CF273"/>
      <c r="CG273"/>
      <c r="CH273"/>
      <c r="CI273"/>
      <c r="CJ273"/>
      <c r="CK273"/>
      <c r="CL273"/>
      <c r="CM273"/>
      <c r="CN273"/>
      <c r="CO273"/>
      <c r="CP273"/>
      <c r="CQ273"/>
      <c r="CR273"/>
      <c r="CS273"/>
      <c r="CT273"/>
      <c r="CU273"/>
      <c r="CV273"/>
      <c r="CW273"/>
      <c r="CX273"/>
      <c r="CY273"/>
    </row>
    <row r="274" spans="50:103" ht="20.100000000000001" customHeight="1" x14ac:dyDescent="0.25">
      <c r="AX274"/>
      <c r="AY274"/>
      <c r="AZ274"/>
      <c r="BA274"/>
      <c r="BB274"/>
      <c r="BC274"/>
      <c r="BD274"/>
      <c r="BE274"/>
      <c r="BF274"/>
      <c r="BG274"/>
      <c r="BH274"/>
      <c r="BI274"/>
      <c r="BJ274"/>
      <c r="BK274"/>
      <c r="BL274"/>
      <c r="BM274"/>
      <c r="BN274"/>
      <c r="BO274"/>
      <c r="BP274"/>
      <c r="BQ274"/>
      <c r="BR274"/>
      <c r="BY274"/>
      <c r="BZ274"/>
      <c r="CA274"/>
      <c r="CB274"/>
      <c r="CC274"/>
      <c r="CD274"/>
      <c r="CE274"/>
      <c r="CF274"/>
      <c r="CG274"/>
      <c r="CH274"/>
      <c r="CI274"/>
      <c r="CJ274"/>
      <c r="CK274"/>
      <c r="CL274"/>
      <c r="CM274"/>
      <c r="CN274"/>
      <c r="CO274"/>
      <c r="CP274"/>
      <c r="CQ274"/>
      <c r="CR274"/>
      <c r="CS274"/>
      <c r="CT274"/>
      <c r="CU274"/>
      <c r="CV274"/>
      <c r="CW274"/>
      <c r="CX274"/>
      <c r="CY274"/>
    </row>
    <row r="275" spans="50:103" ht="20.100000000000001" customHeight="1" x14ac:dyDescent="0.25">
      <c r="AX275"/>
      <c r="AY275"/>
      <c r="AZ275"/>
      <c r="BA275"/>
      <c r="BB275"/>
      <c r="BC275"/>
      <c r="BD275"/>
      <c r="BE275"/>
      <c r="BF275"/>
      <c r="BG275"/>
      <c r="BH275"/>
      <c r="BI275"/>
      <c r="BJ275"/>
      <c r="BK275"/>
      <c r="BL275"/>
      <c r="BM275"/>
      <c r="BN275"/>
      <c r="BO275"/>
      <c r="BP275"/>
      <c r="BQ275"/>
      <c r="BR275"/>
      <c r="BY275"/>
      <c r="BZ275"/>
      <c r="CA275"/>
      <c r="CB275"/>
      <c r="CC275"/>
      <c r="CD275"/>
      <c r="CE275"/>
      <c r="CF275"/>
      <c r="CG275"/>
      <c r="CH275"/>
      <c r="CI275"/>
      <c r="CJ275"/>
      <c r="CK275"/>
      <c r="CL275"/>
      <c r="CM275"/>
      <c r="CN275"/>
      <c r="CO275"/>
      <c r="CP275"/>
      <c r="CQ275"/>
      <c r="CR275"/>
      <c r="CS275"/>
      <c r="CT275"/>
      <c r="CU275"/>
      <c r="CV275"/>
      <c r="CW275"/>
      <c r="CX275"/>
      <c r="CY275"/>
    </row>
    <row r="276" spans="50:103" ht="20.100000000000001" customHeight="1" x14ac:dyDescent="0.25">
      <c r="AX276"/>
      <c r="AY276"/>
      <c r="AZ276"/>
      <c r="BA276"/>
      <c r="BB276"/>
      <c r="BC276"/>
      <c r="BD276"/>
      <c r="BE276"/>
      <c r="BF276"/>
      <c r="BG276"/>
      <c r="BH276"/>
      <c r="BI276"/>
      <c r="BJ276"/>
      <c r="BK276"/>
      <c r="BL276"/>
      <c r="BM276"/>
      <c r="BN276"/>
      <c r="BO276"/>
      <c r="BP276"/>
      <c r="BQ276"/>
      <c r="BR276"/>
      <c r="BY276"/>
      <c r="BZ276"/>
      <c r="CA276"/>
      <c r="CB276"/>
      <c r="CC276"/>
      <c r="CD276"/>
      <c r="CE276"/>
      <c r="CF276"/>
      <c r="CG276"/>
      <c r="CH276"/>
      <c r="CI276"/>
      <c r="CJ276"/>
      <c r="CK276"/>
      <c r="CL276"/>
      <c r="CM276"/>
      <c r="CN276"/>
      <c r="CO276"/>
      <c r="CP276"/>
      <c r="CQ276"/>
      <c r="CR276"/>
      <c r="CS276"/>
      <c r="CT276"/>
      <c r="CU276"/>
      <c r="CV276"/>
      <c r="CW276"/>
      <c r="CX276"/>
      <c r="CY276"/>
    </row>
    <row r="277" spans="50:103" ht="20.100000000000001" customHeight="1" x14ac:dyDescent="0.25">
      <c r="AX277"/>
      <c r="AY277"/>
      <c r="AZ277"/>
      <c r="BA277"/>
      <c r="BB277"/>
      <c r="BC277"/>
      <c r="BD277"/>
      <c r="BE277"/>
      <c r="BF277"/>
      <c r="BG277"/>
      <c r="BH277"/>
      <c r="BI277"/>
      <c r="BJ277"/>
      <c r="BK277"/>
      <c r="BL277"/>
      <c r="BM277"/>
      <c r="BN277"/>
      <c r="BO277"/>
      <c r="BP277"/>
      <c r="BQ277"/>
      <c r="BR277"/>
      <c r="BY277"/>
      <c r="BZ277"/>
      <c r="CA277"/>
      <c r="CB277"/>
      <c r="CC277"/>
      <c r="CD277"/>
      <c r="CE277"/>
      <c r="CF277"/>
      <c r="CG277"/>
      <c r="CH277"/>
      <c r="CI277"/>
      <c r="CJ277"/>
      <c r="CK277"/>
      <c r="CL277"/>
      <c r="CM277"/>
      <c r="CN277"/>
      <c r="CO277"/>
      <c r="CP277"/>
      <c r="CQ277"/>
      <c r="CR277"/>
      <c r="CS277"/>
      <c r="CT277"/>
      <c r="CU277"/>
      <c r="CV277"/>
      <c r="CW277"/>
      <c r="CX277"/>
      <c r="CY277"/>
    </row>
    <row r="278" spans="50:103" ht="20.100000000000001" customHeight="1" x14ac:dyDescent="0.25">
      <c r="AX278"/>
      <c r="AY278"/>
      <c r="AZ278"/>
      <c r="BA278"/>
      <c r="BB278"/>
      <c r="BC278"/>
      <c r="BD278"/>
      <c r="BE278"/>
      <c r="BF278"/>
      <c r="BG278"/>
      <c r="BH278"/>
      <c r="BI278"/>
      <c r="BJ278"/>
      <c r="BK278"/>
      <c r="BL278"/>
      <c r="BM278"/>
      <c r="BN278"/>
      <c r="BO278"/>
      <c r="BP278"/>
      <c r="BQ278"/>
      <c r="BR278"/>
      <c r="BY278"/>
      <c r="BZ278"/>
      <c r="CA278"/>
      <c r="CB278"/>
      <c r="CC278"/>
      <c r="CD278"/>
      <c r="CE278"/>
      <c r="CF278"/>
      <c r="CG278"/>
      <c r="CH278"/>
      <c r="CI278"/>
      <c r="CJ278"/>
      <c r="CK278"/>
      <c r="CL278"/>
      <c r="CM278"/>
      <c r="CN278"/>
      <c r="CO278"/>
      <c r="CP278"/>
      <c r="CQ278"/>
      <c r="CR278"/>
      <c r="CS278"/>
      <c r="CT278"/>
      <c r="CU278"/>
      <c r="CV278"/>
      <c r="CW278"/>
      <c r="CX278"/>
      <c r="CY278"/>
    </row>
    <row r="279" spans="50:103" ht="20.100000000000001" customHeight="1" x14ac:dyDescent="0.25">
      <c r="AX279"/>
      <c r="AY279"/>
      <c r="AZ279"/>
      <c r="BA279"/>
      <c r="BB279"/>
      <c r="BC279"/>
      <c r="BD279"/>
      <c r="BE279"/>
      <c r="BF279"/>
      <c r="BG279"/>
      <c r="BH279"/>
      <c r="BI279"/>
      <c r="BJ279"/>
      <c r="BK279"/>
      <c r="BL279"/>
      <c r="BM279"/>
      <c r="BN279"/>
      <c r="BO279"/>
      <c r="BP279"/>
      <c r="BQ279"/>
      <c r="BR279"/>
      <c r="BY279"/>
      <c r="BZ279"/>
      <c r="CA279"/>
      <c r="CB279"/>
      <c r="CC279"/>
      <c r="CD279"/>
      <c r="CE279"/>
      <c r="CF279"/>
      <c r="CG279"/>
      <c r="CH279"/>
      <c r="CI279"/>
      <c r="CJ279"/>
      <c r="CK279"/>
      <c r="CL279"/>
      <c r="CM279"/>
      <c r="CN279"/>
      <c r="CO279"/>
      <c r="CP279"/>
      <c r="CQ279"/>
      <c r="CR279"/>
      <c r="CS279"/>
      <c r="CT279"/>
      <c r="CU279"/>
      <c r="CV279"/>
      <c r="CW279"/>
      <c r="CX279"/>
      <c r="CY279"/>
    </row>
    <row r="280" spans="50:103" ht="20.100000000000001" customHeight="1" x14ac:dyDescent="0.25">
      <c r="AX280"/>
      <c r="AY280"/>
      <c r="AZ280"/>
      <c r="BA280"/>
      <c r="BB280"/>
      <c r="BC280"/>
      <c r="BD280"/>
      <c r="BE280"/>
      <c r="BF280"/>
      <c r="BG280"/>
      <c r="BH280"/>
      <c r="BI280"/>
      <c r="BJ280"/>
      <c r="BK280"/>
      <c r="BL280"/>
      <c r="BM280"/>
      <c r="BN280"/>
      <c r="BO280"/>
      <c r="BP280"/>
      <c r="BQ280"/>
      <c r="BR280"/>
      <c r="BY280"/>
      <c r="BZ280"/>
      <c r="CA280"/>
      <c r="CB280"/>
      <c r="CC280"/>
      <c r="CD280"/>
      <c r="CE280"/>
      <c r="CF280"/>
      <c r="CG280"/>
      <c r="CH280"/>
      <c r="CI280"/>
      <c r="CJ280"/>
      <c r="CK280"/>
      <c r="CL280"/>
      <c r="CM280"/>
      <c r="CN280"/>
      <c r="CO280"/>
      <c r="CP280"/>
      <c r="CQ280"/>
      <c r="CR280"/>
      <c r="CS280"/>
      <c r="CT280"/>
      <c r="CU280"/>
      <c r="CV280"/>
      <c r="CW280"/>
      <c r="CX280"/>
      <c r="CY280"/>
    </row>
    <row r="281" spans="50:103" ht="20.100000000000001" customHeight="1" x14ac:dyDescent="0.25">
      <c r="AX281"/>
      <c r="AY281"/>
      <c r="AZ281"/>
      <c r="BA281"/>
      <c r="BB281"/>
      <c r="BC281"/>
      <c r="BD281"/>
      <c r="BE281"/>
      <c r="BF281"/>
      <c r="BG281"/>
      <c r="BH281"/>
      <c r="BI281"/>
      <c r="BJ281"/>
      <c r="BK281"/>
      <c r="BL281"/>
      <c r="BM281"/>
      <c r="BN281"/>
      <c r="BO281"/>
      <c r="BP281"/>
      <c r="BQ281"/>
      <c r="BR281"/>
      <c r="BY281"/>
      <c r="BZ281"/>
      <c r="CA281"/>
      <c r="CB281"/>
      <c r="CC281"/>
      <c r="CD281"/>
      <c r="CE281"/>
      <c r="CF281"/>
      <c r="CG281"/>
      <c r="CH281"/>
      <c r="CI281"/>
      <c r="CJ281"/>
      <c r="CK281"/>
      <c r="CL281"/>
      <c r="CM281"/>
      <c r="CN281"/>
      <c r="CO281"/>
      <c r="CP281"/>
      <c r="CQ281"/>
      <c r="CR281"/>
      <c r="CS281"/>
      <c r="CT281"/>
      <c r="CU281"/>
      <c r="CV281"/>
      <c r="CW281"/>
      <c r="CX281"/>
      <c r="CY281"/>
    </row>
    <row r="282" spans="50:103" ht="20.100000000000001" customHeight="1" x14ac:dyDescent="0.25">
      <c r="AX282"/>
      <c r="AY282"/>
      <c r="AZ282"/>
      <c r="BA282"/>
      <c r="BB282"/>
      <c r="BC282"/>
      <c r="BD282"/>
      <c r="BE282"/>
      <c r="BF282"/>
      <c r="BG282"/>
      <c r="BH282"/>
      <c r="BI282"/>
      <c r="BJ282"/>
      <c r="BK282"/>
      <c r="BL282"/>
      <c r="BM282"/>
      <c r="BN282"/>
      <c r="BO282"/>
      <c r="BP282"/>
      <c r="BQ282"/>
      <c r="BR282"/>
      <c r="BY282"/>
      <c r="BZ282"/>
      <c r="CA282"/>
      <c r="CB282"/>
      <c r="CC282"/>
      <c r="CD282"/>
      <c r="CE282"/>
      <c r="CF282"/>
      <c r="CG282"/>
      <c r="CH282"/>
      <c r="CI282"/>
      <c r="CJ282"/>
      <c r="CK282"/>
      <c r="CL282"/>
      <c r="CM282"/>
      <c r="CN282"/>
      <c r="CO282"/>
      <c r="CP282"/>
      <c r="CQ282"/>
      <c r="CR282"/>
      <c r="CS282"/>
      <c r="CT282"/>
      <c r="CU282"/>
      <c r="CV282"/>
      <c r="CW282"/>
      <c r="CX282"/>
      <c r="CY282"/>
    </row>
    <row r="283" spans="50:103" ht="20.100000000000001" customHeight="1" x14ac:dyDescent="0.25">
      <c r="AX283"/>
      <c r="AY283"/>
      <c r="AZ283"/>
      <c r="BA283"/>
      <c r="BB283"/>
      <c r="BC283"/>
      <c r="BD283"/>
      <c r="BE283"/>
      <c r="BF283"/>
      <c r="BG283"/>
      <c r="BH283"/>
      <c r="BI283"/>
      <c r="BJ283"/>
      <c r="BK283"/>
      <c r="BL283"/>
      <c r="BM283"/>
      <c r="BN283"/>
      <c r="BO283"/>
      <c r="BP283"/>
      <c r="BQ283"/>
      <c r="BR283"/>
      <c r="BY283"/>
      <c r="BZ283"/>
      <c r="CA283"/>
      <c r="CB283"/>
      <c r="CC283"/>
      <c r="CD283"/>
      <c r="CE283"/>
      <c r="CF283"/>
      <c r="CG283"/>
      <c r="CH283"/>
      <c r="CI283"/>
      <c r="CJ283"/>
      <c r="CK283"/>
      <c r="CL283"/>
      <c r="CM283"/>
      <c r="CN283"/>
      <c r="CO283"/>
      <c r="CP283"/>
      <c r="CQ283"/>
      <c r="CR283"/>
      <c r="CS283"/>
      <c r="CT283"/>
      <c r="CU283"/>
      <c r="CV283"/>
      <c r="CW283"/>
      <c r="CX283"/>
      <c r="CY283"/>
    </row>
    <row r="284" spans="50:103" ht="20.100000000000001" customHeight="1" x14ac:dyDescent="0.25">
      <c r="AX284"/>
      <c r="AY284"/>
      <c r="AZ284"/>
      <c r="BA284"/>
      <c r="BB284"/>
      <c r="BC284"/>
      <c r="BD284"/>
      <c r="BE284"/>
      <c r="BF284"/>
      <c r="BG284"/>
      <c r="BH284"/>
      <c r="BI284"/>
      <c r="BJ284"/>
      <c r="BK284"/>
      <c r="BL284"/>
      <c r="BM284"/>
      <c r="BN284"/>
      <c r="BO284"/>
      <c r="BP284"/>
      <c r="BQ284"/>
      <c r="BR284"/>
      <c r="BY284"/>
      <c r="BZ284"/>
      <c r="CA284"/>
      <c r="CB284"/>
      <c r="CC284"/>
      <c r="CD284"/>
      <c r="CE284"/>
      <c r="CF284"/>
      <c r="CG284"/>
      <c r="CH284"/>
      <c r="CI284"/>
      <c r="CJ284"/>
      <c r="CK284"/>
      <c r="CL284"/>
      <c r="CM284"/>
      <c r="CN284"/>
      <c r="CO284"/>
      <c r="CP284"/>
      <c r="CQ284"/>
      <c r="CR284"/>
      <c r="CS284"/>
      <c r="CT284"/>
      <c r="CU284"/>
      <c r="CV284"/>
      <c r="CW284"/>
      <c r="CX284"/>
      <c r="CY284"/>
    </row>
    <row r="285" spans="50:103" ht="20.100000000000001" customHeight="1" x14ac:dyDescent="0.25">
      <c r="AX285"/>
      <c r="AY285"/>
      <c r="AZ285"/>
      <c r="BA285"/>
      <c r="BB285"/>
      <c r="BC285"/>
      <c r="BD285"/>
      <c r="BE285"/>
      <c r="BF285"/>
      <c r="BG285"/>
      <c r="BH285"/>
      <c r="BI285"/>
      <c r="BJ285"/>
      <c r="BK285"/>
      <c r="BL285"/>
      <c r="BM285"/>
      <c r="BN285"/>
      <c r="BO285"/>
      <c r="BP285"/>
      <c r="BQ285"/>
      <c r="BR285"/>
      <c r="BY285"/>
      <c r="BZ285"/>
      <c r="CA285"/>
      <c r="CB285"/>
      <c r="CC285"/>
      <c r="CD285"/>
      <c r="CE285"/>
      <c r="CF285"/>
      <c r="CG285"/>
      <c r="CH285"/>
      <c r="CI285"/>
      <c r="CJ285"/>
      <c r="CK285"/>
      <c r="CL285"/>
      <c r="CM285"/>
      <c r="CN285"/>
      <c r="CO285"/>
      <c r="CP285"/>
      <c r="CQ285"/>
      <c r="CR285"/>
      <c r="CS285"/>
      <c r="CT285"/>
      <c r="CU285"/>
      <c r="CV285"/>
      <c r="CW285"/>
      <c r="CX285"/>
      <c r="CY285"/>
    </row>
    <row r="286" spans="50:103" ht="20.100000000000001" customHeight="1" x14ac:dyDescent="0.25">
      <c r="AX286"/>
      <c r="AY286"/>
      <c r="AZ286"/>
      <c r="BA286"/>
      <c r="BB286"/>
      <c r="BC286"/>
      <c r="BD286"/>
      <c r="BE286"/>
      <c r="BF286"/>
      <c r="BG286"/>
      <c r="BH286"/>
      <c r="BI286"/>
      <c r="BJ286"/>
      <c r="BK286"/>
      <c r="BL286"/>
      <c r="BM286"/>
      <c r="BN286"/>
      <c r="BO286"/>
      <c r="BP286"/>
      <c r="BQ286"/>
      <c r="BR286"/>
      <c r="BY286"/>
      <c r="BZ286"/>
      <c r="CA286"/>
      <c r="CB286"/>
      <c r="CC286"/>
      <c r="CD286"/>
      <c r="CE286"/>
      <c r="CF286"/>
      <c r="CG286"/>
      <c r="CH286"/>
      <c r="CI286"/>
      <c r="CJ286"/>
      <c r="CK286"/>
      <c r="CL286"/>
      <c r="CM286"/>
      <c r="CN286"/>
      <c r="CO286"/>
      <c r="CP286"/>
      <c r="CQ286"/>
      <c r="CR286"/>
      <c r="CS286"/>
      <c r="CT286"/>
      <c r="CU286"/>
      <c r="CV286"/>
      <c r="CW286"/>
      <c r="CX286"/>
      <c r="CY286"/>
    </row>
    <row r="287" spans="50:103" ht="20.100000000000001" customHeight="1" x14ac:dyDescent="0.25">
      <c r="AX287"/>
      <c r="AY287"/>
      <c r="AZ287"/>
      <c r="BA287"/>
      <c r="BB287"/>
      <c r="BC287"/>
      <c r="BD287"/>
      <c r="BE287"/>
      <c r="BF287"/>
      <c r="BG287"/>
      <c r="BH287"/>
      <c r="BI287"/>
      <c r="BJ287"/>
      <c r="BK287"/>
      <c r="BL287"/>
      <c r="BM287"/>
      <c r="BN287"/>
      <c r="BO287"/>
      <c r="BP287"/>
      <c r="BQ287"/>
      <c r="BR287"/>
      <c r="BY287"/>
      <c r="BZ287"/>
      <c r="CA287"/>
      <c r="CB287"/>
      <c r="CC287"/>
      <c r="CD287"/>
      <c r="CE287"/>
      <c r="CF287"/>
      <c r="CG287"/>
      <c r="CH287"/>
      <c r="CI287"/>
      <c r="CJ287"/>
      <c r="CK287"/>
      <c r="CL287"/>
      <c r="CM287"/>
      <c r="CN287"/>
      <c r="CO287"/>
      <c r="CP287"/>
      <c r="CQ287"/>
      <c r="CR287"/>
      <c r="CS287"/>
      <c r="CT287"/>
      <c r="CU287"/>
      <c r="CV287"/>
      <c r="CW287"/>
      <c r="CX287"/>
      <c r="CY287"/>
    </row>
    <row r="288" spans="50:103" ht="20.100000000000001" customHeight="1" x14ac:dyDescent="0.25">
      <c r="AX288"/>
      <c r="AY288"/>
      <c r="AZ288"/>
      <c r="BA288"/>
      <c r="BB288"/>
      <c r="BC288"/>
      <c r="BD288"/>
      <c r="BE288"/>
      <c r="BF288"/>
      <c r="BG288"/>
      <c r="BH288"/>
      <c r="BI288"/>
      <c r="BJ288"/>
      <c r="BK288"/>
      <c r="BL288"/>
      <c r="BM288"/>
      <c r="BN288"/>
      <c r="BO288"/>
      <c r="BP288"/>
      <c r="BQ288"/>
      <c r="BR288"/>
      <c r="BY288"/>
      <c r="BZ288"/>
      <c r="CA288"/>
      <c r="CB288"/>
      <c r="CC288"/>
      <c r="CD288"/>
      <c r="CE288"/>
      <c r="CF288"/>
      <c r="CG288"/>
      <c r="CH288"/>
      <c r="CI288"/>
      <c r="CJ288"/>
      <c r="CK288"/>
      <c r="CL288"/>
      <c r="CM288"/>
      <c r="CN288"/>
      <c r="CO288"/>
      <c r="CP288"/>
      <c r="CQ288"/>
      <c r="CR288"/>
      <c r="CS288"/>
      <c r="CT288"/>
      <c r="CU288"/>
      <c r="CV288"/>
      <c r="CW288"/>
      <c r="CX288"/>
      <c r="CY288"/>
    </row>
    <row r="289" spans="50:103" ht="20.100000000000001" customHeight="1" x14ac:dyDescent="0.25">
      <c r="AX289"/>
      <c r="AY289"/>
      <c r="AZ289"/>
      <c r="BA289"/>
      <c r="BB289"/>
      <c r="BC289"/>
      <c r="BD289"/>
      <c r="BE289"/>
      <c r="BF289"/>
      <c r="BG289"/>
      <c r="BH289"/>
      <c r="BI289"/>
      <c r="BJ289"/>
      <c r="BK289"/>
      <c r="BL289"/>
      <c r="BM289"/>
      <c r="BN289"/>
      <c r="BO289"/>
      <c r="BP289"/>
      <c r="BQ289"/>
      <c r="BR289"/>
      <c r="BY289"/>
      <c r="BZ289"/>
      <c r="CA289"/>
      <c r="CB289"/>
      <c r="CC289"/>
      <c r="CD289"/>
      <c r="CE289"/>
      <c r="CF289"/>
      <c r="CG289"/>
      <c r="CH289"/>
      <c r="CI289"/>
      <c r="CJ289"/>
      <c r="CK289"/>
      <c r="CL289"/>
      <c r="CM289"/>
      <c r="CN289"/>
      <c r="CO289"/>
      <c r="CP289"/>
      <c r="CQ289"/>
      <c r="CR289"/>
      <c r="CS289"/>
      <c r="CT289"/>
      <c r="CU289"/>
      <c r="CV289"/>
      <c r="CW289"/>
      <c r="CX289"/>
      <c r="CY289"/>
    </row>
    <row r="290" spans="50:103" ht="20.100000000000001" customHeight="1" x14ac:dyDescent="0.25">
      <c r="AX290"/>
      <c r="AY290"/>
      <c r="AZ290"/>
      <c r="BA290"/>
      <c r="BB290"/>
      <c r="BC290"/>
      <c r="BD290"/>
      <c r="BE290"/>
      <c r="BF290"/>
      <c r="BG290"/>
      <c r="BH290"/>
      <c r="BI290"/>
      <c r="BJ290"/>
      <c r="BK290"/>
      <c r="BL290"/>
      <c r="BM290"/>
      <c r="BN290"/>
      <c r="BO290"/>
      <c r="BP290"/>
      <c r="BQ290"/>
      <c r="BR290"/>
      <c r="BY290"/>
      <c r="BZ290"/>
      <c r="CA290"/>
      <c r="CB290"/>
      <c r="CC290"/>
      <c r="CD290"/>
      <c r="CE290"/>
      <c r="CF290"/>
      <c r="CG290"/>
      <c r="CH290"/>
      <c r="CI290"/>
      <c r="CJ290"/>
      <c r="CK290"/>
      <c r="CL290"/>
      <c r="CM290"/>
      <c r="CN290"/>
      <c r="CO290"/>
      <c r="CP290"/>
      <c r="CQ290"/>
      <c r="CR290"/>
      <c r="CS290"/>
      <c r="CT290"/>
      <c r="CU290"/>
      <c r="CV290"/>
      <c r="CW290"/>
      <c r="CX290"/>
      <c r="CY290"/>
    </row>
    <row r="291" spans="50:103" ht="20.100000000000001" customHeight="1" x14ac:dyDescent="0.25">
      <c r="AX291"/>
      <c r="AY291"/>
      <c r="AZ291"/>
      <c r="BA291"/>
      <c r="BB291"/>
      <c r="BC291"/>
      <c r="BD291"/>
      <c r="BE291"/>
      <c r="BF291"/>
      <c r="BG291"/>
      <c r="BH291"/>
      <c r="BI291"/>
      <c r="BJ291"/>
      <c r="BK291"/>
      <c r="BL291"/>
      <c r="BM291"/>
      <c r="BN291"/>
      <c r="BO291"/>
      <c r="BP291"/>
      <c r="BQ291"/>
      <c r="BR291"/>
      <c r="BY291"/>
      <c r="BZ291"/>
      <c r="CA291"/>
      <c r="CB291"/>
      <c r="CC291"/>
      <c r="CD291"/>
      <c r="CE291"/>
      <c r="CF291"/>
      <c r="CG291"/>
      <c r="CH291"/>
      <c r="CI291"/>
      <c r="CJ291"/>
      <c r="CK291"/>
      <c r="CL291"/>
      <c r="CM291"/>
      <c r="CN291"/>
      <c r="CO291"/>
      <c r="CP291"/>
      <c r="CQ291"/>
      <c r="CR291"/>
      <c r="CS291"/>
      <c r="CT291"/>
      <c r="CU291"/>
      <c r="CV291"/>
      <c r="CW291"/>
      <c r="CX291"/>
      <c r="CY291"/>
    </row>
    <row r="292" spans="50:103" ht="20.100000000000001" customHeight="1" x14ac:dyDescent="0.25">
      <c r="AX292"/>
      <c r="AY292"/>
      <c r="AZ292"/>
      <c r="BA292"/>
      <c r="BB292"/>
      <c r="BC292"/>
      <c r="BD292"/>
      <c r="BE292"/>
      <c r="BF292"/>
      <c r="BG292"/>
      <c r="BH292"/>
      <c r="BI292"/>
      <c r="BJ292"/>
      <c r="BK292"/>
      <c r="BL292"/>
      <c r="BM292"/>
      <c r="BN292"/>
      <c r="BO292"/>
      <c r="BP292"/>
      <c r="BQ292"/>
      <c r="BR292"/>
      <c r="BY292"/>
      <c r="BZ292"/>
      <c r="CA292"/>
      <c r="CB292"/>
      <c r="CC292"/>
      <c r="CD292"/>
      <c r="CE292"/>
      <c r="CF292"/>
      <c r="CG292"/>
      <c r="CH292"/>
      <c r="CI292"/>
      <c r="CJ292"/>
      <c r="CK292"/>
      <c r="CL292"/>
      <c r="CM292"/>
      <c r="CN292"/>
      <c r="CO292"/>
      <c r="CP292"/>
      <c r="CQ292"/>
      <c r="CR292"/>
      <c r="CS292"/>
      <c r="CT292"/>
      <c r="CU292"/>
      <c r="CV292"/>
      <c r="CW292"/>
      <c r="CX292"/>
      <c r="CY292"/>
    </row>
    <row r="293" spans="50:103" ht="20.100000000000001" customHeight="1" x14ac:dyDescent="0.25">
      <c r="AX293"/>
      <c r="AY293"/>
      <c r="AZ293"/>
      <c r="BA293"/>
      <c r="BB293"/>
      <c r="BC293"/>
      <c r="BD293"/>
      <c r="BE293"/>
      <c r="BF293"/>
      <c r="BG293"/>
      <c r="BH293"/>
      <c r="BI293"/>
      <c r="BJ293"/>
      <c r="BK293"/>
      <c r="BL293"/>
      <c r="BM293"/>
      <c r="BN293"/>
      <c r="BO293"/>
      <c r="BP293"/>
      <c r="BQ293"/>
      <c r="BR293"/>
      <c r="BY293"/>
      <c r="BZ293"/>
      <c r="CA293"/>
      <c r="CB293"/>
      <c r="CC293"/>
      <c r="CD293"/>
      <c r="CE293"/>
      <c r="CF293"/>
      <c r="CG293"/>
      <c r="CH293"/>
      <c r="CI293"/>
      <c r="CJ293"/>
      <c r="CK293"/>
      <c r="CL293"/>
      <c r="CM293"/>
      <c r="CN293"/>
      <c r="CO293"/>
      <c r="CP293"/>
      <c r="CQ293"/>
      <c r="CR293"/>
      <c r="CS293"/>
      <c r="CT293"/>
      <c r="CU293"/>
      <c r="CV293"/>
      <c r="CW293"/>
      <c r="CX293"/>
      <c r="CY293"/>
    </row>
    <row r="294" spans="50:103" ht="20.100000000000001" customHeight="1" x14ac:dyDescent="0.25">
      <c r="AX294"/>
      <c r="AY294"/>
      <c r="AZ294"/>
      <c r="BA294"/>
      <c r="BB294"/>
      <c r="BC294"/>
      <c r="BD294"/>
      <c r="BE294"/>
      <c r="BF294"/>
      <c r="BG294"/>
      <c r="BH294"/>
      <c r="BI294"/>
      <c r="BJ294"/>
      <c r="BK294"/>
      <c r="BL294"/>
      <c r="BM294"/>
      <c r="BN294"/>
      <c r="BO294"/>
      <c r="BP294"/>
      <c r="BQ294"/>
      <c r="BR294"/>
      <c r="BY294"/>
      <c r="BZ294"/>
      <c r="CA294"/>
      <c r="CB294"/>
      <c r="CC294"/>
      <c r="CD294"/>
      <c r="CE294"/>
      <c r="CF294"/>
      <c r="CG294"/>
      <c r="CH294"/>
      <c r="CI294"/>
      <c r="CJ294"/>
      <c r="CK294"/>
      <c r="CL294"/>
      <c r="CM294"/>
      <c r="CN294"/>
      <c r="CO294"/>
      <c r="CP294"/>
      <c r="CQ294"/>
      <c r="CR294"/>
      <c r="CS294"/>
      <c r="CT294"/>
      <c r="CU294"/>
      <c r="CV294"/>
      <c r="CW294"/>
      <c r="CX294"/>
      <c r="CY294"/>
    </row>
    <row r="295" spans="50:103" ht="20.100000000000001" customHeight="1" x14ac:dyDescent="0.25">
      <c r="AX295"/>
      <c r="AY295"/>
      <c r="AZ295"/>
      <c r="BA295"/>
      <c r="BB295"/>
      <c r="BC295"/>
      <c r="BD295"/>
      <c r="BE295"/>
      <c r="BF295"/>
      <c r="BG295"/>
      <c r="BH295"/>
      <c r="BI295"/>
      <c r="BJ295"/>
      <c r="BK295"/>
      <c r="BL295"/>
      <c r="BM295"/>
      <c r="BN295"/>
      <c r="BO295"/>
      <c r="BP295"/>
      <c r="BQ295"/>
      <c r="BR295"/>
      <c r="BY295"/>
      <c r="BZ295"/>
      <c r="CA295"/>
      <c r="CB295"/>
      <c r="CC295"/>
      <c r="CD295"/>
      <c r="CE295"/>
      <c r="CF295"/>
      <c r="CG295"/>
      <c r="CH295"/>
      <c r="CI295"/>
      <c r="CJ295"/>
      <c r="CK295"/>
      <c r="CL295"/>
      <c r="CM295"/>
      <c r="CN295"/>
      <c r="CO295"/>
      <c r="CP295"/>
      <c r="CQ295"/>
      <c r="CR295"/>
      <c r="CS295"/>
      <c r="CT295"/>
      <c r="CU295"/>
      <c r="CV295"/>
      <c r="CW295"/>
      <c r="CX295"/>
      <c r="CY295"/>
    </row>
    <row r="296" spans="50:103" ht="20.100000000000001" customHeight="1" x14ac:dyDescent="0.25">
      <c r="AX296"/>
      <c r="AY296"/>
      <c r="AZ296"/>
      <c r="BA296"/>
      <c r="BB296"/>
      <c r="BC296"/>
      <c r="BD296"/>
      <c r="BE296"/>
      <c r="BF296"/>
      <c r="BG296"/>
      <c r="BH296"/>
      <c r="BI296"/>
      <c r="BJ296"/>
      <c r="BK296"/>
      <c r="BL296"/>
      <c r="BM296"/>
      <c r="BN296"/>
      <c r="BO296"/>
      <c r="BP296"/>
      <c r="BQ296"/>
      <c r="BR296"/>
      <c r="BY296"/>
      <c r="BZ296"/>
      <c r="CA296"/>
      <c r="CB296"/>
      <c r="CC296"/>
      <c r="CD296"/>
      <c r="CE296"/>
      <c r="CF296"/>
      <c r="CG296"/>
      <c r="CH296"/>
      <c r="CI296"/>
      <c r="CJ296"/>
      <c r="CK296"/>
      <c r="CL296"/>
      <c r="CM296"/>
      <c r="CN296"/>
      <c r="CO296"/>
      <c r="CP296"/>
      <c r="CQ296"/>
      <c r="CR296"/>
      <c r="CS296"/>
      <c r="CT296"/>
      <c r="CU296"/>
      <c r="CV296"/>
      <c r="CW296"/>
      <c r="CX296"/>
      <c r="CY296"/>
    </row>
    <row r="297" spans="50:103" ht="20.100000000000001" customHeight="1" x14ac:dyDescent="0.25">
      <c r="AX297"/>
      <c r="AY297"/>
      <c r="AZ297"/>
      <c r="BA297"/>
      <c r="BB297"/>
      <c r="BC297"/>
      <c r="BD297"/>
      <c r="BE297"/>
      <c r="BF297"/>
      <c r="BG297"/>
      <c r="BH297"/>
      <c r="BI297"/>
      <c r="BJ297"/>
      <c r="BK297"/>
      <c r="BL297"/>
      <c r="BM297"/>
      <c r="BN297"/>
      <c r="BO297"/>
      <c r="BP297"/>
      <c r="BQ297"/>
      <c r="BR297"/>
      <c r="BY297"/>
      <c r="BZ297"/>
      <c r="CA297"/>
      <c r="CB297"/>
      <c r="CC297"/>
      <c r="CD297"/>
      <c r="CE297"/>
      <c r="CF297"/>
      <c r="CG297"/>
      <c r="CH297"/>
      <c r="CI297"/>
      <c r="CJ297"/>
      <c r="CK297"/>
      <c r="CL297"/>
      <c r="CM297"/>
      <c r="CN297"/>
      <c r="CO297"/>
      <c r="CP297"/>
      <c r="CQ297"/>
      <c r="CR297"/>
      <c r="CS297"/>
      <c r="CT297"/>
      <c r="CU297"/>
      <c r="CV297"/>
      <c r="CW297"/>
      <c r="CX297"/>
      <c r="CY297"/>
    </row>
    <row r="298" spans="50:103" ht="20.100000000000001" customHeight="1" x14ac:dyDescent="0.25">
      <c r="AX298"/>
      <c r="AY298"/>
      <c r="AZ298"/>
      <c r="BA298"/>
      <c r="BB298"/>
      <c r="BC298"/>
      <c r="BD298"/>
      <c r="BE298"/>
      <c r="BF298"/>
      <c r="BG298"/>
      <c r="BH298"/>
      <c r="BI298"/>
      <c r="BJ298"/>
      <c r="BK298"/>
      <c r="BL298"/>
      <c r="BM298"/>
      <c r="BN298"/>
      <c r="BO298"/>
      <c r="BP298"/>
      <c r="BQ298"/>
      <c r="BR298"/>
      <c r="BY298"/>
      <c r="BZ298"/>
      <c r="CA298"/>
      <c r="CB298"/>
      <c r="CC298"/>
      <c r="CD298"/>
      <c r="CE298"/>
      <c r="CF298"/>
      <c r="CG298"/>
      <c r="CH298"/>
      <c r="CI298"/>
      <c r="CJ298"/>
      <c r="CK298"/>
      <c r="CL298"/>
      <c r="CM298"/>
      <c r="CN298"/>
      <c r="CO298"/>
      <c r="CP298"/>
      <c r="CQ298"/>
      <c r="CR298"/>
      <c r="CS298"/>
      <c r="CT298"/>
      <c r="CU298"/>
      <c r="CV298"/>
      <c r="CW298"/>
      <c r="CX298"/>
      <c r="CY298"/>
    </row>
    <row r="299" spans="50:103" ht="20.100000000000001" customHeight="1" x14ac:dyDescent="0.25">
      <c r="AX299"/>
      <c r="AY299"/>
      <c r="AZ299"/>
      <c r="BA299"/>
      <c r="BB299"/>
      <c r="BC299"/>
      <c r="BD299"/>
      <c r="BE299"/>
      <c r="BF299"/>
      <c r="BG299"/>
      <c r="BH299"/>
      <c r="BI299"/>
      <c r="BJ299"/>
      <c r="BK299"/>
      <c r="BL299"/>
      <c r="BM299"/>
      <c r="BN299"/>
      <c r="BO299"/>
      <c r="BP299"/>
      <c r="BQ299"/>
      <c r="BR299"/>
      <c r="BY299"/>
      <c r="BZ299"/>
      <c r="CA299"/>
      <c r="CB299"/>
      <c r="CC299"/>
      <c r="CD299"/>
      <c r="CE299"/>
      <c r="CF299"/>
      <c r="CG299"/>
      <c r="CH299"/>
      <c r="CI299"/>
      <c r="CJ299"/>
      <c r="CK299"/>
      <c r="CL299"/>
      <c r="CM299"/>
      <c r="CN299"/>
      <c r="CO299"/>
      <c r="CP299"/>
      <c r="CQ299"/>
      <c r="CR299"/>
      <c r="CS299"/>
      <c r="CT299"/>
      <c r="CU299"/>
      <c r="CV299"/>
      <c r="CW299"/>
      <c r="CX299"/>
      <c r="CY299"/>
    </row>
    <row r="300" spans="50:103" ht="20.100000000000001" customHeight="1" x14ac:dyDescent="0.25">
      <c r="AX300"/>
      <c r="AY300"/>
      <c r="AZ300"/>
      <c r="BA300"/>
      <c r="BB300"/>
      <c r="BC300"/>
      <c r="BD300"/>
      <c r="BE300"/>
      <c r="BF300"/>
      <c r="BG300"/>
      <c r="BH300"/>
      <c r="BI300"/>
      <c r="BJ300"/>
      <c r="BK300"/>
      <c r="BL300"/>
      <c r="BM300"/>
      <c r="BN300"/>
      <c r="BO300"/>
      <c r="BP300"/>
      <c r="BQ300"/>
      <c r="BR300"/>
      <c r="BY300"/>
      <c r="BZ300"/>
      <c r="CA300"/>
      <c r="CB300"/>
      <c r="CC300"/>
      <c r="CD300"/>
      <c r="CE300"/>
      <c r="CF300"/>
      <c r="CG300"/>
      <c r="CH300"/>
      <c r="CI300"/>
      <c r="CJ300"/>
      <c r="CK300"/>
      <c r="CL300"/>
      <c r="CM300"/>
      <c r="CN300"/>
      <c r="CO300"/>
      <c r="CP300"/>
      <c r="CQ300"/>
      <c r="CR300"/>
      <c r="CS300"/>
      <c r="CT300"/>
      <c r="CU300"/>
      <c r="CV300"/>
      <c r="CW300"/>
      <c r="CX300"/>
      <c r="CY300"/>
    </row>
    <row r="301" spans="50:103" ht="20.100000000000001" customHeight="1" x14ac:dyDescent="0.25">
      <c r="AX301"/>
      <c r="AY301"/>
      <c r="AZ301"/>
      <c r="BA301"/>
      <c r="BB301"/>
      <c r="BC301"/>
      <c r="BD301"/>
      <c r="BE301"/>
      <c r="BF301"/>
      <c r="BG301"/>
      <c r="BH301"/>
      <c r="BI301"/>
      <c r="BJ301"/>
      <c r="BK301"/>
      <c r="BL301"/>
      <c r="BM301"/>
      <c r="BN301"/>
      <c r="BO301"/>
      <c r="BP301"/>
      <c r="BQ301"/>
      <c r="BR301"/>
      <c r="BY301"/>
      <c r="BZ301"/>
      <c r="CA301"/>
      <c r="CB301"/>
      <c r="CC301"/>
      <c r="CD301"/>
      <c r="CE301"/>
      <c r="CF301"/>
      <c r="CG301"/>
      <c r="CH301"/>
      <c r="CI301"/>
      <c r="CJ301"/>
      <c r="CK301"/>
      <c r="CL301"/>
      <c r="CM301"/>
      <c r="CN301"/>
      <c r="CO301"/>
      <c r="CP301"/>
      <c r="CQ301"/>
      <c r="CR301"/>
      <c r="CS301"/>
      <c r="CT301"/>
      <c r="CU301"/>
      <c r="CV301"/>
      <c r="CW301"/>
      <c r="CX301"/>
      <c r="CY301"/>
    </row>
    <row r="302" spans="50:103" ht="20.100000000000001" customHeight="1" x14ac:dyDescent="0.25">
      <c r="AX302"/>
      <c r="AY302"/>
      <c r="AZ302"/>
      <c r="BA302"/>
      <c r="BB302"/>
      <c r="BC302"/>
      <c r="BD302"/>
      <c r="BE302"/>
      <c r="BF302"/>
      <c r="BG302"/>
      <c r="BH302"/>
      <c r="BI302"/>
      <c r="BJ302"/>
      <c r="BK302"/>
      <c r="BL302"/>
      <c r="BM302"/>
      <c r="BN302"/>
      <c r="BO302"/>
      <c r="BP302"/>
      <c r="BQ302"/>
      <c r="BR302"/>
      <c r="BY302"/>
      <c r="BZ302"/>
      <c r="CA302"/>
      <c r="CB302"/>
      <c r="CC302"/>
      <c r="CD302"/>
      <c r="CE302"/>
      <c r="CF302"/>
      <c r="CG302"/>
      <c r="CH302"/>
      <c r="CI302"/>
      <c r="CJ302"/>
      <c r="CK302"/>
      <c r="CL302"/>
      <c r="CM302"/>
      <c r="CN302"/>
      <c r="CO302"/>
      <c r="CP302"/>
      <c r="CQ302"/>
      <c r="CR302"/>
      <c r="CS302"/>
      <c r="CT302"/>
      <c r="CU302"/>
      <c r="CV302"/>
      <c r="CW302"/>
      <c r="CX302"/>
      <c r="CY302"/>
    </row>
    <row r="303" spans="50:103" ht="20.100000000000001" customHeight="1" x14ac:dyDescent="0.25">
      <c r="AX303"/>
      <c r="AY303"/>
      <c r="AZ303"/>
      <c r="BA303"/>
      <c r="BB303"/>
      <c r="BC303"/>
      <c r="BD303"/>
      <c r="BE303"/>
      <c r="BF303"/>
      <c r="BG303"/>
      <c r="BH303"/>
      <c r="BI303"/>
      <c r="BJ303"/>
      <c r="BK303"/>
      <c r="BL303"/>
      <c r="BM303"/>
      <c r="BN303"/>
      <c r="BO303"/>
      <c r="BP303"/>
      <c r="BQ303"/>
      <c r="BR303"/>
      <c r="BY303"/>
      <c r="BZ303"/>
      <c r="CA303"/>
      <c r="CB303"/>
      <c r="CC303"/>
      <c r="CD303"/>
      <c r="CE303"/>
      <c r="CF303"/>
      <c r="CG303"/>
      <c r="CH303"/>
      <c r="CI303"/>
      <c r="CJ303"/>
      <c r="CK303"/>
      <c r="CL303"/>
      <c r="CM303"/>
      <c r="CN303"/>
      <c r="CO303"/>
      <c r="CP303"/>
      <c r="CQ303"/>
      <c r="CR303"/>
      <c r="CS303"/>
      <c r="CT303"/>
      <c r="CU303"/>
      <c r="CV303"/>
      <c r="CW303"/>
      <c r="CX303"/>
      <c r="CY303"/>
    </row>
    <row r="304" spans="50:103" ht="20.100000000000001" customHeight="1" x14ac:dyDescent="0.25">
      <c r="AX304"/>
      <c r="AY304"/>
      <c r="AZ304"/>
      <c r="BA304"/>
      <c r="BB304"/>
      <c r="BC304"/>
      <c r="BD304"/>
      <c r="BE304"/>
      <c r="BF304"/>
      <c r="BG304"/>
      <c r="BH304"/>
      <c r="BI304"/>
      <c r="BJ304"/>
      <c r="BK304"/>
      <c r="BL304"/>
      <c r="BM304"/>
      <c r="BN304"/>
      <c r="BO304"/>
      <c r="BP304"/>
      <c r="BQ304"/>
      <c r="BR304"/>
      <c r="BY304"/>
      <c r="BZ304"/>
      <c r="CA304"/>
      <c r="CB304"/>
      <c r="CC304"/>
      <c r="CD304"/>
      <c r="CE304"/>
      <c r="CF304"/>
      <c r="CG304"/>
      <c r="CH304"/>
      <c r="CI304"/>
      <c r="CJ304"/>
      <c r="CK304"/>
      <c r="CL304"/>
      <c r="CM304"/>
      <c r="CN304"/>
      <c r="CO304"/>
      <c r="CP304"/>
      <c r="CQ304"/>
      <c r="CR304"/>
      <c r="CS304"/>
      <c r="CT304"/>
      <c r="CU304"/>
      <c r="CV304"/>
      <c r="CW304"/>
      <c r="CX304"/>
      <c r="CY304"/>
    </row>
    <row r="305" spans="50:103" ht="20.100000000000001" customHeight="1" x14ac:dyDescent="0.25">
      <c r="AX305"/>
      <c r="AY305"/>
      <c r="AZ305"/>
      <c r="BA305"/>
      <c r="BB305"/>
      <c r="BC305"/>
      <c r="BD305"/>
      <c r="BE305"/>
      <c r="BF305"/>
      <c r="BG305"/>
      <c r="BH305"/>
      <c r="BI305"/>
      <c r="BJ305"/>
      <c r="BK305"/>
      <c r="BL305"/>
      <c r="BM305"/>
      <c r="BN305"/>
      <c r="BO305"/>
      <c r="BP305"/>
      <c r="BQ305"/>
      <c r="BR305"/>
      <c r="BY305"/>
      <c r="BZ305"/>
      <c r="CA305"/>
      <c r="CB305"/>
      <c r="CC305"/>
      <c r="CD305"/>
      <c r="CE305"/>
      <c r="CF305"/>
      <c r="CG305"/>
      <c r="CH305"/>
      <c r="CI305"/>
      <c r="CJ305"/>
      <c r="CK305"/>
      <c r="CL305"/>
      <c r="CM305"/>
      <c r="CN305"/>
      <c r="CO305"/>
      <c r="CP305"/>
      <c r="CQ305"/>
      <c r="CR305"/>
      <c r="CS305"/>
      <c r="CT305"/>
      <c r="CU305"/>
      <c r="CV305"/>
      <c r="CW305"/>
      <c r="CX305"/>
      <c r="CY305"/>
    </row>
    <row r="306" spans="50:103" ht="20.100000000000001" customHeight="1" x14ac:dyDescent="0.25">
      <c r="AX306"/>
      <c r="AY306"/>
      <c r="AZ306"/>
      <c r="BA306"/>
      <c r="BB306"/>
      <c r="BC306"/>
      <c r="BD306"/>
      <c r="BE306"/>
      <c r="BF306"/>
      <c r="BG306"/>
      <c r="BH306"/>
      <c r="BI306"/>
      <c r="BJ306"/>
      <c r="BK306"/>
      <c r="BL306"/>
      <c r="BM306"/>
      <c r="BN306"/>
      <c r="BO306"/>
      <c r="BP306"/>
      <c r="BQ306"/>
      <c r="BR306"/>
      <c r="BY306"/>
      <c r="BZ306"/>
      <c r="CA306"/>
      <c r="CB306"/>
      <c r="CC306"/>
      <c r="CD306"/>
      <c r="CE306"/>
      <c r="CF306"/>
      <c r="CG306"/>
      <c r="CH306"/>
      <c r="CI306"/>
      <c r="CJ306"/>
      <c r="CK306"/>
      <c r="CL306"/>
      <c r="CM306"/>
      <c r="CN306"/>
      <c r="CO306"/>
      <c r="CP306"/>
      <c r="CQ306"/>
      <c r="CR306"/>
      <c r="CS306"/>
      <c r="CT306"/>
      <c r="CU306"/>
      <c r="CV306"/>
      <c r="CW306"/>
      <c r="CX306"/>
      <c r="CY306"/>
    </row>
    <row r="307" spans="50:103" ht="20.100000000000001" customHeight="1" x14ac:dyDescent="0.25">
      <c r="AX307"/>
      <c r="AY307"/>
      <c r="AZ307"/>
      <c r="BA307"/>
      <c r="BB307"/>
      <c r="BC307"/>
      <c r="BD307"/>
      <c r="BE307"/>
      <c r="BF307"/>
      <c r="BG307"/>
      <c r="BH307"/>
      <c r="BI307"/>
      <c r="BJ307"/>
      <c r="BK307"/>
      <c r="BL307"/>
      <c r="BM307"/>
      <c r="BN307"/>
      <c r="BO307"/>
      <c r="BP307"/>
      <c r="BQ307"/>
      <c r="BR307"/>
      <c r="BY307"/>
      <c r="BZ307"/>
      <c r="CA307"/>
      <c r="CB307"/>
      <c r="CC307"/>
      <c r="CD307"/>
      <c r="CE307"/>
      <c r="CF307"/>
      <c r="CG307"/>
      <c r="CH307"/>
      <c r="CI307"/>
      <c r="CJ307"/>
      <c r="CK307"/>
      <c r="CL307"/>
      <c r="CM307"/>
      <c r="CN307"/>
      <c r="CO307"/>
      <c r="CP307"/>
      <c r="CQ307"/>
      <c r="CR307"/>
      <c r="CS307"/>
      <c r="CT307"/>
      <c r="CU307"/>
      <c r="CV307"/>
      <c r="CW307"/>
      <c r="CX307"/>
      <c r="CY307"/>
    </row>
    <row r="308" spans="50:103" ht="20.100000000000001" customHeight="1" x14ac:dyDescent="0.25">
      <c r="AX308"/>
      <c r="AY308"/>
      <c r="AZ308"/>
      <c r="BA308"/>
      <c r="BB308"/>
      <c r="BC308"/>
      <c r="BD308"/>
      <c r="BE308"/>
      <c r="BF308"/>
      <c r="BG308"/>
      <c r="BH308"/>
      <c r="BI308"/>
      <c r="BJ308"/>
      <c r="BK308"/>
      <c r="BL308"/>
      <c r="BM308"/>
      <c r="BN308"/>
      <c r="BO308"/>
      <c r="BP308"/>
      <c r="BQ308"/>
      <c r="BR308"/>
      <c r="BY308"/>
      <c r="BZ308"/>
      <c r="CA308"/>
      <c r="CB308"/>
      <c r="CC308"/>
      <c r="CD308"/>
      <c r="CE308"/>
      <c r="CF308"/>
      <c r="CG308"/>
      <c r="CH308"/>
      <c r="CI308"/>
      <c r="CJ308"/>
      <c r="CK308"/>
      <c r="CL308"/>
      <c r="CM308"/>
      <c r="CN308"/>
      <c r="CO308"/>
      <c r="CP308"/>
      <c r="CQ308"/>
      <c r="CR308"/>
      <c r="CS308"/>
      <c r="CT308"/>
      <c r="CU308"/>
      <c r="CV308"/>
      <c r="CW308"/>
      <c r="CX308"/>
      <c r="CY308"/>
    </row>
    <row r="309" spans="50:103" ht="20.100000000000001" customHeight="1" x14ac:dyDescent="0.25">
      <c r="AX309"/>
      <c r="AY309"/>
      <c r="AZ309"/>
      <c r="BA309"/>
      <c r="BB309"/>
      <c r="BC309"/>
      <c r="BD309"/>
      <c r="BE309"/>
      <c r="BF309"/>
      <c r="BG309"/>
      <c r="BH309"/>
      <c r="BI309"/>
      <c r="BJ309"/>
      <c r="BK309"/>
      <c r="BL309"/>
      <c r="BM309"/>
      <c r="BN309"/>
      <c r="BO309"/>
      <c r="BP309"/>
      <c r="BQ309"/>
      <c r="BR309"/>
      <c r="BY309"/>
      <c r="BZ309"/>
      <c r="CA309"/>
      <c r="CB309"/>
      <c r="CC309"/>
      <c r="CD309"/>
      <c r="CE309"/>
      <c r="CF309"/>
      <c r="CG309"/>
      <c r="CH309"/>
      <c r="CI309"/>
      <c r="CJ309"/>
      <c r="CK309"/>
      <c r="CL309"/>
      <c r="CM309"/>
      <c r="CN309"/>
      <c r="CO309"/>
      <c r="CP309"/>
      <c r="CQ309"/>
      <c r="CR309"/>
      <c r="CS309"/>
      <c r="CT309"/>
      <c r="CU309"/>
      <c r="CV309"/>
      <c r="CW309"/>
      <c r="CX309"/>
      <c r="CY309"/>
    </row>
    <row r="310" spans="50:103" ht="20.100000000000001" customHeight="1" x14ac:dyDescent="0.25">
      <c r="AX310"/>
      <c r="AY310"/>
      <c r="AZ310"/>
      <c r="BA310"/>
      <c r="BB310"/>
      <c r="BC310"/>
      <c r="BD310"/>
      <c r="BE310"/>
      <c r="BF310"/>
      <c r="BG310"/>
      <c r="BH310"/>
      <c r="BI310"/>
      <c r="BJ310"/>
      <c r="BK310"/>
      <c r="BL310"/>
      <c r="BM310"/>
      <c r="BN310"/>
      <c r="BO310"/>
      <c r="BP310"/>
      <c r="BQ310"/>
      <c r="BR310"/>
      <c r="BY310"/>
      <c r="BZ310"/>
      <c r="CA310"/>
      <c r="CB310"/>
      <c r="CC310"/>
      <c r="CD310"/>
      <c r="CE310"/>
      <c r="CF310"/>
      <c r="CG310"/>
      <c r="CH310"/>
      <c r="CI310"/>
      <c r="CJ310"/>
      <c r="CK310"/>
      <c r="CL310"/>
      <c r="CM310"/>
      <c r="CN310"/>
      <c r="CO310"/>
      <c r="CP310"/>
      <c r="CQ310"/>
      <c r="CR310"/>
      <c r="CS310"/>
      <c r="CT310"/>
      <c r="CU310"/>
      <c r="CV310"/>
      <c r="CW310"/>
      <c r="CX310"/>
      <c r="CY310"/>
    </row>
    <row r="311" spans="50:103" ht="20.100000000000001" customHeight="1" x14ac:dyDescent="0.25">
      <c r="AX311"/>
      <c r="AY311"/>
      <c r="AZ311"/>
      <c r="BA311"/>
      <c r="BB311"/>
      <c r="BC311"/>
      <c r="BD311"/>
      <c r="BE311"/>
      <c r="BF311"/>
      <c r="BG311"/>
      <c r="BH311"/>
      <c r="BI311"/>
      <c r="BJ311"/>
      <c r="BK311"/>
      <c r="BL311"/>
      <c r="BM311"/>
      <c r="BN311"/>
      <c r="BO311"/>
      <c r="BP311"/>
      <c r="BQ311"/>
      <c r="BR311"/>
      <c r="BY311"/>
      <c r="BZ311"/>
      <c r="CA311"/>
      <c r="CB311"/>
      <c r="CC311"/>
      <c r="CD311"/>
      <c r="CE311"/>
      <c r="CF311"/>
      <c r="CG311"/>
      <c r="CH311"/>
      <c r="CI311"/>
      <c r="CJ311"/>
      <c r="CK311"/>
      <c r="CL311"/>
      <c r="CM311"/>
      <c r="CN311"/>
      <c r="CO311"/>
      <c r="CP311"/>
      <c r="CQ311"/>
      <c r="CR311"/>
      <c r="CS311"/>
      <c r="CT311"/>
      <c r="CU311"/>
      <c r="CV311"/>
      <c r="CW311"/>
      <c r="CX311"/>
      <c r="CY311"/>
    </row>
    <row r="312" spans="50:103" ht="20.100000000000001" customHeight="1" x14ac:dyDescent="0.25">
      <c r="AX312"/>
      <c r="AY312"/>
      <c r="AZ312"/>
      <c r="BA312"/>
      <c r="BB312"/>
      <c r="BC312"/>
      <c r="BD312"/>
      <c r="BE312"/>
      <c r="BF312"/>
      <c r="BG312"/>
      <c r="BH312"/>
      <c r="BI312"/>
      <c r="BJ312"/>
      <c r="BK312"/>
      <c r="BL312"/>
      <c r="BM312"/>
      <c r="BN312"/>
      <c r="BO312"/>
      <c r="BP312"/>
      <c r="BQ312"/>
      <c r="BR312"/>
      <c r="BY312"/>
      <c r="BZ312"/>
      <c r="CA312"/>
      <c r="CB312"/>
      <c r="CC312"/>
      <c r="CD312"/>
      <c r="CE312"/>
      <c r="CF312"/>
      <c r="CG312"/>
      <c r="CH312"/>
      <c r="CI312"/>
      <c r="CJ312"/>
      <c r="CK312"/>
      <c r="CL312"/>
      <c r="CM312"/>
      <c r="CN312"/>
      <c r="CO312"/>
      <c r="CP312"/>
      <c r="CQ312"/>
      <c r="CR312"/>
      <c r="CS312"/>
      <c r="CT312"/>
      <c r="CU312"/>
      <c r="CV312"/>
      <c r="CW312"/>
      <c r="CX312"/>
      <c r="CY312"/>
    </row>
    <row r="313" spans="50:103" ht="20.100000000000001" customHeight="1" x14ac:dyDescent="0.25">
      <c r="AX313"/>
      <c r="AY313"/>
      <c r="AZ313"/>
      <c r="BA313"/>
      <c r="BB313"/>
      <c r="BC313"/>
      <c r="BD313"/>
      <c r="BE313"/>
      <c r="BF313"/>
      <c r="BG313"/>
      <c r="BH313"/>
      <c r="BI313"/>
      <c r="BJ313"/>
      <c r="BK313"/>
      <c r="BL313"/>
      <c r="BM313"/>
      <c r="BN313"/>
      <c r="BO313"/>
      <c r="BP313"/>
      <c r="BQ313"/>
      <c r="BR313"/>
      <c r="BY313"/>
      <c r="BZ313"/>
      <c r="CA313"/>
      <c r="CB313"/>
      <c r="CC313"/>
      <c r="CD313"/>
      <c r="CE313"/>
      <c r="CF313"/>
      <c r="CG313"/>
      <c r="CH313"/>
      <c r="CI313"/>
      <c r="CJ313"/>
      <c r="CK313"/>
      <c r="CL313"/>
      <c r="CM313"/>
      <c r="CN313"/>
      <c r="CO313"/>
      <c r="CP313"/>
      <c r="CQ313"/>
      <c r="CR313"/>
      <c r="CS313"/>
      <c r="CT313"/>
      <c r="CU313"/>
      <c r="CV313"/>
      <c r="CW313"/>
      <c r="CX313"/>
      <c r="CY313"/>
    </row>
    <row r="314" spans="50:103" ht="20.100000000000001" customHeight="1" x14ac:dyDescent="0.25">
      <c r="AX314"/>
      <c r="AY314"/>
      <c r="AZ314"/>
      <c r="BA314"/>
      <c r="BB314"/>
      <c r="BC314"/>
      <c r="BD314"/>
      <c r="BE314"/>
      <c r="BF314"/>
      <c r="BG314"/>
      <c r="BH314"/>
      <c r="BI314"/>
      <c r="BJ314"/>
      <c r="BK314"/>
      <c r="BL314"/>
      <c r="BM314"/>
      <c r="BN314"/>
      <c r="BO314"/>
      <c r="BP314"/>
      <c r="BQ314"/>
      <c r="BR314"/>
      <c r="BY314"/>
      <c r="BZ314"/>
      <c r="CA314"/>
      <c r="CB314"/>
      <c r="CC314"/>
      <c r="CD314"/>
      <c r="CE314"/>
      <c r="CF314"/>
      <c r="CG314"/>
      <c r="CH314"/>
      <c r="CI314"/>
      <c r="CJ314"/>
      <c r="CK314"/>
      <c r="CL314"/>
      <c r="CM314"/>
      <c r="CN314"/>
      <c r="CO314"/>
      <c r="CP314"/>
      <c r="CQ314"/>
      <c r="CR314"/>
      <c r="CS314"/>
      <c r="CT314"/>
      <c r="CU314"/>
      <c r="CV314"/>
      <c r="CW314"/>
      <c r="CX314"/>
      <c r="CY314"/>
    </row>
    <row r="315" spans="50:103" ht="20.100000000000001" customHeight="1" x14ac:dyDescent="0.25">
      <c r="AX315"/>
      <c r="AY315"/>
      <c r="AZ315"/>
      <c r="BA315"/>
      <c r="BB315"/>
      <c r="BC315"/>
      <c r="BD315"/>
      <c r="BE315"/>
      <c r="BF315"/>
      <c r="BG315"/>
      <c r="BH315"/>
      <c r="BI315"/>
      <c r="BJ315"/>
      <c r="BK315"/>
      <c r="BL315"/>
      <c r="BM315"/>
      <c r="BN315"/>
      <c r="BO315"/>
      <c r="BP315"/>
      <c r="BQ315"/>
      <c r="BR315"/>
      <c r="BY315"/>
      <c r="BZ315"/>
      <c r="CA315"/>
      <c r="CB315"/>
      <c r="CC315"/>
      <c r="CD315"/>
      <c r="CE315"/>
      <c r="CF315"/>
      <c r="CG315"/>
      <c r="CH315"/>
      <c r="CI315"/>
      <c r="CJ315"/>
      <c r="CK315"/>
      <c r="CL315"/>
      <c r="CM315"/>
      <c r="CN315"/>
      <c r="CO315"/>
      <c r="CP315"/>
      <c r="CQ315"/>
      <c r="CR315"/>
      <c r="CS315"/>
      <c r="CT315"/>
      <c r="CU315"/>
      <c r="CV315"/>
      <c r="CW315"/>
      <c r="CX315"/>
      <c r="CY315"/>
    </row>
    <row r="316" spans="50:103" ht="20.100000000000001" customHeight="1" x14ac:dyDescent="0.25">
      <c r="AX316"/>
      <c r="AY316"/>
      <c r="AZ316"/>
      <c r="BA316"/>
      <c r="BB316"/>
      <c r="BC316"/>
      <c r="BD316"/>
      <c r="BE316"/>
      <c r="BF316"/>
      <c r="BG316"/>
      <c r="BH316"/>
      <c r="BI316"/>
      <c r="BJ316"/>
      <c r="BK316"/>
      <c r="BL316"/>
      <c r="BM316"/>
      <c r="BN316"/>
      <c r="BO316"/>
      <c r="BP316"/>
      <c r="BQ316"/>
      <c r="BR316"/>
      <c r="BY316"/>
      <c r="BZ316"/>
      <c r="CA316"/>
      <c r="CB316"/>
      <c r="CC316"/>
      <c r="CD316"/>
      <c r="CE316"/>
      <c r="CF316"/>
      <c r="CG316"/>
      <c r="CH316"/>
      <c r="CI316"/>
      <c r="CJ316"/>
      <c r="CK316"/>
      <c r="CL316"/>
      <c r="CM316"/>
      <c r="CN316"/>
      <c r="CO316"/>
      <c r="CP316"/>
      <c r="CQ316"/>
      <c r="CR316"/>
      <c r="CS316"/>
      <c r="CT316"/>
      <c r="CU316"/>
      <c r="CV316"/>
      <c r="CW316"/>
      <c r="CX316"/>
      <c r="CY316"/>
    </row>
    <row r="317" spans="50:103" ht="20.100000000000001" customHeight="1" x14ac:dyDescent="0.25">
      <c r="AX317"/>
      <c r="AY317"/>
      <c r="AZ317"/>
      <c r="BA317"/>
      <c r="BB317"/>
      <c r="BC317"/>
      <c r="BD317"/>
      <c r="BE317"/>
      <c r="BF317"/>
      <c r="BG317"/>
      <c r="BH317"/>
      <c r="BI317"/>
      <c r="BJ317"/>
      <c r="BK317"/>
      <c r="BL317"/>
      <c r="BM317"/>
      <c r="BN317"/>
      <c r="BO317"/>
      <c r="BP317"/>
      <c r="BQ317"/>
      <c r="BR317"/>
      <c r="BY317"/>
      <c r="BZ317"/>
      <c r="CA317"/>
      <c r="CB317"/>
      <c r="CC317"/>
      <c r="CD317"/>
      <c r="CE317"/>
      <c r="CF317"/>
      <c r="CG317"/>
      <c r="CH317"/>
      <c r="CI317"/>
      <c r="CJ317"/>
      <c r="CK317"/>
      <c r="CL317"/>
      <c r="CM317"/>
      <c r="CN317"/>
      <c r="CO317"/>
      <c r="CP317"/>
      <c r="CQ317"/>
      <c r="CR317"/>
      <c r="CS317"/>
      <c r="CT317"/>
      <c r="CU317"/>
      <c r="CV317"/>
      <c r="CW317"/>
      <c r="CX317"/>
      <c r="CY317"/>
    </row>
    <row r="318" spans="50:103" ht="20.100000000000001" customHeight="1" x14ac:dyDescent="0.25">
      <c r="AX318"/>
      <c r="AY318"/>
      <c r="AZ318"/>
      <c r="BA318"/>
      <c r="BB318"/>
      <c r="BC318"/>
      <c r="BD318"/>
      <c r="BE318"/>
      <c r="BF318"/>
      <c r="BG318"/>
      <c r="BH318"/>
      <c r="BI318"/>
      <c r="BJ318"/>
      <c r="BK318"/>
      <c r="BL318"/>
      <c r="BM318"/>
      <c r="BN318"/>
      <c r="BO318"/>
      <c r="BP318"/>
      <c r="BQ318"/>
      <c r="BR318"/>
      <c r="BY318"/>
      <c r="BZ318"/>
      <c r="CA318"/>
      <c r="CB318"/>
      <c r="CC318"/>
      <c r="CD318"/>
      <c r="CE318"/>
      <c r="CF318"/>
      <c r="CG318"/>
      <c r="CH318"/>
      <c r="CI318"/>
      <c r="CJ318"/>
      <c r="CK318"/>
      <c r="CL318"/>
      <c r="CM318"/>
      <c r="CN318"/>
      <c r="CO318"/>
      <c r="CP318"/>
      <c r="CQ318"/>
      <c r="CR318"/>
      <c r="CS318"/>
      <c r="CT318"/>
      <c r="CU318"/>
      <c r="CV318"/>
      <c r="CW318"/>
      <c r="CX318"/>
      <c r="CY318"/>
    </row>
    <row r="319" spans="50:103" ht="20.100000000000001" customHeight="1" x14ac:dyDescent="0.25">
      <c r="AX319"/>
      <c r="AY319"/>
      <c r="AZ319"/>
      <c r="BA319"/>
      <c r="BB319"/>
      <c r="BC319"/>
      <c r="BD319"/>
      <c r="BE319"/>
      <c r="BF319"/>
      <c r="BG319"/>
      <c r="BH319"/>
      <c r="BI319"/>
      <c r="BJ319"/>
      <c r="BK319"/>
      <c r="BL319"/>
      <c r="BM319"/>
      <c r="BN319"/>
      <c r="BO319"/>
      <c r="BP319"/>
      <c r="BQ319"/>
      <c r="BR319"/>
      <c r="BY319"/>
      <c r="BZ319"/>
      <c r="CA319"/>
      <c r="CB319"/>
      <c r="CC319"/>
      <c r="CD319"/>
      <c r="CE319"/>
      <c r="CF319"/>
      <c r="CG319"/>
      <c r="CH319"/>
      <c r="CI319"/>
      <c r="CJ319"/>
      <c r="CK319"/>
      <c r="CL319"/>
      <c r="CM319"/>
      <c r="CN319"/>
      <c r="CO319"/>
      <c r="CP319"/>
      <c r="CQ319"/>
      <c r="CR319"/>
      <c r="CS319"/>
      <c r="CT319"/>
      <c r="CU319"/>
      <c r="CV319"/>
      <c r="CW319"/>
      <c r="CX319"/>
      <c r="CY319"/>
    </row>
    <row r="320" spans="50:103" ht="20.100000000000001" customHeight="1" x14ac:dyDescent="0.25">
      <c r="AX320"/>
      <c r="AY320"/>
      <c r="AZ320"/>
      <c r="BA320"/>
      <c r="BB320"/>
      <c r="BC320"/>
      <c r="BD320"/>
      <c r="BE320"/>
      <c r="BF320"/>
      <c r="BG320"/>
      <c r="BH320"/>
      <c r="BI320"/>
      <c r="BJ320"/>
      <c r="BK320"/>
      <c r="BL320"/>
      <c r="BM320"/>
      <c r="BN320"/>
      <c r="BO320"/>
      <c r="BP320"/>
      <c r="BQ320"/>
      <c r="BR320"/>
      <c r="BY320"/>
      <c r="BZ320"/>
      <c r="CA320"/>
      <c r="CB320"/>
      <c r="CC320"/>
      <c r="CD320"/>
      <c r="CE320"/>
      <c r="CF320"/>
      <c r="CG320"/>
      <c r="CH320"/>
      <c r="CI320"/>
      <c r="CJ320"/>
      <c r="CK320"/>
      <c r="CL320"/>
      <c r="CM320"/>
      <c r="CN320"/>
      <c r="CO320"/>
      <c r="CP320"/>
      <c r="CQ320"/>
      <c r="CR320"/>
      <c r="CS320"/>
      <c r="CT320"/>
      <c r="CU320"/>
      <c r="CV320"/>
      <c r="CW320"/>
      <c r="CX320"/>
      <c r="CY320"/>
    </row>
    <row r="321" spans="50:103" ht="20.100000000000001" customHeight="1" x14ac:dyDescent="0.25">
      <c r="AX321"/>
      <c r="AY321"/>
      <c r="AZ321"/>
      <c r="BA321"/>
      <c r="BB321"/>
      <c r="BC321"/>
      <c r="BD321"/>
      <c r="BE321"/>
      <c r="BF321"/>
      <c r="BG321"/>
      <c r="BH321"/>
      <c r="BI321"/>
      <c r="BJ321"/>
      <c r="BK321"/>
      <c r="BL321"/>
      <c r="BM321"/>
      <c r="BN321"/>
      <c r="BO321"/>
      <c r="BP321"/>
      <c r="BQ321"/>
      <c r="BR321"/>
      <c r="BY321"/>
      <c r="BZ321"/>
      <c r="CA321"/>
      <c r="CB321"/>
      <c r="CC321"/>
      <c r="CD321"/>
      <c r="CE321"/>
      <c r="CF321"/>
      <c r="CG321"/>
      <c r="CH321"/>
      <c r="CI321"/>
      <c r="CJ321"/>
      <c r="CK321"/>
      <c r="CL321"/>
      <c r="CM321"/>
      <c r="CN321"/>
      <c r="CO321"/>
      <c r="CP321"/>
      <c r="CQ321"/>
      <c r="CR321"/>
      <c r="CS321"/>
      <c r="CT321"/>
      <c r="CU321"/>
      <c r="CV321"/>
      <c r="CW321"/>
      <c r="CX321"/>
      <c r="CY321"/>
    </row>
    <row r="322" spans="50:103" ht="20.100000000000001" customHeight="1" x14ac:dyDescent="0.25">
      <c r="AX322"/>
      <c r="AY322"/>
      <c r="AZ322"/>
      <c r="BA322"/>
      <c r="BB322"/>
      <c r="BC322"/>
      <c r="BD322"/>
      <c r="BE322"/>
      <c r="BF322"/>
      <c r="BG322"/>
      <c r="BH322"/>
      <c r="BI322"/>
      <c r="BJ322"/>
      <c r="BK322"/>
      <c r="BL322"/>
      <c r="BM322"/>
      <c r="BN322"/>
      <c r="BO322"/>
      <c r="BP322"/>
      <c r="BQ322"/>
      <c r="BR322"/>
      <c r="BY322"/>
      <c r="BZ322"/>
      <c r="CA322"/>
      <c r="CB322"/>
      <c r="CC322"/>
      <c r="CD322"/>
      <c r="CE322"/>
      <c r="CF322"/>
      <c r="CG322"/>
      <c r="CH322"/>
      <c r="CI322"/>
      <c r="CJ322"/>
      <c r="CK322"/>
      <c r="CL322"/>
      <c r="CM322"/>
      <c r="CN322"/>
      <c r="CO322"/>
      <c r="CP322"/>
      <c r="CQ322"/>
      <c r="CR322"/>
      <c r="CS322"/>
      <c r="CT322"/>
      <c r="CU322"/>
      <c r="CV322"/>
      <c r="CW322"/>
      <c r="CX322"/>
      <c r="CY322"/>
    </row>
    <row r="323" spans="50:103" ht="20.100000000000001" customHeight="1" x14ac:dyDescent="0.25">
      <c r="AX323"/>
      <c r="AY323"/>
      <c r="AZ323"/>
      <c r="BA323"/>
      <c r="BB323"/>
      <c r="BC323"/>
      <c r="BD323"/>
      <c r="BE323"/>
      <c r="BF323"/>
      <c r="BG323"/>
      <c r="BH323"/>
      <c r="BI323"/>
      <c r="BJ323"/>
      <c r="BK323"/>
      <c r="BL323"/>
      <c r="BM323"/>
      <c r="BN323"/>
      <c r="BO323"/>
      <c r="BP323"/>
      <c r="BQ323"/>
      <c r="BR323"/>
      <c r="BY323"/>
      <c r="BZ323"/>
      <c r="CA323"/>
      <c r="CB323"/>
      <c r="CC323"/>
      <c r="CD323"/>
      <c r="CE323"/>
      <c r="CF323"/>
      <c r="CG323"/>
      <c r="CH323"/>
      <c r="CI323"/>
      <c r="CJ323"/>
      <c r="CK323"/>
      <c r="CL323"/>
      <c r="CM323"/>
      <c r="CN323"/>
      <c r="CO323"/>
      <c r="CP323"/>
      <c r="CQ323"/>
      <c r="CR323"/>
      <c r="CS323"/>
      <c r="CT323"/>
      <c r="CU323"/>
      <c r="CV323"/>
      <c r="CW323"/>
      <c r="CX323"/>
      <c r="CY323"/>
    </row>
    <row r="324" spans="50:103" ht="20.100000000000001" customHeight="1" x14ac:dyDescent="0.25">
      <c r="AX324"/>
      <c r="AY324"/>
      <c r="AZ324"/>
      <c r="BA324"/>
      <c r="BB324"/>
      <c r="BC324"/>
      <c r="BD324"/>
      <c r="BE324"/>
      <c r="BF324"/>
      <c r="BG324"/>
      <c r="BH324"/>
      <c r="BI324"/>
      <c r="BJ324"/>
      <c r="BK324"/>
      <c r="BL324"/>
      <c r="BM324"/>
      <c r="BN324"/>
      <c r="BO324"/>
      <c r="BP324"/>
      <c r="BQ324"/>
      <c r="BR324"/>
      <c r="BY324"/>
      <c r="BZ324"/>
      <c r="CA324"/>
      <c r="CB324"/>
      <c r="CC324"/>
      <c r="CD324"/>
      <c r="CE324"/>
      <c r="CF324"/>
      <c r="CG324"/>
      <c r="CH324"/>
      <c r="CI324"/>
      <c r="CJ324"/>
      <c r="CK324"/>
      <c r="CL324"/>
      <c r="CM324"/>
      <c r="CN324"/>
      <c r="CO324"/>
      <c r="CP324"/>
      <c r="CQ324"/>
      <c r="CR324"/>
      <c r="CS324"/>
      <c r="CT324"/>
      <c r="CU324"/>
      <c r="CV324"/>
      <c r="CW324"/>
      <c r="CX324"/>
      <c r="CY324"/>
    </row>
    <row r="325" spans="50:103" ht="20.100000000000001" customHeight="1" x14ac:dyDescent="0.25">
      <c r="AX325"/>
      <c r="AY325"/>
      <c r="AZ325"/>
      <c r="BA325"/>
      <c r="BB325"/>
      <c r="BC325"/>
      <c r="BD325"/>
      <c r="BE325"/>
      <c r="BF325"/>
      <c r="BG325"/>
      <c r="BH325"/>
      <c r="BI325"/>
      <c r="BJ325"/>
      <c r="BK325"/>
      <c r="BL325"/>
      <c r="BM325"/>
      <c r="BN325"/>
      <c r="BO325"/>
      <c r="BP325"/>
      <c r="BQ325"/>
      <c r="BR325"/>
      <c r="BY325"/>
      <c r="BZ325"/>
      <c r="CA325"/>
      <c r="CB325"/>
      <c r="CC325"/>
      <c r="CD325"/>
      <c r="CE325"/>
      <c r="CF325"/>
      <c r="CG325"/>
      <c r="CH325"/>
      <c r="CI325"/>
      <c r="CJ325"/>
      <c r="CK325"/>
      <c r="CL325"/>
      <c r="CM325"/>
      <c r="CN325"/>
      <c r="CO325"/>
      <c r="CP325"/>
      <c r="CQ325"/>
      <c r="CR325"/>
      <c r="CS325"/>
      <c r="CT325"/>
      <c r="CU325"/>
      <c r="CV325"/>
      <c r="CW325"/>
      <c r="CX325"/>
      <c r="CY325"/>
    </row>
    <row r="326" spans="50:103" ht="20.100000000000001" customHeight="1" x14ac:dyDescent="0.25">
      <c r="AX326"/>
      <c r="AY326"/>
      <c r="AZ326"/>
      <c r="BA326"/>
      <c r="BB326"/>
      <c r="BC326"/>
      <c r="BD326"/>
      <c r="BE326"/>
      <c r="BF326"/>
      <c r="BG326"/>
      <c r="BH326"/>
      <c r="BI326"/>
      <c r="BJ326"/>
      <c r="BK326"/>
      <c r="BL326"/>
      <c r="BM326"/>
      <c r="BN326"/>
      <c r="BO326"/>
      <c r="BP326"/>
      <c r="BQ326"/>
      <c r="BR326"/>
      <c r="BY326"/>
      <c r="BZ326"/>
      <c r="CA326"/>
      <c r="CB326"/>
      <c r="CC326"/>
      <c r="CD326"/>
      <c r="CE326"/>
      <c r="CF326"/>
      <c r="CG326"/>
      <c r="CH326"/>
      <c r="CI326"/>
      <c r="CJ326"/>
      <c r="CK326"/>
      <c r="CL326"/>
      <c r="CM326"/>
      <c r="CN326"/>
      <c r="CO326"/>
      <c r="CP326"/>
      <c r="CQ326"/>
      <c r="CR326"/>
      <c r="CS326"/>
      <c r="CT326"/>
      <c r="CU326"/>
      <c r="CV326"/>
      <c r="CW326"/>
      <c r="CX326"/>
      <c r="CY326"/>
    </row>
    <row r="327" spans="50:103" ht="20.100000000000001" customHeight="1" x14ac:dyDescent="0.25">
      <c r="AX327"/>
      <c r="AY327"/>
      <c r="AZ327"/>
      <c r="BA327"/>
      <c r="BB327"/>
      <c r="BC327"/>
      <c r="BD327"/>
      <c r="BE327"/>
      <c r="BF327"/>
      <c r="BG327"/>
      <c r="BH327"/>
      <c r="BI327"/>
      <c r="BJ327"/>
      <c r="BK327"/>
      <c r="BL327"/>
      <c r="BM327"/>
      <c r="BN327"/>
      <c r="BO327"/>
      <c r="BP327"/>
      <c r="BQ327"/>
      <c r="BR327"/>
      <c r="BY327"/>
      <c r="BZ327"/>
      <c r="CA327"/>
      <c r="CB327"/>
      <c r="CC327"/>
      <c r="CD327"/>
      <c r="CE327"/>
      <c r="CF327"/>
      <c r="CG327"/>
      <c r="CH327"/>
      <c r="CI327"/>
      <c r="CJ327"/>
      <c r="CK327"/>
      <c r="CL327"/>
      <c r="CM327"/>
      <c r="CN327"/>
      <c r="CO327"/>
      <c r="CP327"/>
      <c r="CQ327"/>
      <c r="CR327"/>
      <c r="CS327"/>
      <c r="CT327"/>
      <c r="CU327"/>
      <c r="CV327"/>
      <c r="CW327"/>
      <c r="CX327"/>
      <c r="CY327"/>
    </row>
    <row r="328" spans="50:103" ht="20.100000000000001" customHeight="1" x14ac:dyDescent="0.25">
      <c r="AX328"/>
      <c r="AY328"/>
      <c r="AZ328"/>
      <c r="BA328"/>
      <c r="BB328"/>
      <c r="BC328"/>
      <c r="BD328"/>
      <c r="BE328"/>
      <c r="BF328"/>
      <c r="BG328"/>
      <c r="BH328"/>
      <c r="BI328"/>
      <c r="BJ328"/>
      <c r="BK328"/>
      <c r="BL328"/>
      <c r="BM328"/>
      <c r="BN328"/>
      <c r="BO328"/>
      <c r="BP328"/>
      <c r="BQ328"/>
      <c r="BR328"/>
      <c r="BY328"/>
      <c r="BZ328"/>
      <c r="CA328"/>
      <c r="CB328"/>
      <c r="CC328"/>
      <c r="CD328"/>
      <c r="CE328"/>
      <c r="CF328"/>
      <c r="CG328"/>
      <c r="CH328"/>
      <c r="CI328"/>
      <c r="CJ328"/>
      <c r="CK328"/>
      <c r="CL328"/>
      <c r="CM328"/>
      <c r="CN328"/>
      <c r="CO328"/>
      <c r="CP328"/>
      <c r="CQ328"/>
      <c r="CR328"/>
      <c r="CS328"/>
      <c r="CT328"/>
      <c r="CU328"/>
      <c r="CV328"/>
      <c r="CW328"/>
      <c r="CX328"/>
      <c r="CY328"/>
    </row>
    <row r="329" spans="50:103" ht="20.100000000000001" customHeight="1" x14ac:dyDescent="0.25">
      <c r="AX329"/>
      <c r="AY329"/>
      <c r="AZ329"/>
      <c r="BA329"/>
      <c r="BB329"/>
      <c r="BC329"/>
      <c r="BD329"/>
      <c r="BE329"/>
      <c r="BF329"/>
      <c r="BG329"/>
      <c r="BH329"/>
      <c r="BI329"/>
      <c r="BJ329"/>
      <c r="BK329"/>
      <c r="BL329"/>
      <c r="BM329"/>
      <c r="BN329"/>
      <c r="BO329"/>
      <c r="BP329"/>
      <c r="BQ329"/>
      <c r="BR329"/>
      <c r="BY329"/>
      <c r="BZ329"/>
      <c r="CA329"/>
      <c r="CB329"/>
      <c r="CC329"/>
      <c r="CD329"/>
      <c r="CE329"/>
      <c r="CF329"/>
      <c r="CG329"/>
      <c r="CH329"/>
      <c r="CI329"/>
      <c r="CJ329"/>
      <c r="CK329"/>
      <c r="CL329"/>
      <c r="CM329"/>
      <c r="CN329"/>
      <c r="CO329"/>
      <c r="CP329"/>
      <c r="CQ329"/>
      <c r="CR329"/>
      <c r="CS329"/>
      <c r="CT329"/>
      <c r="CU329"/>
      <c r="CV329"/>
      <c r="CW329"/>
      <c r="CX329"/>
      <c r="CY329"/>
    </row>
    <row r="330" spans="50:103" ht="20.100000000000001" customHeight="1" x14ac:dyDescent="0.25">
      <c r="AX330"/>
      <c r="AY330"/>
      <c r="AZ330"/>
      <c r="BA330"/>
      <c r="BB330"/>
      <c r="BC330"/>
      <c r="BD330"/>
      <c r="BE330"/>
      <c r="BF330"/>
      <c r="BG330"/>
      <c r="BH330"/>
      <c r="BI330"/>
      <c r="BJ330"/>
      <c r="BK330"/>
      <c r="BL330"/>
      <c r="BM330"/>
      <c r="BN330"/>
      <c r="BO330"/>
      <c r="BP330"/>
      <c r="BQ330"/>
      <c r="BR330"/>
      <c r="BY330"/>
      <c r="BZ330"/>
      <c r="CA330"/>
      <c r="CB330"/>
      <c r="CC330"/>
      <c r="CD330"/>
      <c r="CE330"/>
      <c r="CF330"/>
      <c r="CG330"/>
      <c r="CH330"/>
      <c r="CI330"/>
      <c r="CJ330"/>
      <c r="CK330"/>
      <c r="CL330"/>
      <c r="CM330"/>
      <c r="CN330"/>
      <c r="CO330"/>
      <c r="CP330"/>
      <c r="CQ330"/>
      <c r="CR330"/>
      <c r="CS330"/>
      <c r="CT330"/>
      <c r="CU330"/>
      <c r="CV330"/>
      <c r="CW330"/>
      <c r="CX330"/>
      <c r="CY330"/>
    </row>
    <row r="331" spans="50:103" ht="20.100000000000001" customHeight="1" x14ac:dyDescent="0.25">
      <c r="AX331"/>
      <c r="AY331"/>
      <c r="AZ331"/>
      <c r="BA331"/>
      <c r="BB331"/>
      <c r="BC331"/>
      <c r="BD331"/>
      <c r="BE331"/>
      <c r="BF331"/>
      <c r="BG331"/>
      <c r="BH331"/>
      <c r="BI331"/>
      <c r="BJ331"/>
      <c r="BK331"/>
      <c r="BL331"/>
      <c r="BM331"/>
      <c r="BN331"/>
      <c r="BO331"/>
      <c r="BP331"/>
      <c r="BQ331"/>
      <c r="BR331"/>
      <c r="BY331"/>
      <c r="BZ331"/>
      <c r="CA331"/>
      <c r="CB331"/>
      <c r="CC331"/>
      <c r="CD331"/>
      <c r="CE331"/>
      <c r="CF331"/>
      <c r="CG331"/>
      <c r="CH331"/>
      <c r="CI331"/>
      <c r="CJ331"/>
      <c r="CK331"/>
      <c r="CL331"/>
      <c r="CM331"/>
      <c r="CN331"/>
      <c r="CO331"/>
      <c r="CP331"/>
      <c r="CQ331"/>
      <c r="CR331"/>
      <c r="CS331"/>
      <c r="CT331"/>
      <c r="CU331"/>
      <c r="CV331"/>
      <c r="CW331"/>
      <c r="CX331"/>
      <c r="CY331"/>
    </row>
    <row r="332" spans="50:103" ht="20.100000000000001" customHeight="1" x14ac:dyDescent="0.25">
      <c r="AX332"/>
      <c r="AY332"/>
      <c r="AZ332"/>
      <c r="BA332"/>
      <c r="BB332"/>
      <c r="BC332"/>
      <c r="BD332"/>
      <c r="BE332"/>
      <c r="BF332"/>
      <c r="BG332"/>
      <c r="BH332"/>
      <c r="BI332"/>
      <c r="BJ332"/>
      <c r="BK332"/>
      <c r="BL332"/>
      <c r="BM332"/>
      <c r="BN332"/>
      <c r="BO332"/>
      <c r="BP332"/>
      <c r="BQ332"/>
      <c r="BR332"/>
      <c r="BY332"/>
      <c r="BZ332"/>
      <c r="CA332"/>
      <c r="CB332"/>
      <c r="CC332"/>
      <c r="CD332"/>
      <c r="CE332"/>
      <c r="CF332"/>
      <c r="CG332"/>
      <c r="CH332"/>
      <c r="CI332"/>
      <c r="CJ332"/>
      <c r="CK332"/>
      <c r="CL332"/>
      <c r="CM332"/>
      <c r="CN332"/>
      <c r="CO332"/>
      <c r="CP332"/>
      <c r="CQ332"/>
      <c r="CR332"/>
      <c r="CS332"/>
      <c r="CT332"/>
      <c r="CU332"/>
      <c r="CV332"/>
      <c r="CW332"/>
      <c r="CX332"/>
      <c r="CY332"/>
    </row>
    <row r="333" spans="50:103" ht="20.100000000000001" customHeight="1" x14ac:dyDescent="0.25">
      <c r="AX333"/>
      <c r="AY333"/>
      <c r="AZ333"/>
      <c r="BA333"/>
      <c r="BB333"/>
      <c r="BC333"/>
      <c r="BD333"/>
      <c r="BE333"/>
      <c r="BF333"/>
      <c r="BG333"/>
      <c r="BH333"/>
      <c r="BI333"/>
      <c r="BJ333"/>
      <c r="BK333"/>
      <c r="BL333"/>
      <c r="BM333"/>
      <c r="BN333"/>
      <c r="BO333"/>
      <c r="BP333"/>
      <c r="BQ333"/>
      <c r="BR333"/>
      <c r="BY333"/>
      <c r="BZ333"/>
      <c r="CA333"/>
      <c r="CB333"/>
      <c r="CC333"/>
      <c r="CD333"/>
      <c r="CE333"/>
      <c r="CF333"/>
      <c r="CG333"/>
      <c r="CH333"/>
      <c r="CI333"/>
      <c r="CJ333"/>
      <c r="CK333"/>
      <c r="CL333"/>
      <c r="CM333"/>
      <c r="CN333"/>
      <c r="CO333"/>
      <c r="CP333"/>
      <c r="CQ333"/>
      <c r="CR333"/>
      <c r="CS333"/>
      <c r="CT333"/>
      <c r="CU333"/>
      <c r="CV333"/>
      <c r="CW333"/>
      <c r="CX333"/>
      <c r="CY333"/>
    </row>
    <row r="334" spans="50:103" ht="20.100000000000001" customHeight="1" x14ac:dyDescent="0.25">
      <c r="AX334"/>
      <c r="AY334"/>
      <c r="AZ334"/>
      <c r="BA334"/>
      <c r="BB334"/>
      <c r="BC334"/>
      <c r="BD334"/>
      <c r="BE334"/>
      <c r="BF334"/>
      <c r="BG334"/>
      <c r="BH334"/>
      <c r="BI334"/>
      <c r="BJ334"/>
      <c r="BK334"/>
      <c r="BL334"/>
      <c r="BM334"/>
      <c r="BN334"/>
      <c r="BO334"/>
      <c r="BP334"/>
      <c r="BQ334"/>
      <c r="BR334"/>
      <c r="BY334"/>
      <c r="BZ334"/>
      <c r="CA334"/>
      <c r="CB334"/>
      <c r="CC334"/>
      <c r="CD334"/>
      <c r="CE334"/>
      <c r="CF334"/>
      <c r="CG334"/>
      <c r="CH334"/>
      <c r="CI334"/>
      <c r="CJ334"/>
      <c r="CK334"/>
      <c r="CL334"/>
      <c r="CM334"/>
      <c r="CN334"/>
      <c r="CO334"/>
      <c r="CP334"/>
      <c r="CQ334"/>
      <c r="CR334"/>
      <c r="CS334"/>
      <c r="CT334"/>
      <c r="CU334"/>
      <c r="CV334"/>
      <c r="CW334"/>
      <c r="CX334"/>
      <c r="CY334"/>
    </row>
    <row r="335" spans="50:103" ht="20.100000000000001" customHeight="1" x14ac:dyDescent="0.25">
      <c r="AX335"/>
      <c r="AY335"/>
      <c r="AZ335"/>
      <c r="BA335"/>
      <c r="BB335"/>
      <c r="BC335"/>
      <c r="BD335"/>
      <c r="BE335"/>
      <c r="BF335"/>
      <c r="BG335"/>
      <c r="BH335"/>
      <c r="BI335"/>
      <c r="BJ335"/>
      <c r="BK335"/>
      <c r="BL335"/>
      <c r="BM335"/>
      <c r="BN335"/>
      <c r="BO335"/>
      <c r="BP335"/>
      <c r="BQ335"/>
      <c r="BR335"/>
      <c r="BY335"/>
      <c r="BZ335"/>
      <c r="CA335"/>
      <c r="CB335"/>
      <c r="CC335"/>
      <c r="CD335"/>
      <c r="CE335"/>
      <c r="CF335"/>
      <c r="CG335"/>
      <c r="CH335"/>
      <c r="CI335"/>
      <c r="CJ335"/>
      <c r="CK335"/>
      <c r="CL335"/>
      <c r="CM335"/>
      <c r="CN335"/>
      <c r="CO335"/>
      <c r="CP335"/>
      <c r="CQ335"/>
      <c r="CR335"/>
      <c r="CS335"/>
      <c r="CT335"/>
      <c r="CU335"/>
      <c r="CV335"/>
      <c r="CW335"/>
      <c r="CX335"/>
      <c r="CY335"/>
    </row>
    <row r="336" spans="50:103" ht="20.100000000000001" customHeight="1" x14ac:dyDescent="0.25">
      <c r="AX336"/>
      <c r="AY336"/>
      <c r="AZ336"/>
      <c r="BA336"/>
      <c r="BB336"/>
      <c r="BC336"/>
      <c r="BD336"/>
      <c r="BE336"/>
      <c r="BF336"/>
      <c r="BG336"/>
      <c r="BH336"/>
      <c r="BI336"/>
      <c r="BJ336"/>
      <c r="BK336"/>
      <c r="BL336"/>
      <c r="BM336"/>
      <c r="BN336"/>
      <c r="BO336"/>
      <c r="BP336"/>
      <c r="BQ336"/>
      <c r="BR336"/>
      <c r="BY336"/>
      <c r="BZ336"/>
      <c r="CA336"/>
      <c r="CB336"/>
      <c r="CC336"/>
      <c r="CD336"/>
      <c r="CE336"/>
      <c r="CF336"/>
      <c r="CG336"/>
      <c r="CH336"/>
      <c r="CI336"/>
      <c r="CJ336"/>
      <c r="CK336"/>
      <c r="CL336"/>
      <c r="CM336"/>
      <c r="CN336"/>
      <c r="CO336"/>
      <c r="CP336"/>
      <c r="CQ336"/>
      <c r="CR336"/>
      <c r="CS336"/>
      <c r="CT336"/>
      <c r="CU336"/>
      <c r="CV336"/>
      <c r="CW336"/>
      <c r="CX336"/>
      <c r="CY336"/>
    </row>
    <row r="337" spans="50:103" ht="20.100000000000001" customHeight="1" x14ac:dyDescent="0.25">
      <c r="AX337"/>
      <c r="AY337"/>
      <c r="AZ337"/>
      <c r="BA337"/>
      <c r="BB337"/>
      <c r="BC337"/>
      <c r="BD337"/>
      <c r="BE337"/>
      <c r="BF337"/>
      <c r="BG337"/>
      <c r="BH337"/>
      <c r="BI337"/>
      <c r="BJ337"/>
      <c r="BK337"/>
      <c r="BL337"/>
      <c r="BM337"/>
      <c r="BN337"/>
      <c r="BO337"/>
      <c r="BP337"/>
      <c r="BQ337"/>
      <c r="BR337"/>
      <c r="BY337"/>
      <c r="BZ337"/>
      <c r="CA337"/>
      <c r="CB337"/>
      <c r="CC337"/>
      <c r="CD337"/>
      <c r="CE337"/>
      <c r="CF337"/>
      <c r="CG337"/>
      <c r="CH337"/>
      <c r="CI337"/>
      <c r="CJ337"/>
      <c r="CK337"/>
      <c r="CL337"/>
      <c r="CM337"/>
      <c r="CN337"/>
      <c r="CO337"/>
      <c r="CP337"/>
      <c r="CQ337"/>
      <c r="CR337"/>
      <c r="CS337"/>
      <c r="CT337"/>
      <c r="CU337"/>
      <c r="CV337"/>
      <c r="CW337"/>
      <c r="CX337"/>
      <c r="CY337"/>
    </row>
    <row r="338" spans="50:103" ht="20.100000000000001" customHeight="1" x14ac:dyDescent="0.25">
      <c r="AX338"/>
      <c r="AY338"/>
      <c r="AZ338"/>
      <c r="BA338"/>
      <c r="BB338"/>
      <c r="BC338"/>
      <c r="BD338"/>
      <c r="BE338"/>
      <c r="BF338"/>
      <c r="BG338"/>
      <c r="BH338"/>
      <c r="BI338"/>
      <c r="BJ338"/>
      <c r="BK338"/>
      <c r="BL338"/>
      <c r="BM338"/>
      <c r="BN338"/>
      <c r="BO338"/>
      <c r="BP338"/>
      <c r="BQ338"/>
      <c r="BR338"/>
      <c r="BY338"/>
      <c r="BZ338"/>
      <c r="CA338"/>
      <c r="CB338"/>
      <c r="CC338"/>
      <c r="CD338"/>
      <c r="CE338"/>
      <c r="CF338"/>
      <c r="CG338"/>
      <c r="CH338"/>
      <c r="CI338"/>
      <c r="CJ338"/>
      <c r="CK338"/>
      <c r="CL338"/>
      <c r="CM338"/>
      <c r="CN338"/>
      <c r="CO338"/>
      <c r="CP338"/>
      <c r="CQ338"/>
      <c r="CR338"/>
      <c r="CS338"/>
      <c r="CT338"/>
      <c r="CU338"/>
      <c r="CV338"/>
      <c r="CW338"/>
      <c r="CX338"/>
      <c r="CY338"/>
    </row>
    <row r="339" spans="50:103" ht="20.100000000000001" customHeight="1" x14ac:dyDescent="0.25">
      <c r="AX339"/>
      <c r="AY339"/>
      <c r="AZ339"/>
      <c r="BA339"/>
      <c r="BB339"/>
      <c r="BC339"/>
      <c r="BD339"/>
      <c r="BE339"/>
      <c r="BF339"/>
      <c r="BG339"/>
      <c r="BH339"/>
      <c r="BI339"/>
      <c r="BJ339"/>
      <c r="BK339"/>
      <c r="BL339"/>
      <c r="BM339"/>
      <c r="BN339"/>
      <c r="BO339"/>
      <c r="BP339"/>
      <c r="BQ339"/>
      <c r="BR339"/>
      <c r="BY339"/>
      <c r="BZ339"/>
      <c r="CA339"/>
      <c r="CB339"/>
      <c r="CC339"/>
      <c r="CD339"/>
      <c r="CE339"/>
      <c r="CF339"/>
      <c r="CG339"/>
      <c r="CH339"/>
      <c r="CI339"/>
      <c r="CJ339"/>
      <c r="CK339"/>
      <c r="CL339"/>
      <c r="CM339"/>
      <c r="CN339"/>
      <c r="CO339"/>
      <c r="CP339"/>
      <c r="CQ339"/>
      <c r="CR339"/>
      <c r="CS339"/>
      <c r="CT339"/>
      <c r="CU339"/>
      <c r="CV339"/>
      <c r="CW339"/>
      <c r="CX339"/>
      <c r="CY339"/>
    </row>
    <row r="340" spans="50:103" ht="20.100000000000001" customHeight="1" x14ac:dyDescent="0.25">
      <c r="AX340"/>
      <c r="AY340"/>
      <c r="AZ340"/>
      <c r="BA340"/>
      <c r="BB340"/>
      <c r="BC340"/>
      <c r="BD340"/>
      <c r="BE340"/>
      <c r="BF340"/>
      <c r="BG340"/>
      <c r="BH340"/>
      <c r="BI340"/>
      <c r="BJ340"/>
      <c r="BK340"/>
      <c r="BL340"/>
      <c r="BM340"/>
      <c r="BN340"/>
      <c r="BO340"/>
      <c r="BP340"/>
      <c r="BQ340"/>
      <c r="BR340"/>
      <c r="BY340"/>
      <c r="BZ340"/>
      <c r="CA340"/>
      <c r="CB340"/>
      <c r="CC340"/>
      <c r="CD340"/>
      <c r="CE340"/>
      <c r="CF340"/>
      <c r="CG340"/>
      <c r="CH340"/>
      <c r="CI340"/>
      <c r="CJ340"/>
      <c r="CK340"/>
      <c r="CL340"/>
      <c r="CM340"/>
      <c r="CN340"/>
      <c r="CO340"/>
      <c r="CP340"/>
      <c r="CQ340"/>
      <c r="CR340"/>
      <c r="CS340"/>
      <c r="CT340"/>
      <c r="CU340"/>
      <c r="CV340"/>
      <c r="CW340"/>
      <c r="CX340"/>
      <c r="CY340"/>
    </row>
    <row r="341" spans="50:103" ht="20.100000000000001" customHeight="1" x14ac:dyDescent="0.25">
      <c r="AX341"/>
      <c r="AY341"/>
      <c r="AZ341"/>
      <c r="BA341"/>
      <c r="BB341"/>
      <c r="BC341"/>
      <c r="BD341"/>
      <c r="BE341"/>
      <c r="BF341"/>
      <c r="BG341"/>
      <c r="BH341"/>
      <c r="BI341"/>
      <c r="BJ341"/>
      <c r="BK341"/>
      <c r="BL341"/>
      <c r="BM341"/>
      <c r="BN341"/>
      <c r="BO341"/>
      <c r="BP341"/>
      <c r="BQ341"/>
      <c r="BR341"/>
      <c r="BY341"/>
      <c r="BZ341"/>
      <c r="CA341"/>
      <c r="CB341"/>
      <c r="CC341"/>
      <c r="CD341"/>
      <c r="CE341"/>
      <c r="CF341"/>
      <c r="CG341"/>
      <c r="CH341"/>
      <c r="CI341"/>
      <c r="CJ341"/>
      <c r="CK341"/>
      <c r="CL341"/>
      <c r="CM341"/>
      <c r="CN341"/>
      <c r="CO341"/>
      <c r="CP341"/>
      <c r="CQ341"/>
      <c r="CR341"/>
      <c r="CS341"/>
      <c r="CT341"/>
      <c r="CU341"/>
      <c r="CV341"/>
      <c r="CW341"/>
      <c r="CX341"/>
      <c r="CY341"/>
    </row>
    <row r="342" spans="50:103" ht="20.100000000000001" customHeight="1" x14ac:dyDescent="0.25">
      <c r="AX342"/>
      <c r="AY342"/>
      <c r="AZ342"/>
      <c r="BA342"/>
      <c r="BB342"/>
      <c r="BC342"/>
      <c r="BD342"/>
      <c r="BE342"/>
      <c r="BF342"/>
      <c r="BG342"/>
      <c r="BH342"/>
      <c r="BI342"/>
      <c r="BJ342"/>
      <c r="BK342"/>
      <c r="BL342"/>
      <c r="BM342"/>
      <c r="BN342"/>
      <c r="BO342"/>
      <c r="BP342"/>
      <c r="BQ342"/>
      <c r="BR342"/>
      <c r="BY342"/>
      <c r="BZ342"/>
      <c r="CA342"/>
      <c r="CB342"/>
      <c r="CC342"/>
      <c r="CD342"/>
      <c r="CE342"/>
      <c r="CF342"/>
      <c r="CG342"/>
      <c r="CH342"/>
      <c r="CI342"/>
      <c r="CJ342"/>
      <c r="CK342"/>
      <c r="CL342"/>
      <c r="CM342"/>
      <c r="CN342"/>
      <c r="CO342"/>
      <c r="CP342"/>
      <c r="CQ342"/>
      <c r="CR342"/>
      <c r="CS342"/>
      <c r="CT342"/>
      <c r="CU342"/>
      <c r="CV342"/>
      <c r="CW342"/>
      <c r="CX342"/>
      <c r="CY342"/>
    </row>
    <row r="343" spans="50:103" ht="20.100000000000001" customHeight="1" x14ac:dyDescent="0.25">
      <c r="AX343"/>
      <c r="AY343"/>
      <c r="AZ343"/>
      <c r="BA343"/>
      <c r="BB343"/>
      <c r="BC343"/>
      <c r="BD343"/>
      <c r="BE343"/>
      <c r="BF343"/>
      <c r="BG343"/>
      <c r="BH343"/>
      <c r="BI343"/>
      <c r="BJ343"/>
      <c r="BK343"/>
      <c r="BL343"/>
      <c r="BM343"/>
      <c r="BN343"/>
      <c r="BO343"/>
      <c r="BP343"/>
      <c r="BQ343"/>
      <c r="BR343"/>
      <c r="BY343"/>
      <c r="BZ343"/>
      <c r="CA343"/>
      <c r="CB343"/>
      <c r="CC343"/>
      <c r="CD343"/>
      <c r="CE343"/>
      <c r="CF343"/>
      <c r="CG343"/>
      <c r="CH343"/>
      <c r="CI343"/>
      <c r="CJ343"/>
      <c r="CK343"/>
      <c r="CL343"/>
      <c r="CM343"/>
      <c r="CN343"/>
      <c r="CO343"/>
      <c r="CP343"/>
      <c r="CQ343"/>
      <c r="CR343"/>
      <c r="CS343"/>
      <c r="CT343"/>
      <c r="CU343"/>
      <c r="CV343"/>
      <c r="CW343"/>
      <c r="CX343"/>
      <c r="CY343"/>
    </row>
    <row r="344" spans="50:103" ht="20.100000000000001" customHeight="1" x14ac:dyDescent="0.25">
      <c r="AX344"/>
      <c r="AY344"/>
      <c r="AZ344"/>
      <c r="BA344"/>
      <c r="BB344"/>
      <c r="BC344"/>
      <c r="BD344"/>
      <c r="BE344"/>
      <c r="BF344"/>
      <c r="BG344"/>
      <c r="BH344"/>
      <c r="BI344"/>
      <c r="BJ344"/>
      <c r="BK344"/>
      <c r="BL344"/>
      <c r="BM344"/>
      <c r="BN344"/>
      <c r="BO344"/>
      <c r="BP344"/>
      <c r="BQ344"/>
      <c r="BR344"/>
      <c r="BY344"/>
      <c r="BZ344"/>
      <c r="CA344"/>
      <c r="CB344"/>
      <c r="CC344"/>
      <c r="CD344"/>
      <c r="CE344"/>
      <c r="CF344"/>
      <c r="CG344"/>
      <c r="CH344"/>
      <c r="CI344"/>
      <c r="CJ344"/>
      <c r="CK344"/>
      <c r="CL344"/>
      <c r="CM344"/>
      <c r="CN344"/>
      <c r="CO344"/>
      <c r="CP344"/>
      <c r="CQ344"/>
      <c r="CR344"/>
      <c r="CS344"/>
      <c r="CT344"/>
      <c r="CU344"/>
      <c r="CV344"/>
      <c r="CW344"/>
      <c r="CX344"/>
      <c r="CY344"/>
    </row>
    <row r="345" spans="50:103" ht="20.100000000000001" customHeight="1" x14ac:dyDescent="0.25">
      <c r="AX345"/>
      <c r="AY345"/>
      <c r="AZ345"/>
      <c r="BA345"/>
      <c r="BB345"/>
      <c r="BC345"/>
      <c r="BD345"/>
      <c r="BE345"/>
      <c r="BF345"/>
      <c r="BG345"/>
      <c r="BH345"/>
      <c r="BI345"/>
      <c r="BJ345"/>
      <c r="BK345"/>
      <c r="BL345"/>
      <c r="BM345"/>
      <c r="BN345"/>
      <c r="BO345"/>
      <c r="BP345"/>
      <c r="BQ345"/>
      <c r="BR345"/>
      <c r="BY345"/>
      <c r="BZ345"/>
      <c r="CA345"/>
      <c r="CB345"/>
      <c r="CC345"/>
      <c r="CD345"/>
      <c r="CE345"/>
      <c r="CF345"/>
      <c r="CG345"/>
      <c r="CH345"/>
      <c r="CI345"/>
      <c r="CJ345"/>
      <c r="CK345"/>
      <c r="CL345"/>
      <c r="CM345"/>
      <c r="CN345"/>
      <c r="CO345"/>
      <c r="CP345"/>
      <c r="CQ345"/>
      <c r="CR345"/>
      <c r="CS345"/>
      <c r="CT345"/>
      <c r="CU345"/>
      <c r="CV345"/>
      <c r="CW345"/>
      <c r="CX345"/>
      <c r="CY345"/>
    </row>
    <row r="346" spans="50:103" ht="20.100000000000001" customHeight="1" x14ac:dyDescent="0.25">
      <c r="AX346"/>
      <c r="AY346"/>
      <c r="AZ346"/>
      <c r="BA346"/>
      <c r="BB346"/>
      <c r="BC346"/>
      <c r="BD346"/>
      <c r="BE346"/>
      <c r="BF346"/>
      <c r="BG346"/>
      <c r="BH346"/>
      <c r="BI346"/>
      <c r="BJ346"/>
      <c r="BK346"/>
      <c r="BL346"/>
      <c r="BM346"/>
      <c r="BN346"/>
      <c r="BO346"/>
      <c r="BP346"/>
      <c r="BQ346"/>
      <c r="BR346"/>
      <c r="BY346"/>
      <c r="BZ346"/>
      <c r="CA346"/>
      <c r="CB346"/>
      <c r="CC346"/>
      <c r="CD346"/>
      <c r="CE346"/>
      <c r="CF346"/>
      <c r="CG346"/>
      <c r="CH346"/>
      <c r="CI346"/>
      <c r="CJ346"/>
      <c r="CK346"/>
      <c r="CL346"/>
      <c r="CM346"/>
      <c r="CN346"/>
      <c r="CO346"/>
      <c r="CP346"/>
      <c r="CQ346"/>
      <c r="CR346"/>
      <c r="CS346"/>
      <c r="CT346"/>
      <c r="CU346"/>
      <c r="CV346"/>
      <c r="CW346"/>
      <c r="CX346"/>
      <c r="CY346"/>
    </row>
    <row r="347" spans="50:103" ht="20.100000000000001" customHeight="1" x14ac:dyDescent="0.25">
      <c r="AX347"/>
      <c r="AY347"/>
      <c r="AZ347"/>
      <c r="BA347"/>
      <c r="BB347"/>
      <c r="BC347"/>
      <c r="BD347"/>
      <c r="BE347"/>
      <c r="BF347"/>
      <c r="BG347"/>
      <c r="BH347"/>
      <c r="BI347"/>
      <c r="BJ347"/>
      <c r="BK347"/>
      <c r="BL347"/>
      <c r="BM347"/>
      <c r="BN347"/>
      <c r="BO347"/>
      <c r="BP347"/>
      <c r="BQ347"/>
      <c r="BR347"/>
      <c r="BY347"/>
      <c r="BZ347"/>
      <c r="CA347"/>
      <c r="CB347"/>
      <c r="CC347"/>
      <c r="CD347"/>
      <c r="CE347"/>
      <c r="CF347"/>
      <c r="CG347"/>
      <c r="CH347"/>
      <c r="CI347"/>
      <c r="CJ347"/>
      <c r="CK347"/>
      <c r="CL347"/>
      <c r="CM347"/>
      <c r="CN347"/>
      <c r="CO347"/>
      <c r="CP347"/>
      <c r="CQ347"/>
      <c r="CR347"/>
      <c r="CS347"/>
      <c r="CT347"/>
      <c r="CU347"/>
      <c r="CV347"/>
      <c r="CW347"/>
      <c r="CX347"/>
      <c r="CY347"/>
    </row>
    <row r="348" spans="50:103" ht="20.100000000000001" customHeight="1" x14ac:dyDescent="0.25">
      <c r="AX348"/>
      <c r="AY348"/>
      <c r="AZ348"/>
      <c r="BA348"/>
      <c r="BB348"/>
      <c r="BC348"/>
      <c r="BD348"/>
      <c r="BE348"/>
      <c r="BF348"/>
      <c r="BG348"/>
      <c r="BH348"/>
      <c r="BI348"/>
      <c r="BJ348"/>
      <c r="BK348"/>
      <c r="BL348"/>
      <c r="BM348"/>
      <c r="BN348"/>
      <c r="BO348"/>
      <c r="BP348"/>
      <c r="BQ348"/>
      <c r="BR348"/>
      <c r="BY348"/>
      <c r="BZ348"/>
      <c r="CA348"/>
      <c r="CB348"/>
      <c r="CC348"/>
      <c r="CD348"/>
      <c r="CE348"/>
      <c r="CF348"/>
      <c r="CG348"/>
      <c r="CH348"/>
      <c r="CI348"/>
      <c r="CJ348"/>
      <c r="CK348"/>
      <c r="CL348"/>
      <c r="CM348"/>
      <c r="CN348"/>
      <c r="CO348"/>
      <c r="CP348"/>
      <c r="CQ348"/>
      <c r="CR348"/>
      <c r="CS348"/>
      <c r="CT348"/>
      <c r="CU348"/>
      <c r="CV348"/>
      <c r="CW348"/>
      <c r="CX348"/>
      <c r="CY348"/>
    </row>
    <row r="349" spans="50:103" ht="20.100000000000001" customHeight="1" x14ac:dyDescent="0.25">
      <c r="AX349"/>
      <c r="AY349"/>
      <c r="AZ349"/>
      <c r="BA349"/>
      <c r="BB349"/>
      <c r="BC349"/>
      <c r="BD349"/>
      <c r="BE349"/>
      <c r="BF349"/>
      <c r="BG349"/>
      <c r="BH349"/>
      <c r="BI349"/>
      <c r="BJ349"/>
      <c r="BK349"/>
      <c r="BL349"/>
      <c r="BM349"/>
      <c r="BN349"/>
      <c r="BO349"/>
      <c r="BP349"/>
      <c r="BQ349"/>
      <c r="BR349"/>
      <c r="BY349"/>
      <c r="BZ349"/>
      <c r="CA349"/>
      <c r="CB349"/>
      <c r="CC349"/>
      <c r="CD349"/>
      <c r="CE349"/>
      <c r="CF349"/>
      <c r="CG349"/>
      <c r="CH349"/>
      <c r="CI349"/>
      <c r="CJ349"/>
      <c r="CK349"/>
      <c r="CL349"/>
      <c r="CM349"/>
      <c r="CN349"/>
      <c r="CO349"/>
      <c r="CP349"/>
      <c r="CQ349"/>
      <c r="CR349"/>
      <c r="CS349"/>
      <c r="CT349"/>
      <c r="CU349"/>
      <c r="CV349"/>
      <c r="CW349"/>
      <c r="CX349"/>
      <c r="CY349"/>
    </row>
    <row r="350" spans="50:103" ht="20.100000000000001" customHeight="1" x14ac:dyDescent="0.25">
      <c r="AX350"/>
      <c r="AY350"/>
      <c r="AZ350"/>
      <c r="BA350"/>
      <c r="BB350"/>
      <c r="BC350"/>
      <c r="BD350"/>
      <c r="BE350"/>
      <c r="BF350"/>
      <c r="BG350"/>
      <c r="BH350"/>
      <c r="BI350"/>
      <c r="BJ350"/>
      <c r="BK350"/>
      <c r="BL350"/>
      <c r="BM350"/>
      <c r="BN350"/>
      <c r="BO350"/>
      <c r="BP350"/>
      <c r="BQ350"/>
      <c r="BR350"/>
      <c r="BY350"/>
      <c r="BZ350"/>
      <c r="CA350"/>
      <c r="CB350"/>
      <c r="CC350"/>
      <c r="CD350"/>
      <c r="CE350"/>
      <c r="CF350"/>
      <c r="CG350"/>
      <c r="CH350"/>
      <c r="CI350"/>
      <c r="CJ350"/>
      <c r="CK350"/>
      <c r="CL350"/>
      <c r="CM350"/>
      <c r="CN350"/>
      <c r="CO350"/>
      <c r="CP350"/>
      <c r="CQ350"/>
      <c r="CR350"/>
      <c r="CS350"/>
      <c r="CT350"/>
      <c r="CU350"/>
      <c r="CV350"/>
      <c r="CW350"/>
      <c r="CX350"/>
      <c r="CY350"/>
    </row>
    <row r="351" spans="50:103" ht="20.100000000000001" customHeight="1" x14ac:dyDescent="0.25">
      <c r="AX351"/>
      <c r="AY351"/>
      <c r="AZ351"/>
      <c r="BA351"/>
      <c r="BB351"/>
      <c r="BC351"/>
      <c r="BD351"/>
      <c r="BE351"/>
      <c r="BF351"/>
      <c r="BG351"/>
      <c r="BH351"/>
      <c r="BI351"/>
      <c r="BJ351"/>
      <c r="BK351"/>
      <c r="BL351"/>
      <c r="BM351"/>
      <c r="BN351"/>
      <c r="BO351"/>
      <c r="BP351"/>
      <c r="BQ351"/>
      <c r="BR351"/>
      <c r="BY351"/>
      <c r="BZ351"/>
      <c r="CA351"/>
      <c r="CB351"/>
      <c r="CC351"/>
      <c r="CD351"/>
      <c r="CE351"/>
      <c r="CF351"/>
      <c r="CG351"/>
      <c r="CH351"/>
      <c r="CI351"/>
      <c r="CJ351"/>
      <c r="CK351"/>
      <c r="CL351"/>
      <c r="CM351"/>
      <c r="CN351"/>
      <c r="CO351"/>
      <c r="CP351"/>
      <c r="CQ351"/>
      <c r="CR351"/>
      <c r="CS351"/>
      <c r="CT351"/>
      <c r="CU351"/>
      <c r="CV351"/>
      <c r="CW351"/>
      <c r="CX351"/>
      <c r="CY351"/>
    </row>
    <row r="352" spans="50:103" ht="20.100000000000001" customHeight="1" x14ac:dyDescent="0.25">
      <c r="AX352"/>
      <c r="AY352"/>
      <c r="AZ352"/>
      <c r="BA352"/>
      <c r="BB352"/>
      <c r="BC352"/>
      <c r="BD352"/>
      <c r="BE352"/>
      <c r="BF352"/>
      <c r="BG352"/>
      <c r="BH352"/>
      <c r="BI352"/>
      <c r="BJ352"/>
      <c r="BK352"/>
      <c r="BL352"/>
      <c r="BM352"/>
      <c r="BN352"/>
      <c r="BO352"/>
      <c r="BP352"/>
      <c r="BQ352"/>
      <c r="BR352"/>
      <c r="BY352"/>
      <c r="BZ352"/>
      <c r="CA352"/>
      <c r="CB352"/>
      <c r="CC352"/>
      <c r="CD352"/>
      <c r="CE352"/>
      <c r="CF352"/>
      <c r="CG352"/>
      <c r="CH352"/>
      <c r="CI352"/>
      <c r="CJ352"/>
      <c r="CK352"/>
      <c r="CL352"/>
      <c r="CM352"/>
      <c r="CN352"/>
      <c r="CO352"/>
      <c r="CP352"/>
      <c r="CQ352"/>
      <c r="CR352"/>
      <c r="CS352"/>
      <c r="CT352"/>
      <c r="CU352"/>
      <c r="CV352"/>
      <c r="CW352"/>
      <c r="CX352"/>
      <c r="CY352"/>
    </row>
    <row r="353" spans="50:103" ht="20.100000000000001" customHeight="1" x14ac:dyDescent="0.25">
      <c r="AX353"/>
      <c r="AY353"/>
      <c r="AZ353"/>
      <c r="BA353"/>
      <c r="BB353"/>
      <c r="BC353"/>
      <c r="BD353"/>
      <c r="BE353"/>
      <c r="BF353"/>
      <c r="BG353"/>
      <c r="BH353"/>
      <c r="BI353"/>
      <c r="BJ353"/>
      <c r="BK353"/>
      <c r="BL353"/>
      <c r="BM353"/>
      <c r="BN353"/>
      <c r="BO353"/>
      <c r="BP353"/>
      <c r="BQ353"/>
      <c r="BR353"/>
      <c r="BY353"/>
      <c r="BZ353"/>
      <c r="CA353"/>
      <c r="CB353"/>
      <c r="CC353"/>
      <c r="CD353"/>
      <c r="CE353"/>
      <c r="CF353"/>
      <c r="CG353"/>
      <c r="CH353"/>
      <c r="CI353"/>
      <c r="CJ353"/>
      <c r="CK353"/>
      <c r="CL353"/>
      <c r="CM353"/>
      <c r="CN353"/>
      <c r="CO353"/>
      <c r="CP353"/>
      <c r="CQ353"/>
      <c r="CR353"/>
      <c r="CS353"/>
      <c r="CT353"/>
      <c r="CU353"/>
      <c r="CV353"/>
      <c r="CW353"/>
      <c r="CX353"/>
      <c r="CY353"/>
    </row>
    <row r="354" spans="50:103" ht="20.100000000000001" customHeight="1" x14ac:dyDescent="0.25">
      <c r="AX354"/>
      <c r="AY354"/>
      <c r="AZ354"/>
      <c r="BA354"/>
      <c r="BB354"/>
      <c r="BC354"/>
      <c r="BD354"/>
      <c r="BE354"/>
      <c r="BF354"/>
      <c r="BG354"/>
      <c r="BH354"/>
      <c r="BI354"/>
      <c r="BJ354"/>
      <c r="BK354"/>
      <c r="BL354"/>
      <c r="BM354"/>
      <c r="BN354"/>
      <c r="BO354"/>
      <c r="BP354"/>
      <c r="BQ354"/>
      <c r="BR354"/>
      <c r="BY354"/>
      <c r="BZ354"/>
      <c r="CA354"/>
      <c r="CB354"/>
      <c r="CC354"/>
      <c r="CD354"/>
      <c r="CE354"/>
      <c r="CF354"/>
      <c r="CG354"/>
      <c r="CH354"/>
      <c r="CI354"/>
      <c r="CJ354"/>
      <c r="CK354"/>
      <c r="CL354"/>
      <c r="CM354"/>
      <c r="CN354"/>
      <c r="CO354"/>
      <c r="CP354"/>
      <c r="CQ354"/>
      <c r="CR354"/>
      <c r="CS354"/>
      <c r="CT354"/>
      <c r="CU354"/>
      <c r="CV354"/>
      <c r="CW354"/>
      <c r="CX354"/>
      <c r="CY354"/>
    </row>
    <row r="355" spans="50:103" ht="20.100000000000001" customHeight="1" x14ac:dyDescent="0.25">
      <c r="AX355"/>
      <c r="AY355"/>
      <c r="AZ355"/>
      <c r="BA355"/>
      <c r="BB355"/>
      <c r="BC355"/>
      <c r="BD355"/>
      <c r="BE355"/>
      <c r="BF355"/>
      <c r="BG355"/>
      <c r="BH355"/>
      <c r="BI355"/>
      <c r="BJ355"/>
      <c r="BK355"/>
      <c r="BL355"/>
      <c r="BM355"/>
      <c r="BN355"/>
      <c r="BO355"/>
      <c r="BP355"/>
      <c r="BQ355"/>
      <c r="BR355"/>
      <c r="BY355"/>
      <c r="BZ355"/>
      <c r="CA355"/>
      <c r="CB355"/>
      <c r="CC355"/>
      <c r="CD355"/>
      <c r="CE355"/>
      <c r="CF355"/>
      <c r="CG355"/>
      <c r="CH355"/>
      <c r="CI355"/>
      <c r="CJ355"/>
      <c r="CK355"/>
      <c r="CL355"/>
      <c r="CM355"/>
      <c r="CN355"/>
      <c r="CO355"/>
      <c r="CP355"/>
      <c r="CQ355"/>
      <c r="CR355"/>
      <c r="CS355"/>
      <c r="CT355"/>
      <c r="CU355"/>
      <c r="CV355"/>
      <c r="CW355"/>
      <c r="CX355"/>
      <c r="CY355"/>
    </row>
    <row r="356" spans="50:103" ht="20.100000000000001" customHeight="1" x14ac:dyDescent="0.25">
      <c r="AX356"/>
      <c r="AY356"/>
      <c r="AZ356"/>
      <c r="BA356"/>
      <c r="BB356"/>
      <c r="BC356"/>
      <c r="BD356"/>
      <c r="BE356"/>
      <c r="BF356"/>
      <c r="BG356"/>
      <c r="BH356"/>
      <c r="BI356"/>
      <c r="BJ356"/>
      <c r="BK356"/>
      <c r="BL356"/>
      <c r="BM356"/>
      <c r="BN356"/>
      <c r="BO356"/>
      <c r="BP356"/>
      <c r="BQ356"/>
      <c r="BR356"/>
      <c r="BY356"/>
      <c r="BZ356"/>
      <c r="CA356"/>
      <c r="CB356"/>
      <c r="CC356"/>
      <c r="CD356"/>
      <c r="CE356"/>
      <c r="CF356"/>
      <c r="CG356"/>
      <c r="CH356"/>
      <c r="CI356"/>
      <c r="CJ356"/>
      <c r="CK356"/>
      <c r="CL356"/>
      <c r="CM356"/>
      <c r="CN356"/>
      <c r="CO356"/>
      <c r="CP356"/>
      <c r="CQ356"/>
      <c r="CR356"/>
      <c r="CS356"/>
      <c r="CT356"/>
      <c r="CU356"/>
      <c r="CV356"/>
      <c r="CW356"/>
      <c r="CX356"/>
      <c r="CY356"/>
    </row>
    <row r="357" spans="50:103" ht="20.100000000000001" customHeight="1" x14ac:dyDescent="0.25">
      <c r="AX357"/>
      <c r="AY357"/>
      <c r="AZ357"/>
      <c r="BA357"/>
      <c r="BB357"/>
      <c r="BC357"/>
      <c r="BD357"/>
      <c r="BE357"/>
      <c r="BF357"/>
      <c r="BG357"/>
      <c r="BH357"/>
      <c r="BI357"/>
      <c r="BJ357"/>
      <c r="BK357"/>
      <c r="BL357"/>
      <c r="BM357"/>
      <c r="BN357"/>
      <c r="BO357"/>
      <c r="BP357"/>
      <c r="BQ357"/>
      <c r="BR357"/>
      <c r="BY357"/>
      <c r="BZ357"/>
      <c r="CA357"/>
      <c r="CB357"/>
      <c r="CC357"/>
      <c r="CD357"/>
      <c r="CE357"/>
      <c r="CF357"/>
      <c r="CG357"/>
      <c r="CH357"/>
      <c r="CI357"/>
      <c r="CJ357"/>
      <c r="CK357"/>
      <c r="CL357"/>
      <c r="CM357"/>
      <c r="CN357"/>
      <c r="CO357"/>
      <c r="CP357"/>
      <c r="CQ357"/>
      <c r="CR357"/>
      <c r="CS357"/>
      <c r="CT357"/>
      <c r="CU357"/>
      <c r="CV357"/>
      <c r="CW357"/>
      <c r="CX357"/>
      <c r="CY357"/>
    </row>
    <row r="358" spans="50:103" ht="20.100000000000001" customHeight="1" x14ac:dyDescent="0.25">
      <c r="AX358"/>
      <c r="AY358"/>
      <c r="AZ358"/>
      <c r="BA358"/>
      <c r="BB358"/>
      <c r="BC358"/>
      <c r="BD358"/>
      <c r="BE358"/>
      <c r="BF358"/>
      <c r="BG358"/>
      <c r="BH358"/>
      <c r="BI358"/>
      <c r="BJ358"/>
      <c r="BK358"/>
      <c r="BL358"/>
      <c r="BM358"/>
      <c r="BN358"/>
      <c r="BO358"/>
      <c r="BP358"/>
      <c r="BQ358"/>
      <c r="BR358"/>
      <c r="BY358"/>
      <c r="BZ358"/>
      <c r="CA358"/>
      <c r="CB358"/>
      <c r="CC358"/>
      <c r="CD358"/>
      <c r="CE358"/>
      <c r="CF358"/>
      <c r="CG358"/>
      <c r="CH358"/>
      <c r="CI358"/>
      <c r="CJ358"/>
      <c r="CK358"/>
      <c r="CL358"/>
      <c r="CM358"/>
      <c r="CN358"/>
      <c r="CO358"/>
      <c r="CP358"/>
      <c r="CQ358"/>
      <c r="CR358"/>
      <c r="CS358"/>
      <c r="CT358"/>
      <c r="CU358"/>
      <c r="CV358"/>
      <c r="CW358"/>
      <c r="CX358"/>
      <c r="CY358"/>
    </row>
    <row r="359" spans="50:103" ht="20.100000000000001" customHeight="1" x14ac:dyDescent="0.25">
      <c r="AX359"/>
      <c r="AY359"/>
      <c r="AZ359"/>
      <c r="BA359"/>
      <c r="BB359"/>
      <c r="BC359"/>
      <c r="BD359"/>
      <c r="BE359"/>
      <c r="BF359"/>
      <c r="BG359"/>
      <c r="BH359"/>
      <c r="BI359"/>
      <c r="BJ359"/>
      <c r="BK359"/>
      <c r="BL359"/>
      <c r="BM359"/>
      <c r="BN359"/>
      <c r="BO359"/>
      <c r="BP359"/>
      <c r="BQ359"/>
      <c r="BR359"/>
      <c r="BY359"/>
      <c r="BZ359"/>
      <c r="CA359"/>
      <c r="CB359"/>
      <c r="CC359"/>
      <c r="CD359"/>
      <c r="CE359"/>
      <c r="CF359"/>
      <c r="CG359"/>
      <c r="CH359"/>
      <c r="CI359"/>
      <c r="CJ359"/>
      <c r="CK359"/>
      <c r="CL359"/>
      <c r="CM359"/>
      <c r="CN359"/>
      <c r="CO359"/>
      <c r="CP359"/>
      <c r="CQ359"/>
      <c r="CR359"/>
      <c r="CS359"/>
      <c r="CT359"/>
      <c r="CU359"/>
      <c r="CV359"/>
      <c r="CW359"/>
      <c r="CX359"/>
      <c r="CY359"/>
    </row>
    <row r="360" spans="50:103" ht="20.100000000000001" customHeight="1" x14ac:dyDescent="0.25">
      <c r="AX360"/>
      <c r="AY360"/>
      <c r="AZ360"/>
      <c r="BA360"/>
      <c r="BB360"/>
      <c r="BC360"/>
      <c r="BD360"/>
      <c r="BE360"/>
      <c r="BF360"/>
      <c r="BG360"/>
      <c r="BH360"/>
      <c r="BI360"/>
      <c r="BJ360"/>
      <c r="BK360"/>
      <c r="BL360"/>
      <c r="BM360"/>
      <c r="BN360"/>
      <c r="BO360"/>
      <c r="BP360"/>
      <c r="BQ360"/>
      <c r="BR360"/>
      <c r="BY360"/>
      <c r="BZ360"/>
      <c r="CA360"/>
      <c r="CB360"/>
      <c r="CC360"/>
      <c r="CD360"/>
      <c r="CE360"/>
      <c r="CF360"/>
      <c r="CG360"/>
      <c r="CH360"/>
      <c r="CI360"/>
      <c r="CJ360"/>
      <c r="CK360"/>
      <c r="CL360"/>
      <c r="CM360"/>
      <c r="CN360"/>
      <c r="CO360"/>
      <c r="CP360"/>
      <c r="CQ360"/>
      <c r="CR360"/>
      <c r="CS360"/>
      <c r="CT360"/>
      <c r="CU360"/>
      <c r="CV360"/>
      <c r="CW360"/>
      <c r="CX360"/>
      <c r="CY360"/>
    </row>
    <row r="361" spans="50:103" ht="20.100000000000001" customHeight="1" x14ac:dyDescent="0.25">
      <c r="AX361"/>
      <c r="AY361"/>
      <c r="AZ361"/>
      <c r="BA361"/>
      <c r="BB361"/>
      <c r="BC361"/>
      <c r="BD361"/>
      <c r="BE361"/>
      <c r="BF361"/>
      <c r="BG361"/>
      <c r="BH361"/>
      <c r="BI361"/>
      <c r="BJ361"/>
      <c r="BK361"/>
      <c r="BL361"/>
      <c r="BM361"/>
      <c r="BN361"/>
      <c r="BO361"/>
      <c r="BP361"/>
      <c r="BQ361"/>
      <c r="BR361"/>
      <c r="BY361"/>
      <c r="BZ361"/>
      <c r="CA361"/>
      <c r="CB361"/>
      <c r="CC361"/>
      <c r="CD361"/>
      <c r="CE361"/>
      <c r="CF361"/>
      <c r="CG361"/>
      <c r="CH361"/>
      <c r="CI361"/>
      <c r="CJ361"/>
      <c r="CK361"/>
      <c r="CL361"/>
      <c r="CM361"/>
      <c r="CN361"/>
      <c r="CO361"/>
      <c r="CP361"/>
      <c r="CQ361"/>
      <c r="CR361"/>
      <c r="CS361"/>
      <c r="CT361"/>
      <c r="CU361"/>
      <c r="CV361"/>
      <c r="CW361"/>
      <c r="CX361"/>
      <c r="CY361"/>
    </row>
    <row r="362" spans="50:103" ht="20.100000000000001" customHeight="1" x14ac:dyDescent="0.25">
      <c r="AX362"/>
      <c r="AY362"/>
      <c r="AZ362"/>
      <c r="BA362"/>
      <c r="BB362"/>
      <c r="BC362"/>
      <c r="BD362"/>
      <c r="BE362"/>
      <c r="BF362"/>
      <c r="BG362"/>
      <c r="BH362"/>
      <c r="BI362"/>
      <c r="BJ362"/>
      <c r="BK362"/>
      <c r="BL362"/>
      <c r="BM362"/>
      <c r="BN362"/>
      <c r="BO362"/>
      <c r="BP362"/>
      <c r="BQ362"/>
      <c r="BR362"/>
      <c r="BY362"/>
      <c r="BZ362"/>
      <c r="CA362"/>
      <c r="CB362"/>
      <c r="CC362"/>
      <c r="CD362"/>
      <c r="CE362"/>
      <c r="CF362"/>
      <c r="CG362"/>
      <c r="CH362"/>
      <c r="CI362"/>
      <c r="CJ362"/>
      <c r="CK362"/>
      <c r="CL362"/>
      <c r="CM362"/>
      <c r="CN362"/>
      <c r="CO362"/>
      <c r="CP362"/>
      <c r="CQ362"/>
      <c r="CR362"/>
      <c r="CS362"/>
      <c r="CT362"/>
      <c r="CU362"/>
      <c r="CV362"/>
      <c r="CW362"/>
      <c r="CX362"/>
      <c r="CY362"/>
    </row>
    <row r="363" spans="50:103" ht="20.100000000000001" customHeight="1" x14ac:dyDescent="0.25">
      <c r="AX363"/>
      <c r="AY363"/>
      <c r="AZ363"/>
      <c r="BA363"/>
      <c r="BB363"/>
      <c r="BC363"/>
      <c r="BD363"/>
      <c r="BE363"/>
      <c r="BF363"/>
      <c r="BG363"/>
      <c r="BH363"/>
      <c r="BI363"/>
      <c r="BJ363"/>
      <c r="BK363"/>
      <c r="BL363"/>
      <c r="BM363"/>
      <c r="BN363"/>
      <c r="BO363"/>
      <c r="BP363"/>
      <c r="BQ363"/>
      <c r="BR363"/>
      <c r="BY363"/>
      <c r="BZ363"/>
      <c r="CA363"/>
      <c r="CB363"/>
      <c r="CC363"/>
      <c r="CD363"/>
      <c r="CE363"/>
      <c r="CF363"/>
      <c r="CG363"/>
      <c r="CH363"/>
      <c r="CI363"/>
      <c r="CJ363"/>
      <c r="CK363"/>
      <c r="CL363"/>
      <c r="CM363"/>
      <c r="CN363"/>
      <c r="CO363"/>
      <c r="CP363"/>
      <c r="CQ363"/>
      <c r="CR363"/>
      <c r="CS363"/>
      <c r="CT363"/>
      <c r="CU363"/>
      <c r="CV363"/>
      <c r="CW363"/>
      <c r="CX363"/>
      <c r="CY363"/>
    </row>
    <row r="364" spans="50:103" ht="20.100000000000001" customHeight="1" x14ac:dyDescent="0.25">
      <c r="AX364"/>
      <c r="AY364"/>
      <c r="AZ364"/>
      <c r="BA364"/>
      <c r="BB364"/>
      <c r="BC364"/>
      <c r="BD364"/>
      <c r="BE364"/>
      <c r="BF364"/>
      <c r="BG364"/>
      <c r="BH364"/>
      <c r="BI364"/>
      <c r="BJ364"/>
      <c r="BK364"/>
      <c r="BL364"/>
      <c r="BM364"/>
      <c r="BN364"/>
      <c r="BO364"/>
      <c r="BP364"/>
      <c r="BQ364"/>
      <c r="BR364"/>
      <c r="BY364"/>
      <c r="BZ364"/>
      <c r="CA364"/>
      <c r="CB364"/>
      <c r="CC364"/>
      <c r="CD364"/>
      <c r="CE364"/>
      <c r="CF364"/>
      <c r="CG364"/>
      <c r="CH364"/>
      <c r="CI364"/>
      <c r="CJ364"/>
      <c r="CK364"/>
      <c r="CL364"/>
      <c r="CM364"/>
      <c r="CN364"/>
      <c r="CO364"/>
      <c r="CP364"/>
      <c r="CQ364"/>
      <c r="CR364"/>
      <c r="CS364"/>
      <c r="CT364"/>
      <c r="CU364"/>
      <c r="CV364"/>
      <c r="CW364"/>
      <c r="CX364"/>
      <c r="CY364"/>
    </row>
    <row r="365" spans="50:103" ht="20.100000000000001" customHeight="1" x14ac:dyDescent="0.25">
      <c r="AX365"/>
      <c r="AY365"/>
      <c r="AZ365"/>
      <c r="BA365"/>
      <c r="BB365"/>
      <c r="BC365"/>
      <c r="BD365"/>
      <c r="BE365"/>
      <c r="BF365"/>
      <c r="BG365"/>
      <c r="BH365"/>
      <c r="BI365"/>
      <c r="BJ365"/>
      <c r="BK365"/>
      <c r="BL365"/>
      <c r="BM365"/>
      <c r="BN365"/>
      <c r="BO365"/>
      <c r="BP365"/>
      <c r="BQ365"/>
      <c r="BR365"/>
      <c r="BY365"/>
      <c r="BZ365"/>
      <c r="CA365"/>
      <c r="CB365"/>
      <c r="CC365"/>
      <c r="CD365"/>
      <c r="CE365"/>
      <c r="CF365"/>
      <c r="CG365"/>
      <c r="CH365"/>
      <c r="CI365"/>
      <c r="CJ365"/>
      <c r="CK365"/>
      <c r="CL365"/>
      <c r="CM365"/>
      <c r="CN365"/>
      <c r="CO365"/>
      <c r="CP365"/>
      <c r="CQ365"/>
      <c r="CR365"/>
      <c r="CS365"/>
      <c r="CT365"/>
      <c r="CU365"/>
      <c r="CV365"/>
      <c r="CW365"/>
      <c r="CX365"/>
      <c r="CY365"/>
    </row>
    <row r="366" spans="50:103" ht="20.100000000000001" customHeight="1" x14ac:dyDescent="0.25">
      <c r="AX366"/>
      <c r="AY366"/>
      <c r="AZ366"/>
      <c r="BA366"/>
      <c r="BB366"/>
      <c r="BC366"/>
      <c r="BD366"/>
      <c r="BE366"/>
      <c r="BF366"/>
      <c r="BG366"/>
      <c r="BH366"/>
      <c r="BI366"/>
      <c r="BJ366"/>
      <c r="BK366"/>
      <c r="BL366"/>
      <c r="BM366"/>
      <c r="BN366"/>
      <c r="BO366"/>
      <c r="BP366"/>
      <c r="BQ366"/>
      <c r="BR366"/>
      <c r="BY366"/>
      <c r="BZ366"/>
      <c r="CA366"/>
      <c r="CB366"/>
      <c r="CC366"/>
      <c r="CD366"/>
      <c r="CE366"/>
      <c r="CF366"/>
      <c r="CG366"/>
      <c r="CH366"/>
      <c r="CI366"/>
      <c r="CJ366"/>
      <c r="CK366"/>
      <c r="CL366"/>
      <c r="CM366"/>
      <c r="CN366"/>
      <c r="CO366"/>
      <c r="CP366"/>
      <c r="CQ366"/>
      <c r="CR366"/>
      <c r="CS366"/>
      <c r="CT366"/>
      <c r="CU366"/>
      <c r="CV366"/>
      <c r="CW366"/>
      <c r="CX366"/>
      <c r="CY366"/>
    </row>
    <row r="367" spans="50:103" ht="20.100000000000001" customHeight="1" x14ac:dyDescent="0.25">
      <c r="AX367"/>
      <c r="AY367"/>
      <c r="AZ367"/>
      <c r="BA367"/>
      <c r="BB367"/>
      <c r="BC367"/>
      <c r="BD367"/>
      <c r="BE367"/>
      <c r="BF367"/>
      <c r="BG367"/>
      <c r="BH367"/>
      <c r="BI367"/>
      <c r="BJ367"/>
      <c r="BK367"/>
      <c r="BL367"/>
      <c r="BM367"/>
      <c r="BN367"/>
      <c r="BO367"/>
      <c r="BP367"/>
      <c r="BQ367"/>
      <c r="BR367"/>
      <c r="BY367"/>
      <c r="BZ367"/>
      <c r="CA367"/>
      <c r="CB367"/>
      <c r="CC367"/>
      <c r="CD367"/>
      <c r="CE367"/>
      <c r="CF367"/>
      <c r="CG367"/>
      <c r="CH367"/>
      <c r="CI367"/>
      <c r="CJ367"/>
      <c r="CK367"/>
      <c r="CL367"/>
      <c r="CM367"/>
      <c r="CN367"/>
      <c r="CO367"/>
      <c r="CP367"/>
      <c r="CQ367"/>
      <c r="CR367"/>
      <c r="CS367"/>
      <c r="CT367"/>
      <c r="CU367"/>
      <c r="CV367"/>
      <c r="CW367"/>
      <c r="CX367"/>
      <c r="CY367"/>
    </row>
    <row r="368" spans="50:103" ht="20.100000000000001" customHeight="1" x14ac:dyDescent="0.25">
      <c r="AX368"/>
      <c r="AY368"/>
      <c r="AZ368"/>
      <c r="BA368"/>
      <c r="BB368"/>
      <c r="BC368"/>
      <c r="BD368"/>
      <c r="BE368"/>
      <c r="BF368"/>
      <c r="BG368"/>
      <c r="BH368"/>
      <c r="BI368"/>
      <c r="BJ368"/>
      <c r="BK368"/>
      <c r="BL368"/>
      <c r="BM368"/>
      <c r="BN368"/>
      <c r="BO368"/>
      <c r="BP368"/>
      <c r="BQ368"/>
      <c r="BR368"/>
      <c r="BY368"/>
      <c r="BZ368"/>
      <c r="CA368"/>
      <c r="CB368"/>
      <c r="CC368"/>
      <c r="CD368"/>
      <c r="CE368"/>
      <c r="CF368"/>
      <c r="CG368"/>
      <c r="CH368"/>
      <c r="CI368"/>
      <c r="CJ368"/>
      <c r="CK368"/>
      <c r="CL368"/>
      <c r="CM368"/>
      <c r="CN368"/>
      <c r="CO368"/>
      <c r="CP368"/>
      <c r="CQ368"/>
      <c r="CR368"/>
      <c r="CS368"/>
      <c r="CT368"/>
      <c r="CU368"/>
      <c r="CV368"/>
      <c r="CW368"/>
      <c r="CX368"/>
      <c r="CY368"/>
    </row>
    <row r="369" spans="50:103" ht="20.100000000000001" customHeight="1" x14ac:dyDescent="0.25">
      <c r="AX369"/>
      <c r="AY369"/>
      <c r="AZ369"/>
      <c r="BA369"/>
      <c r="BB369"/>
      <c r="BC369"/>
      <c r="BD369"/>
      <c r="BE369"/>
      <c r="BF369"/>
      <c r="BG369"/>
      <c r="BH369"/>
      <c r="BI369"/>
      <c r="BJ369"/>
      <c r="BK369"/>
      <c r="BL369"/>
      <c r="BM369"/>
      <c r="BN369"/>
      <c r="BO369"/>
      <c r="BP369"/>
      <c r="BQ369"/>
      <c r="BR369"/>
      <c r="BY369"/>
      <c r="BZ369"/>
      <c r="CA369"/>
      <c r="CB369"/>
      <c r="CC369"/>
      <c r="CD369"/>
      <c r="CE369"/>
      <c r="CF369"/>
      <c r="CG369"/>
      <c r="CH369"/>
      <c r="CI369"/>
      <c r="CJ369"/>
      <c r="CK369"/>
      <c r="CL369"/>
      <c r="CM369"/>
      <c r="CN369"/>
      <c r="CO369"/>
      <c r="CP369"/>
      <c r="CQ369"/>
      <c r="CR369"/>
      <c r="CS369"/>
      <c r="CT369"/>
      <c r="CU369"/>
      <c r="CV369"/>
      <c r="CW369"/>
      <c r="CX369"/>
      <c r="CY369"/>
    </row>
    <row r="370" spans="50:103" ht="20.100000000000001" customHeight="1" x14ac:dyDescent="0.25">
      <c r="AX370"/>
      <c r="AY370"/>
      <c r="AZ370"/>
      <c r="BA370"/>
      <c r="BB370"/>
      <c r="BC370"/>
      <c r="BD370"/>
      <c r="BE370"/>
      <c r="BF370"/>
      <c r="BG370"/>
      <c r="BH370"/>
      <c r="BI370"/>
      <c r="BJ370"/>
      <c r="BK370"/>
      <c r="BL370"/>
      <c r="BM370"/>
      <c r="BN370"/>
      <c r="BO370"/>
      <c r="BP370"/>
      <c r="BQ370"/>
      <c r="BR370"/>
      <c r="BY370"/>
      <c r="BZ370"/>
      <c r="CA370"/>
      <c r="CB370"/>
      <c r="CC370"/>
      <c r="CD370"/>
      <c r="CE370"/>
      <c r="CF370"/>
      <c r="CG370"/>
      <c r="CH370"/>
      <c r="CI370"/>
      <c r="CJ370"/>
      <c r="CK370"/>
      <c r="CL370"/>
      <c r="CM370"/>
      <c r="CN370"/>
      <c r="CO370"/>
      <c r="CP370"/>
      <c r="CQ370"/>
      <c r="CR370"/>
      <c r="CS370"/>
      <c r="CT370"/>
      <c r="CU370"/>
      <c r="CV370"/>
      <c r="CW370"/>
      <c r="CX370"/>
      <c r="CY370"/>
    </row>
    <row r="371" spans="50:103" ht="20.100000000000001" customHeight="1" x14ac:dyDescent="0.25">
      <c r="AX371"/>
      <c r="AY371"/>
      <c r="AZ371"/>
      <c r="BA371"/>
      <c r="BB371"/>
      <c r="BC371"/>
      <c r="BD371"/>
      <c r="BE371"/>
      <c r="BF371"/>
      <c r="BG371"/>
      <c r="BH371"/>
      <c r="BI371"/>
      <c r="BJ371"/>
      <c r="BK371"/>
      <c r="BL371"/>
      <c r="BM371"/>
      <c r="BN371"/>
      <c r="BO371"/>
      <c r="BP371"/>
      <c r="BQ371"/>
      <c r="BR371"/>
      <c r="BY371"/>
      <c r="BZ371"/>
      <c r="CA371"/>
      <c r="CB371"/>
      <c r="CC371"/>
      <c r="CD371"/>
      <c r="CE371"/>
      <c r="CF371"/>
      <c r="CG371"/>
      <c r="CH371"/>
      <c r="CI371"/>
      <c r="CJ371"/>
      <c r="CK371"/>
      <c r="CL371"/>
      <c r="CM371"/>
      <c r="CN371"/>
      <c r="CO371"/>
      <c r="CP371"/>
      <c r="CQ371"/>
      <c r="CR371"/>
      <c r="CS371"/>
      <c r="CT371"/>
      <c r="CU371"/>
      <c r="CV371"/>
      <c r="CW371"/>
      <c r="CX371"/>
      <c r="CY371"/>
    </row>
    <row r="372" spans="50:103" ht="20.100000000000001" customHeight="1" x14ac:dyDescent="0.25">
      <c r="AX372"/>
      <c r="AY372"/>
      <c r="AZ372"/>
      <c r="BA372"/>
      <c r="BB372"/>
      <c r="BC372"/>
      <c r="BD372"/>
      <c r="BE372"/>
      <c r="BF372"/>
      <c r="BG372"/>
      <c r="BH372"/>
      <c r="BI372"/>
      <c r="BJ372"/>
      <c r="BK372"/>
      <c r="BL372"/>
      <c r="BM372"/>
      <c r="BN372"/>
      <c r="BO372"/>
      <c r="BP372"/>
      <c r="BQ372"/>
      <c r="BR372"/>
      <c r="BY372"/>
      <c r="BZ372"/>
      <c r="CA372"/>
      <c r="CB372"/>
      <c r="CC372"/>
      <c r="CD372"/>
      <c r="CE372"/>
      <c r="CF372"/>
      <c r="CG372"/>
      <c r="CH372"/>
      <c r="CI372"/>
      <c r="CJ372"/>
      <c r="CK372"/>
      <c r="CL372"/>
      <c r="CM372"/>
      <c r="CN372"/>
      <c r="CO372"/>
      <c r="CP372"/>
      <c r="CQ372"/>
      <c r="CR372"/>
      <c r="CS372"/>
      <c r="CT372"/>
      <c r="CU372"/>
      <c r="CV372"/>
      <c r="CW372"/>
      <c r="CX372"/>
      <c r="CY372"/>
    </row>
    <row r="373" spans="50:103" ht="20.100000000000001" customHeight="1" x14ac:dyDescent="0.25">
      <c r="AX373"/>
      <c r="AY373"/>
      <c r="AZ373"/>
      <c r="BA373"/>
      <c r="BB373"/>
      <c r="BC373"/>
      <c r="BD373"/>
      <c r="BE373"/>
      <c r="BF373"/>
      <c r="BG373"/>
      <c r="BH373"/>
      <c r="BI373"/>
      <c r="BJ373"/>
      <c r="BK373"/>
      <c r="BL373"/>
      <c r="BM373"/>
      <c r="BN373"/>
      <c r="BO373"/>
      <c r="BP373"/>
      <c r="BQ373"/>
      <c r="BR373"/>
      <c r="BY373"/>
      <c r="BZ373"/>
      <c r="CA373"/>
      <c r="CB373"/>
      <c r="CC373"/>
      <c r="CD373"/>
      <c r="CE373"/>
      <c r="CF373"/>
      <c r="CG373"/>
      <c r="CH373"/>
      <c r="CI373"/>
      <c r="CJ373"/>
      <c r="CK373"/>
      <c r="CL373"/>
      <c r="CM373"/>
      <c r="CN373"/>
      <c r="CO373"/>
      <c r="CP373"/>
      <c r="CQ373"/>
      <c r="CR373"/>
      <c r="CS373"/>
      <c r="CT373"/>
      <c r="CU373"/>
      <c r="CV373"/>
      <c r="CW373"/>
      <c r="CX373"/>
      <c r="CY373"/>
    </row>
    <row r="374" spans="50:103" ht="20.100000000000001" customHeight="1" x14ac:dyDescent="0.25">
      <c r="AX374"/>
      <c r="AY374"/>
      <c r="AZ374"/>
      <c r="BA374"/>
      <c r="BB374"/>
      <c r="BC374"/>
      <c r="BD374"/>
      <c r="BE374"/>
      <c r="BF374"/>
      <c r="BG374"/>
      <c r="BH374"/>
      <c r="BI374"/>
      <c r="BJ374"/>
      <c r="BK374"/>
      <c r="BL374"/>
      <c r="BM374"/>
      <c r="BN374"/>
      <c r="BO374"/>
      <c r="BP374"/>
      <c r="BQ374"/>
      <c r="BR374"/>
      <c r="BY374"/>
      <c r="BZ374"/>
      <c r="CA374"/>
      <c r="CB374"/>
      <c r="CC374"/>
      <c r="CD374"/>
      <c r="CE374"/>
      <c r="CF374"/>
      <c r="CG374"/>
      <c r="CH374"/>
      <c r="CI374"/>
      <c r="CJ374"/>
      <c r="CK374"/>
      <c r="CL374"/>
      <c r="CM374"/>
      <c r="CN374"/>
      <c r="CO374"/>
      <c r="CP374"/>
      <c r="CQ374"/>
      <c r="CR374"/>
      <c r="CS374"/>
      <c r="CT374"/>
      <c r="CU374"/>
      <c r="CV374"/>
      <c r="CW374"/>
      <c r="CX374"/>
      <c r="CY374"/>
    </row>
    <row r="375" spans="50:103" ht="20.100000000000001" customHeight="1" x14ac:dyDescent="0.25">
      <c r="AX375"/>
      <c r="AY375"/>
      <c r="AZ375"/>
      <c r="BA375"/>
      <c r="BB375"/>
      <c r="BC375"/>
      <c r="BD375"/>
      <c r="BE375"/>
      <c r="BF375"/>
      <c r="BG375"/>
      <c r="BH375"/>
      <c r="BI375"/>
      <c r="BJ375"/>
      <c r="BK375"/>
      <c r="BL375"/>
      <c r="BM375"/>
      <c r="BN375"/>
      <c r="BO375"/>
      <c r="BP375"/>
      <c r="BQ375"/>
      <c r="BR375"/>
      <c r="BY375"/>
      <c r="BZ375"/>
      <c r="CA375"/>
      <c r="CB375"/>
      <c r="CC375"/>
      <c r="CD375"/>
      <c r="CE375"/>
      <c r="CF375"/>
      <c r="CG375"/>
      <c r="CH375"/>
      <c r="CI375"/>
      <c r="CJ375"/>
      <c r="CK375"/>
      <c r="CL375"/>
      <c r="CM375"/>
      <c r="CN375"/>
      <c r="CO375"/>
      <c r="CP375"/>
      <c r="CQ375"/>
      <c r="CR375"/>
      <c r="CS375"/>
      <c r="CT375"/>
      <c r="CU375"/>
      <c r="CV375"/>
      <c r="CW375"/>
      <c r="CX375"/>
      <c r="CY375"/>
    </row>
    <row r="376" spans="50:103" ht="20.100000000000001" customHeight="1" x14ac:dyDescent="0.25">
      <c r="AX376"/>
      <c r="AY376"/>
      <c r="AZ376"/>
      <c r="BA376"/>
      <c r="BB376"/>
      <c r="BC376"/>
      <c r="BD376"/>
      <c r="BE376"/>
      <c r="BF376"/>
      <c r="BG376"/>
      <c r="BH376"/>
      <c r="BI376"/>
      <c r="BJ376"/>
      <c r="BK376"/>
      <c r="BL376"/>
      <c r="BM376"/>
      <c r="BN376"/>
      <c r="BO376"/>
      <c r="BP376"/>
      <c r="BQ376"/>
      <c r="BR376"/>
      <c r="BY376"/>
      <c r="BZ376"/>
      <c r="CA376"/>
      <c r="CB376"/>
      <c r="CC376"/>
      <c r="CD376"/>
      <c r="CE376"/>
      <c r="CF376"/>
      <c r="CG376"/>
      <c r="CH376"/>
      <c r="CI376"/>
      <c r="CJ376"/>
      <c r="CK376"/>
      <c r="CL376"/>
      <c r="CM376"/>
      <c r="CN376"/>
      <c r="CO376"/>
      <c r="CP376"/>
      <c r="CQ376"/>
      <c r="CR376"/>
      <c r="CS376"/>
      <c r="CT376"/>
      <c r="CU376"/>
      <c r="CV376"/>
      <c r="CW376"/>
      <c r="CX376"/>
      <c r="CY376"/>
    </row>
    <row r="377" spans="50:103" ht="20.100000000000001" customHeight="1" x14ac:dyDescent="0.25">
      <c r="AX377"/>
      <c r="AY377"/>
      <c r="AZ377"/>
      <c r="BA377"/>
      <c r="BB377"/>
      <c r="BC377"/>
      <c r="BD377"/>
      <c r="BE377"/>
      <c r="BF377"/>
      <c r="BG377"/>
      <c r="BH377"/>
      <c r="BI377"/>
      <c r="BJ377"/>
      <c r="BK377"/>
      <c r="BL377"/>
      <c r="BM377"/>
      <c r="BN377"/>
      <c r="BO377"/>
      <c r="BP377"/>
      <c r="BQ377"/>
      <c r="BR377"/>
      <c r="BY377"/>
      <c r="BZ377"/>
      <c r="CA377"/>
      <c r="CB377"/>
      <c r="CC377"/>
      <c r="CD377"/>
      <c r="CE377"/>
      <c r="CF377"/>
      <c r="CG377"/>
      <c r="CH377"/>
      <c r="CI377"/>
      <c r="CJ377"/>
      <c r="CK377"/>
      <c r="CL377"/>
      <c r="CM377"/>
      <c r="CN377"/>
      <c r="CO377"/>
      <c r="CP377"/>
      <c r="CQ377"/>
      <c r="CR377"/>
      <c r="CS377"/>
      <c r="CT377"/>
      <c r="CU377"/>
      <c r="CV377"/>
      <c r="CW377"/>
      <c r="CX377"/>
      <c r="CY377"/>
    </row>
    <row r="378" spans="50:103" ht="20.100000000000001" customHeight="1" x14ac:dyDescent="0.25">
      <c r="AX378"/>
      <c r="AY378"/>
      <c r="AZ378"/>
      <c r="BA378"/>
      <c r="BB378"/>
      <c r="BC378"/>
      <c r="BD378"/>
      <c r="BE378"/>
      <c r="BF378"/>
      <c r="BG378"/>
      <c r="BH378"/>
      <c r="BI378"/>
      <c r="BJ378"/>
      <c r="BK378"/>
      <c r="BL378"/>
      <c r="BM378"/>
      <c r="BN378"/>
      <c r="BO378"/>
      <c r="BP378"/>
      <c r="BQ378"/>
      <c r="BR378"/>
      <c r="BY378"/>
      <c r="BZ378"/>
      <c r="CA378"/>
      <c r="CB378"/>
      <c r="CC378"/>
      <c r="CD378"/>
      <c r="CE378"/>
      <c r="CF378"/>
      <c r="CG378"/>
      <c r="CH378"/>
      <c r="CI378"/>
      <c r="CJ378"/>
      <c r="CK378"/>
      <c r="CL378"/>
      <c r="CM378"/>
      <c r="CN378"/>
      <c r="CO378"/>
      <c r="CP378"/>
      <c r="CQ378"/>
      <c r="CR378"/>
      <c r="CS378"/>
      <c r="CT378"/>
      <c r="CU378"/>
      <c r="CV378"/>
      <c r="CW378"/>
      <c r="CX378"/>
      <c r="CY378"/>
    </row>
    <row r="379" spans="50:103" ht="20.100000000000001" customHeight="1" x14ac:dyDescent="0.25">
      <c r="AX379"/>
      <c r="AY379"/>
      <c r="AZ379"/>
      <c r="BA379"/>
      <c r="BB379"/>
      <c r="BC379"/>
      <c r="BD379"/>
      <c r="BE379"/>
      <c r="BF379"/>
      <c r="BG379"/>
      <c r="BH379"/>
      <c r="BI379"/>
      <c r="BJ379"/>
      <c r="BK379"/>
      <c r="BL379"/>
      <c r="BM379"/>
      <c r="BN379"/>
      <c r="BO379"/>
      <c r="BP379"/>
      <c r="BQ379"/>
      <c r="BR379"/>
      <c r="BY379"/>
      <c r="BZ379"/>
      <c r="CA379"/>
      <c r="CB379"/>
      <c r="CC379"/>
      <c r="CD379"/>
      <c r="CE379"/>
      <c r="CF379"/>
      <c r="CG379"/>
      <c r="CH379"/>
      <c r="CI379"/>
      <c r="CJ379"/>
      <c r="CK379"/>
      <c r="CL379"/>
      <c r="CM379"/>
      <c r="CN379"/>
      <c r="CO379"/>
      <c r="CP379"/>
      <c r="CQ379"/>
      <c r="CR379"/>
      <c r="CS379"/>
      <c r="CT379"/>
      <c r="CU379"/>
      <c r="CV379"/>
      <c r="CW379"/>
      <c r="CX379"/>
      <c r="CY379"/>
    </row>
    <row r="380" spans="50:103" ht="20.100000000000001" customHeight="1" x14ac:dyDescent="0.25">
      <c r="AX380"/>
      <c r="AY380"/>
      <c r="AZ380"/>
      <c r="BA380"/>
      <c r="BB380"/>
      <c r="BC380"/>
      <c r="BD380"/>
      <c r="BE380"/>
      <c r="BF380"/>
      <c r="BG380"/>
      <c r="BH380"/>
      <c r="BI380"/>
      <c r="BJ380"/>
      <c r="BK380"/>
      <c r="BL380"/>
      <c r="BM380"/>
      <c r="BN380"/>
      <c r="BO380"/>
      <c r="BP380"/>
      <c r="BQ380"/>
      <c r="BR380"/>
      <c r="BY380"/>
      <c r="BZ380"/>
      <c r="CA380"/>
      <c r="CB380"/>
      <c r="CC380"/>
      <c r="CD380"/>
      <c r="CE380"/>
      <c r="CF380"/>
      <c r="CG380"/>
      <c r="CH380"/>
      <c r="CI380"/>
      <c r="CJ380"/>
      <c r="CK380"/>
      <c r="CL380"/>
      <c r="CM380"/>
      <c r="CN380"/>
      <c r="CO380"/>
      <c r="CP380"/>
      <c r="CQ380"/>
      <c r="CR380"/>
      <c r="CS380"/>
      <c r="CT380"/>
      <c r="CU380"/>
      <c r="CV380"/>
      <c r="CW380"/>
      <c r="CX380"/>
      <c r="CY380"/>
    </row>
    <row r="381" spans="50:103" ht="20.100000000000001" customHeight="1" x14ac:dyDescent="0.25">
      <c r="AX381"/>
      <c r="AY381"/>
      <c r="AZ381"/>
      <c r="BA381"/>
      <c r="BB381"/>
      <c r="BC381"/>
      <c r="BD381"/>
      <c r="BE381"/>
      <c r="BF381"/>
      <c r="BG381"/>
      <c r="BH381"/>
      <c r="BI381"/>
      <c r="BJ381"/>
      <c r="BK381"/>
      <c r="BL381"/>
      <c r="BM381"/>
      <c r="BN381"/>
      <c r="BO381"/>
      <c r="BP381"/>
      <c r="BQ381"/>
      <c r="BR381"/>
      <c r="BY381"/>
      <c r="BZ381"/>
      <c r="CA381"/>
      <c r="CB381"/>
      <c r="CC381"/>
      <c r="CD381"/>
      <c r="CE381"/>
      <c r="CF381"/>
      <c r="CG381"/>
      <c r="CH381"/>
      <c r="CI381"/>
      <c r="CJ381"/>
      <c r="CK381"/>
      <c r="CL381"/>
      <c r="CM381"/>
      <c r="CN381"/>
      <c r="CO381"/>
      <c r="CP381"/>
      <c r="CQ381"/>
      <c r="CR381"/>
      <c r="CS381"/>
      <c r="CT381"/>
      <c r="CU381"/>
      <c r="CV381"/>
      <c r="CW381"/>
      <c r="CX381"/>
      <c r="CY381"/>
    </row>
    <row r="382" spans="50:103" ht="20.100000000000001" customHeight="1" x14ac:dyDescent="0.25">
      <c r="AX382"/>
      <c r="AY382"/>
      <c r="AZ382"/>
      <c r="BA382"/>
      <c r="BB382"/>
      <c r="BC382"/>
      <c r="BD382"/>
      <c r="BE382"/>
      <c r="BF382"/>
      <c r="BG382"/>
      <c r="BH382"/>
      <c r="BI382"/>
      <c r="BJ382"/>
      <c r="BK382"/>
      <c r="BL382"/>
      <c r="BM382"/>
      <c r="BN382"/>
      <c r="BO382"/>
      <c r="BP382"/>
      <c r="BQ382"/>
      <c r="BR382"/>
      <c r="BY382"/>
      <c r="BZ382"/>
      <c r="CA382"/>
      <c r="CB382"/>
      <c r="CC382"/>
      <c r="CD382"/>
      <c r="CE382"/>
      <c r="CF382"/>
      <c r="CG382"/>
      <c r="CH382"/>
      <c r="CI382"/>
      <c r="CJ382"/>
      <c r="CK382"/>
      <c r="CL382"/>
      <c r="CM382"/>
      <c r="CN382"/>
      <c r="CO382"/>
      <c r="CP382"/>
      <c r="CQ382"/>
      <c r="CR382"/>
      <c r="CS382"/>
      <c r="CT382"/>
      <c r="CU382"/>
      <c r="CV382"/>
      <c r="CW382"/>
      <c r="CX382"/>
      <c r="CY382"/>
    </row>
    <row r="383" spans="50:103" ht="20.100000000000001" customHeight="1" x14ac:dyDescent="0.25">
      <c r="AX383"/>
      <c r="AY383"/>
      <c r="AZ383"/>
      <c r="BA383"/>
      <c r="BB383"/>
      <c r="BC383"/>
      <c r="BD383"/>
      <c r="BE383"/>
      <c r="BF383"/>
      <c r="BG383"/>
      <c r="BH383"/>
      <c r="BI383"/>
      <c r="BJ383"/>
      <c r="BK383"/>
      <c r="BL383"/>
      <c r="BM383"/>
      <c r="BN383"/>
      <c r="BO383"/>
      <c r="BP383"/>
      <c r="BQ383"/>
      <c r="BR383"/>
      <c r="BY383"/>
      <c r="BZ383"/>
      <c r="CA383"/>
      <c r="CB383"/>
      <c r="CC383"/>
      <c r="CD383"/>
      <c r="CE383"/>
      <c r="CF383"/>
      <c r="CG383"/>
      <c r="CH383"/>
      <c r="CI383"/>
      <c r="CJ383"/>
      <c r="CK383"/>
      <c r="CL383"/>
      <c r="CM383"/>
      <c r="CN383"/>
      <c r="CO383"/>
      <c r="CP383"/>
      <c r="CQ383"/>
      <c r="CR383"/>
      <c r="CS383"/>
      <c r="CT383"/>
      <c r="CU383"/>
      <c r="CV383"/>
      <c r="CW383"/>
      <c r="CX383"/>
      <c r="CY383"/>
    </row>
    <row r="384" spans="50:103" ht="20.100000000000001" customHeight="1" x14ac:dyDescent="0.25">
      <c r="AX384"/>
      <c r="AY384"/>
      <c r="AZ384"/>
      <c r="BA384"/>
      <c r="BB384"/>
      <c r="BC384"/>
      <c r="BD384"/>
      <c r="BE384"/>
      <c r="BF384"/>
      <c r="BG384"/>
      <c r="BH384"/>
      <c r="BI384"/>
      <c r="BJ384"/>
      <c r="BK384"/>
      <c r="BL384"/>
      <c r="BM384"/>
      <c r="BN384"/>
      <c r="BO384"/>
      <c r="BP384"/>
      <c r="BQ384"/>
      <c r="BR384"/>
      <c r="BY384"/>
      <c r="BZ384"/>
      <c r="CA384"/>
      <c r="CB384"/>
      <c r="CC384"/>
      <c r="CD384"/>
      <c r="CE384"/>
      <c r="CF384"/>
      <c r="CG384"/>
      <c r="CH384"/>
      <c r="CI384"/>
      <c r="CJ384"/>
      <c r="CK384"/>
      <c r="CL384"/>
      <c r="CM384"/>
      <c r="CN384"/>
      <c r="CO384"/>
      <c r="CP384"/>
      <c r="CQ384"/>
      <c r="CR384"/>
      <c r="CS384"/>
      <c r="CT384"/>
      <c r="CU384"/>
      <c r="CV384"/>
      <c r="CW384"/>
      <c r="CX384"/>
      <c r="CY384"/>
    </row>
    <row r="385" spans="50:103" ht="20.100000000000001" customHeight="1" x14ac:dyDescent="0.25">
      <c r="AX385"/>
      <c r="AY385"/>
      <c r="AZ385"/>
      <c r="BA385"/>
      <c r="BB385"/>
      <c r="BC385"/>
      <c r="BD385"/>
      <c r="BE385"/>
      <c r="BF385"/>
      <c r="BG385"/>
      <c r="BH385"/>
      <c r="BI385"/>
      <c r="BJ385"/>
      <c r="BK385"/>
      <c r="BL385"/>
      <c r="BM385"/>
      <c r="BN385"/>
      <c r="BO385"/>
      <c r="BP385"/>
      <c r="BQ385"/>
      <c r="BR385"/>
      <c r="BY385"/>
      <c r="BZ385"/>
      <c r="CA385"/>
      <c r="CB385"/>
      <c r="CC385"/>
      <c r="CD385"/>
      <c r="CE385"/>
      <c r="CF385"/>
      <c r="CG385"/>
      <c r="CH385"/>
      <c r="CI385"/>
      <c r="CJ385"/>
      <c r="CK385"/>
      <c r="CL385"/>
      <c r="CM385"/>
      <c r="CN385"/>
      <c r="CO385"/>
      <c r="CP385"/>
      <c r="CQ385"/>
      <c r="CR385"/>
      <c r="CS385"/>
      <c r="CT385"/>
      <c r="CU385"/>
      <c r="CV385"/>
      <c r="CW385"/>
      <c r="CX385"/>
      <c r="CY385"/>
    </row>
    <row r="386" spans="50:103" ht="20.100000000000001" customHeight="1" x14ac:dyDescent="0.25">
      <c r="AX386"/>
      <c r="AY386"/>
      <c r="AZ386"/>
      <c r="BA386"/>
      <c r="BB386"/>
      <c r="BC386"/>
      <c r="BD386"/>
      <c r="BE386"/>
      <c r="BF386"/>
      <c r="BG386"/>
      <c r="BH386"/>
      <c r="BI386"/>
      <c r="BJ386"/>
      <c r="BK386"/>
      <c r="BL386"/>
      <c r="BM386"/>
      <c r="BN386"/>
      <c r="BO386"/>
      <c r="BP386"/>
      <c r="BQ386"/>
      <c r="BR386"/>
      <c r="BY386"/>
      <c r="BZ386"/>
      <c r="CA386"/>
      <c r="CB386"/>
      <c r="CC386"/>
      <c r="CD386"/>
      <c r="CE386"/>
      <c r="CF386"/>
      <c r="CG386"/>
      <c r="CH386"/>
      <c r="CI386"/>
      <c r="CJ386"/>
      <c r="CK386"/>
      <c r="CL386"/>
      <c r="CM386"/>
      <c r="CN386"/>
      <c r="CO386"/>
      <c r="CP386"/>
      <c r="CQ386"/>
      <c r="CR386"/>
      <c r="CS386"/>
      <c r="CT386"/>
      <c r="CU386"/>
      <c r="CV386"/>
      <c r="CW386"/>
      <c r="CX386"/>
      <c r="CY386"/>
    </row>
    <row r="387" spans="50:103" ht="20.100000000000001" customHeight="1" x14ac:dyDescent="0.25">
      <c r="AX387"/>
      <c r="AY387"/>
      <c r="AZ387"/>
      <c r="BA387"/>
      <c r="BB387"/>
      <c r="BC387"/>
      <c r="BD387"/>
      <c r="BE387"/>
      <c r="BF387"/>
      <c r="BG387"/>
      <c r="BH387"/>
      <c r="BI387"/>
      <c r="BJ387"/>
      <c r="BK387"/>
      <c r="BL387"/>
      <c r="BM387"/>
      <c r="BN387"/>
      <c r="BO387"/>
      <c r="BP387"/>
      <c r="BQ387"/>
      <c r="BR387"/>
      <c r="BY387"/>
      <c r="BZ387"/>
      <c r="CA387"/>
      <c r="CB387"/>
      <c r="CC387"/>
      <c r="CD387"/>
      <c r="CE387"/>
      <c r="CF387"/>
      <c r="CG387"/>
      <c r="CH387"/>
      <c r="CI387"/>
      <c r="CJ387"/>
      <c r="CK387"/>
      <c r="CL387"/>
      <c r="CM387"/>
      <c r="CN387"/>
      <c r="CO387"/>
      <c r="CP387"/>
      <c r="CQ387"/>
      <c r="CR387"/>
      <c r="CS387"/>
      <c r="CT387"/>
      <c r="CU387"/>
      <c r="CV387"/>
      <c r="CW387"/>
      <c r="CX387"/>
      <c r="CY387"/>
    </row>
    <row r="388" spans="50:103" ht="20.100000000000001" customHeight="1" x14ac:dyDescent="0.25">
      <c r="AX388"/>
      <c r="AY388"/>
      <c r="AZ388"/>
      <c r="BA388"/>
      <c r="BB388"/>
      <c r="BC388"/>
      <c r="BD388"/>
      <c r="BE388"/>
      <c r="BF388"/>
      <c r="BG388"/>
      <c r="BH388"/>
      <c r="BI388"/>
      <c r="BJ388"/>
      <c r="BK388"/>
      <c r="BL388"/>
      <c r="BM388"/>
      <c r="BN388"/>
      <c r="BO388"/>
      <c r="BP388"/>
      <c r="BQ388"/>
      <c r="BR388"/>
      <c r="BY388"/>
      <c r="BZ388"/>
      <c r="CA388"/>
      <c r="CB388"/>
      <c r="CC388"/>
      <c r="CD388"/>
      <c r="CE388"/>
      <c r="CF388"/>
      <c r="CG388"/>
      <c r="CH388"/>
      <c r="CI388"/>
      <c r="CJ388"/>
      <c r="CK388"/>
      <c r="CL388"/>
      <c r="CM388"/>
      <c r="CN388"/>
      <c r="CO388"/>
      <c r="CP388"/>
      <c r="CQ388"/>
      <c r="CR388"/>
      <c r="CS388"/>
      <c r="CT388"/>
      <c r="CU388"/>
      <c r="CV388"/>
      <c r="CW388"/>
      <c r="CX388"/>
      <c r="CY388"/>
    </row>
    <row r="389" spans="50:103" ht="20.100000000000001" customHeight="1" x14ac:dyDescent="0.25">
      <c r="AX389"/>
      <c r="AY389"/>
      <c r="AZ389"/>
      <c r="BA389"/>
      <c r="BB389"/>
      <c r="BC389"/>
      <c r="BD389"/>
      <c r="BE389"/>
      <c r="BF389"/>
      <c r="BG389"/>
      <c r="BH389"/>
      <c r="BI389"/>
      <c r="BJ389"/>
      <c r="BK389"/>
      <c r="BL389"/>
      <c r="BM389"/>
      <c r="BN389"/>
      <c r="BO389"/>
      <c r="BP389"/>
      <c r="BQ389"/>
      <c r="BR389"/>
      <c r="BY389"/>
      <c r="BZ389"/>
      <c r="CA389"/>
      <c r="CB389"/>
      <c r="CC389"/>
      <c r="CD389"/>
      <c r="CE389"/>
      <c r="CF389"/>
      <c r="CG389"/>
      <c r="CH389"/>
      <c r="CI389"/>
      <c r="CJ389"/>
      <c r="CK389"/>
      <c r="CL389"/>
      <c r="CM389"/>
      <c r="CN389"/>
      <c r="CO389"/>
      <c r="CP389"/>
      <c r="CQ389"/>
      <c r="CR389"/>
      <c r="CS389"/>
      <c r="CT389"/>
      <c r="CU389"/>
      <c r="CV389"/>
      <c r="CW389"/>
      <c r="CX389"/>
      <c r="CY389"/>
    </row>
    <row r="390" spans="50:103" ht="20.100000000000001" customHeight="1" x14ac:dyDescent="0.25">
      <c r="AX390"/>
      <c r="AY390"/>
      <c r="AZ390"/>
      <c r="BA390"/>
      <c r="BB390"/>
      <c r="BC390"/>
      <c r="BD390"/>
      <c r="BE390"/>
      <c r="BF390"/>
      <c r="BG390"/>
      <c r="BH390"/>
      <c r="BI390"/>
      <c r="BJ390"/>
      <c r="BK390"/>
      <c r="BL390"/>
      <c r="BM390"/>
      <c r="BN390"/>
      <c r="BO390"/>
      <c r="BP390"/>
      <c r="BQ390"/>
      <c r="BR390"/>
      <c r="BY390"/>
      <c r="BZ390"/>
      <c r="CA390"/>
      <c r="CB390"/>
      <c r="CC390"/>
      <c r="CD390"/>
      <c r="CE390"/>
      <c r="CF390"/>
      <c r="CG390"/>
      <c r="CH390"/>
      <c r="CI390"/>
      <c r="CJ390"/>
      <c r="CK390"/>
      <c r="CL390"/>
      <c r="CM390"/>
      <c r="CN390"/>
      <c r="CO390"/>
      <c r="CP390"/>
      <c r="CQ390"/>
      <c r="CR390"/>
      <c r="CS390"/>
      <c r="CT390"/>
      <c r="CU390"/>
      <c r="CV390"/>
      <c r="CW390"/>
      <c r="CX390"/>
      <c r="CY390"/>
    </row>
    <row r="391" spans="50:103" ht="20.100000000000001" customHeight="1" x14ac:dyDescent="0.25">
      <c r="AX391"/>
      <c r="AY391"/>
      <c r="AZ391"/>
      <c r="BA391"/>
      <c r="BB391"/>
      <c r="BC391"/>
      <c r="BD391"/>
      <c r="BE391"/>
      <c r="BF391"/>
      <c r="BG391"/>
      <c r="BH391"/>
      <c r="BI391"/>
      <c r="BJ391"/>
      <c r="BK391"/>
      <c r="BL391"/>
      <c r="BM391"/>
      <c r="BN391"/>
      <c r="BO391"/>
      <c r="BP391"/>
      <c r="BQ391"/>
      <c r="BR391"/>
      <c r="BY391"/>
      <c r="BZ391"/>
      <c r="CA391"/>
      <c r="CB391"/>
      <c r="CC391"/>
      <c r="CD391"/>
      <c r="CE391"/>
      <c r="CF391"/>
      <c r="CG391"/>
      <c r="CH391"/>
      <c r="CI391"/>
      <c r="CJ391"/>
      <c r="CK391"/>
      <c r="CL391"/>
      <c r="CM391"/>
      <c r="CN391"/>
      <c r="CO391"/>
      <c r="CP391"/>
      <c r="CQ391"/>
      <c r="CR391"/>
      <c r="CS391"/>
      <c r="CT391"/>
      <c r="CU391"/>
      <c r="CV391"/>
      <c r="CW391"/>
      <c r="CX391"/>
      <c r="CY391"/>
    </row>
    <row r="392" spans="50:103" ht="20.100000000000001" customHeight="1" x14ac:dyDescent="0.25">
      <c r="AX392"/>
      <c r="AY392"/>
      <c r="AZ392"/>
      <c r="BA392"/>
      <c r="BB392"/>
      <c r="BC392"/>
      <c r="BD392"/>
      <c r="BE392"/>
      <c r="BF392"/>
      <c r="BG392"/>
      <c r="BH392"/>
      <c r="BI392"/>
      <c r="BJ392"/>
      <c r="BK392"/>
      <c r="BL392"/>
      <c r="BM392"/>
      <c r="BN392"/>
      <c r="BO392"/>
      <c r="BP392"/>
      <c r="BQ392"/>
      <c r="BR392"/>
      <c r="BY392"/>
      <c r="BZ392"/>
      <c r="CA392"/>
      <c r="CB392"/>
      <c r="CC392"/>
      <c r="CD392"/>
      <c r="CE392"/>
      <c r="CF392"/>
      <c r="CG392"/>
      <c r="CH392"/>
      <c r="CI392"/>
      <c r="CJ392"/>
      <c r="CK392"/>
      <c r="CL392"/>
      <c r="CM392"/>
      <c r="CN392"/>
      <c r="CO392"/>
      <c r="CP392"/>
      <c r="CQ392"/>
      <c r="CR392"/>
      <c r="CS392"/>
      <c r="CT392"/>
      <c r="CU392"/>
      <c r="CV392"/>
      <c r="CW392"/>
      <c r="CX392"/>
      <c r="CY392"/>
    </row>
    <row r="393" spans="50:103" ht="20.100000000000001" customHeight="1" x14ac:dyDescent="0.25">
      <c r="AX393"/>
      <c r="AY393"/>
      <c r="AZ393"/>
      <c r="BA393"/>
      <c r="BB393"/>
      <c r="BC393"/>
      <c r="BD393"/>
      <c r="BE393"/>
      <c r="BF393"/>
      <c r="BG393"/>
      <c r="BH393"/>
      <c r="BI393"/>
      <c r="BJ393"/>
      <c r="BK393"/>
      <c r="BL393"/>
      <c r="BM393"/>
      <c r="BN393"/>
      <c r="BO393"/>
      <c r="BP393"/>
      <c r="BQ393"/>
      <c r="BR393"/>
      <c r="BY393"/>
      <c r="BZ393"/>
      <c r="CA393"/>
      <c r="CB393"/>
      <c r="CC393"/>
      <c r="CD393"/>
      <c r="CE393"/>
      <c r="CF393"/>
      <c r="CG393"/>
      <c r="CH393"/>
      <c r="CI393"/>
      <c r="CJ393"/>
      <c r="CK393"/>
      <c r="CL393"/>
      <c r="CM393"/>
      <c r="CN393"/>
      <c r="CO393"/>
      <c r="CP393"/>
      <c r="CQ393"/>
      <c r="CR393"/>
      <c r="CS393"/>
      <c r="CT393"/>
      <c r="CU393"/>
      <c r="CV393"/>
      <c r="CW393"/>
      <c r="CX393"/>
      <c r="CY393"/>
    </row>
    <row r="394" spans="50:103" ht="20.100000000000001" customHeight="1" x14ac:dyDescent="0.25">
      <c r="AX394"/>
      <c r="AY394"/>
      <c r="AZ394"/>
      <c r="BA394"/>
      <c r="BB394"/>
      <c r="BC394"/>
      <c r="BD394"/>
      <c r="BE394"/>
      <c r="BF394"/>
      <c r="BG394"/>
      <c r="BH394"/>
      <c r="BI394"/>
      <c r="BJ394"/>
      <c r="BK394"/>
      <c r="BL394"/>
      <c r="BM394"/>
      <c r="BN394"/>
      <c r="BO394"/>
      <c r="BP394"/>
      <c r="BQ394"/>
      <c r="BR394"/>
      <c r="BY394"/>
      <c r="BZ394"/>
      <c r="CA394"/>
      <c r="CB394"/>
      <c r="CC394"/>
      <c r="CD394"/>
      <c r="CE394"/>
      <c r="CF394"/>
      <c r="CG394"/>
      <c r="CH394"/>
      <c r="CI394"/>
      <c r="CJ394"/>
      <c r="CK394"/>
      <c r="CL394"/>
      <c r="CM394"/>
      <c r="CN394"/>
      <c r="CO394"/>
      <c r="CP394"/>
      <c r="CQ394"/>
      <c r="CR394"/>
      <c r="CS394"/>
      <c r="CT394"/>
      <c r="CU394"/>
      <c r="CV394"/>
      <c r="CW394"/>
      <c r="CX394"/>
      <c r="CY394"/>
    </row>
    <row r="395" spans="50:103" ht="20.100000000000001" customHeight="1" x14ac:dyDescent="0.25">
      <c r="AX395"/>
      <c r="AY395"/>
      <c r="AZ395"/>
      <c r="BA395"/>
      <c r="BB395"/>
      <c r="BC395"/>
      <c r="BD395"/>
      <c r="BE395"/>
      <c r="BF395"/>
      <c r="BG395"/>
      <c r="BH395"/>
      <c r="BI395"/>
      <c r="BJ395"/>
      <c r="BK395"/>
      <c r="BL395"/>
      <c r="BM395"/>
      <c r="BN395"/>
      <c r="BO395"/>
      <c r="BP395"/>
      <c r="BQ395"/>
      <c r="BR395"/>
      <c r="BY395"/>
      <c r="BZ395"/>
      <c r="CA395"/>
      <c r="CB395"/>
      <c r="CC395"/>
      <c r="CD395"/>
      <c r="CE395"/>
      <c r="CF395"/>
      <c r="CG395"/>
      <c r="CH395"/>
      <c r="CI395"/>
      <c r="CJ395"/>
      <c r="CK395"/>
      <c r="CL395"/>
      <c r="CM395"/>
      <c r="CN395"/>
      <c r="CO395"/>
      <c r="CP395"/>
      <c r="CQ395"/>
      <c r="CR395"/>
      <c r="CS395"/>
      <c r="CT395"/>
      <c r="CU395"/>
      <c r="CV395"/>
      <c r="CW395"/>
      <c r="CX395"/>
      <c r="CY395"/>
    </row>
    <row r="396" spans="50:103" ht="20.100000000000001" customHeight="1" x14ac:dyDescent="0.25">
      <c r="AX396"/>
      <c r="AY396"/>
      <c r="AZ396"/>
      <c r="BA396"/>
      <c r="BB396"/>
      <c r="BC396"/>
      <c r="BD396"/>
      <c r="BE396"/>
      <c r="BF396"/>
      <c r="BG396"/>
      <c r="BH396"/>
      <c r="BI396"/>
      <c r="BJ396"/>
      <c r="BK396"/>
      <c r="BL396"/>
      <c r="BM396"/>
      <c r="BN396"/>
      <c r="BO396"/>
      <c r="BP396"/>
      <c r="BQ396"/>
      <c r="BR396"/>
      <c r="BY396"/>
      <c r="BZ396"/>
      <c r="CA396"/>
      <c r="CB396"/>
      <c r="CC396"/>
      <c r="CD396"/>
      <c r="CE396"/>
      <c r="CF396"/>
      <c r="CG396"/>
      <c r="CH396"/>
      <c r="CI396"/>
      <c r="CJ396"/>
      <c r="CK396"/>
      <c r="CL396"/>
      <c r="CM396"/>
      <c r="CN396"/>
      <c r="CO396"/>
      <c r="CP396"/>
      <c r="CQ396"/>
      <c r="CR396"/>
      <c r="CS396"/>
      <c r="CT396"/>
      <c r="CU396"/>
      <c r="CV396"/>
      <c r="CW396"/>
      <c r="CX396"/>
      <c r="CY396"/>
    </row>
    <row r="397" spans="50:103" ht="20.100000000000001" customHeight="1" x14ac:dyDescent="0.25">
      <c r="AX397"/>
      <c r="AY397"/>
      <c r="AZ397"/>
      <c r="BA397"/>
      <c r="BB397"/>
      <c r="BC397"/>
      <c r="BD397"/>
      <c r="BE397"/>
      <c r="BF397"/>
      <c r="BG397"/>
      <c r="BH397"/>
      <c r="BI397"/>
      <c r="BJ397"/>
      <c r="BK397"/>
      <c r="BL397"/>
      <c r="BM397"/>
      <c r="BN397"/>
      <c r="BO397"/>
      <c r="BP397"/>
      <c r="BQ397"/>
      <c r="BR397"/>
      <c r="BY397"/>
      <c r="BZ397"/>
      <c r="CA397"/>
      <c r="CB397"/>
      <c r="CC397"/>
      <c r="CD397"/>
      <c r="CE397"/>
      <c r="CF397"/>
      <c r="CG397"/>
      <c r="CH397"/>
      <c r="CI397"/>
      <c r="CJ397"/>
      <c r="CK397"/>
      <c r="CL397"/>
      <c r="CM397"/>
      <c r="CN397"/>
      <c r="CO397"/>
      <c r="CP397"/>
      <c r="CQ397"/>
      <c r="CR397"/>
      <c r="CS397"/>
      <c r="CT397"/>
      <c r="CU397"/>
      <c r="CV397"/>
      <c r="CW397"/>
      <c r="CX397"/>
      <c r="CY397"/>
    </row>
    <row r="398" spans="50:103" ht="20.100000000000001" customHeight="1" x14ac:dyDescent="0.25">
      <c r="AX398"/>
      <c r="AY398"/>
      <c r="AZ398"/>
      <c r="BA398"/>
      <c r="BB398"/>
      <c r="BC398"/>
      <c r="BD398"/>
      <c r="BE398"/>
      <c r="BF398"/>
      <c r="BG398"/>
      <c r="BH398"/>
      <c r="BI398"/>
      <c r="BJ398"/>
      <c r="BK398"/>
      <c r="BL398"/>
      <c r="BM398"/>
      <c r="BN398"/>
      <c r="BO398"/>
      <c r="BP398"/>
      <c r="BQ398"/>
      <c r="BR398"/>
      <c r="BY398"/>
      <c r="BZ398"/>
      <c r="CA398"/>
      <c r="CB398"/>
      <c r="CC398"/>
      <c r="CD398"/>
      <c r="CE398"/>
      <c r="CF398"/>
      <c r="CG398"/>
      <c r="CH398"/>
      <c r="CI398"/>
      <c r="CJ398"/>
      <c r="CK398"/>
      <c r="CL398"/>
      <c r="CM398"/>
      <c r="CN398"/>
      <c r="CO398"/>
      <c r="CP398"/>
      <c r="CQ398"/>
      <c r="CR398"/>
      <c r="CS398"/>
      <c r="CT398"/>
      <c r="CU398"/>
      <c r="CV398"/>
      <c r="CW398"/>
      <c r="CX398"/>
      <c r="CY398"/>
    </row>
    <row r="399" spans="50:103" ht="20.100000000000001" customHeight="1" x14ac:dyDescent="0.25">
      <c r="AX399"/>
      <c r="AY399"/>
      <c r="AZ399"/>
      <c r="BA399"/>
      <c r="BB399"/>
      <c r="BC399"/>
      <c r="BD399"/>
      <c r="BE399"/>
      <c r="BF399"/>
      <c r="BG399"/>
      <c r="BH399"/>
      <c r="BI399"/>
      <c r="BJ399"/>
      <c r="BK399"/>
      <c r="BL399"/>
      <c r="BM399"/>
      <c r="BN399"/>
      <c r="BO399"/>
      <c r="BP399"/>
      <c r="BQ399"/>
      <c r="BR399"/>
      <c r="BY399"/>
      <c r="BZ399"/>
      <c r="CA399"/>
      <c r="CB399"/>
      <c r="CC399"/>
      <c r="CD399"/>
      <c r="CE399"/>
      <c r="CF399"/>
      <c r="CG399"/>
      <c r="CH399"/>
      <c r="CI399"/>
      <c r="CJ399"/>
      <c r="CK399"/>
      <c r="CL399"/>
      <c r="CM399"/>
      <c r="CN399"/>
      <c r="CO399"/>
      <c r="CP399"/>
      <c r="CQ399"/>
      <c r="CR399"/>
      <c r="CS399"/>
      <c r="CT399"/>
      <c r="CU399"/>
      <c r="CV399"/>
      <c r="CW399"/>
      <c r="CX399"/>
      <c r="CY399"/>
    </row>
    <row r="400" spans="50:103" ht="20.100000000000001" customHeight="1" x14ac:dyDescent="0.25">
      <c r="AX400"/>
      <c r="AY400"/>
      <c r="AZ400"/>
      <c r="BA400"/>
      <c r="BB400"/>
      <c r="BC400"/>
      <c r="BD400"/>
      <c r="BE400"/>
      <c r="BF400"/>
      <c r="BG400"/>
      <c r="BH400"/>
      <c r="BI400"/>
      <c r="BJ400"/>
      <c r="BK400"/>
      <c r="BL400"/>
      <c r="BM400"/>
      <c r="BN400"/>
      <c r="BO400"/>
      <c r="BP400"/>
      <c r="BQ400"/>
      <c r="BR400"/>
      <c r="BY400"/>
      <c r="BZ400"/>
      <c r="CA400"/>
      <c r="CB400"/>
      <c r="CC400"/>
      <c r="CD400"/>
      <c r="CE400"/>
      <c r="CF400"/>
      <c r="CG400"/>
      <c r="CH400"/>
      <c r="CI400"/>
      <c r="CJ400"/>
      <c r="CK400"/>
      <c r="CL400"/>
      <c r="CM400"/>
      <c r="CN400"/>
      <c r="CO400"/>
      <c r="CP400"/>
      <c r="CQ400"/>
      <c r="CR400"/>
      <c r="CS400"/>
      <c r="CT400"/>
      <c r="CU400"/>
      <c r="CV400"/>
      <c r="CW400"/>
      <c r="CX400"/>
      <c r="CY400"/>
    </row>
    <row r="401" spans="50:103" ht="20.100000000000001" customHeight="1" x14ac:dyDescent="0.25">
      <c r="AX401"/>
      <c r="AY401"/>
      <c r="AZ401"/>
      <c r="BA401"/>
      <c r="BB401"/>
      <c r="BC401"/>
      <c r="BD401"/>
      <c r="BE401"/>
      <c r="BF401"/>
      <c r="BG401"/>
      <c r="BH401"/>
      <c r="BI401"/>
      <c r="BJ401"/>
      <c r="BK401"/>
      <c r="BL401"/>
      <c r="BM401"/>
      <c r="BN401"/>
      <c r="BO401"/>
      <c r="BP401"/>
      <c r="BQ401"/>
      <c r="BR401"/>
      <c r="BY401"/>
      <c r="BZ401"/>
      <c r="CA401"/>
      <c r="CB401"/>
      <c r="CC401"/>
      <c r="CD401"/>
      <c r="CE401"/>
      <c r="CF401"/>
      <c r="CG401"/>
      <c r="CH401"/>
      <c r="CI401"/>
      <c r="CJ401"/>
      <c r="CK401"/>
      <c r="CL401"/>
      <c r="CM401"/>
      <c r="CN401"/>
      <c r="CO401"/>
      <c r="CP401"/>
      <c r="CQ401"/>
      <c r="CR401"/>
      <c r="CS401"/>
      <c r="CT401"/>
      <c r="CU401"/>
      <c r="CV401"/>
      <c r="CW401"/>
      <c r="CX401"/>
      <c r="CY401"/>
    </row>
    <row r="402" spans="50:103" ht="20.100000000000001" customHeight="1" x14ac:dyDescent="0.25">
      <c r="AX402"/>
      <c r="AY402"/>
      <c r="AZ402"/>
      <c r="BA402"/>
      <c r="BB402"/>
      <c r="BC402"/>
      <c r="BD402"/>
      <c r="BE402"/>
      <c r="BF402"/>
      <c r="BG402"/>
      <c r="BH402"/>
      <c r="BI402"/>
      <c r="BJ402"/>
      <c r="BK402"/>
      <c r="BL402"/>
      <c r="BM402"/>
      <c r="BN402"/>
      <c r="BO402"/>
      <c r="BP402"/>
      <c r="BQ402"/>
      <c r="BR402"/>
      <c r="BY402"/>
      <c r="BZ402"/>
      <c r="CA402"/>
      <c r="CB402"/>
      <c r="CC402"/>
      <c r="CD402"/>
      <c r="CE402"/>
      <c r="CF402"/>
      <c r="CG402"/>
      <c r="CH402"/>
      <c r="CI402"/>
      <c r="CJ402"/>
      <c r="CK402"/>
      <c r="CL402"/>
      <c r="CM402"/>
      <c r="CN402"/>
      <c r="CO402"/>
      <c r="CP402"/>
      <c r="CQ402"/>
      <c r="CR402"/>
      <c r="CS402"/>
      <c r="CT402"/>
      <c r="CU402"/>
      <c r="CV402"/>
      <c r="CW402"/>
      <c r="CX402"/>
      <c r="CY402"/>
    </row>
    <row r="403" spans="50:103" ht="20.100000000000001" customHeight="1" x14ac:dyDescent="0.25">
      <c r="AX403"/>
      <c r="AY403"/>
      <c r="AZ403"/>
      <c r="BA403"/>
      <c r="BB403"/>
      <c r="BC403"/>
      <c r="BD403"/>
      <c r="BE403"/>
      <c r="BF403"/>
      <c r="BG403"/>
      <c r="BH403"/>
      <c r="BI403"/>
      <c r="BJ403"/>
      <c r="BK403"/>
      <c r="BL403"/>
      <c r="BM403"/>
      <c r="BN403"/>
      <c r="BO403"/>
      <c r="BP403"/>
      <c r="BQ403"/>
      <c r="BR403"/>
      <c r="BY403"/>
      <c r="BZ403"/>
      <c r="CA403"/>
      <c r="CB403"/>
      <c r="CC403"/>
      <c r="CD403"/>
      <c r="CE403"/>
      <c r="CF403"/>
      <c r="CG403"/>
      <c r="CH403"/>
      <c r="CI403"/>
      <c r="CJ403"/>
      <c r="CK403"/>
      <c r="CL403"/>
      <c r="CM403"/>
      <c r="CN403"/>
      <c r="CO403"/>
      <c r="CP403"/>
      <c r="CQ403"/>
      <c r="CR403"/>
      <c r="CS403"/>
      <c r="CT403"/>
      <c r="CU403"/>
      <c r="CV403"/>
      <c r="CW403"/>
      <c r="CX403"/>
      <c r="CY403"/>
    </row>
    <row r="404" spans="50:103" ht="20.100000000000001" customHeight="1" x14ac:dyDescent="0.25">
      <c r="AX404"/>
      <c r="AY404"/>
      <c r="AZ404"/>
      <c r="BA404"/>
      <c r="BB404"/>
      <c r="BC404"/>
      <c r="BD404"/>
      <c r="BE404"/>
      <c r="BF404"/>
      <c r="BG404"/>
      <c r="BH404"/>
      <c r="BI404"/>
      <c r="BJ404"/>
      <c r="BK404"/>
      <c r="BL404"/>
      <c r="BM404"/>
      <c r="BN404"/>
      <c r="BO404"/>
      <c r="BP404"/>
      <c r="BQ404"/>
      <c r="BR404"/>
      <c r="BY404"/>
      <c r="BZ404"/>
      <c r="CA404"/>
      <c r="CB404"/>
      <c r="CC404"/>
      <c r="CD404"/>
      <c r="CE404"/>
      <c r="CF404"/>
      <c r="CG404"/>
      <c r="CH404"/>
      <c r="CI404"/>
      <c r="CJ404"/>
      <c r="CK404"/>
      <c r="CL404"/>
      <c r="CM404"/>
      <c r="CN404"/>
      <c r="CO404"/>
      <c r="CP404"/>
      <c r="CQ404"/>
      <c r="CR404"/>
      <c r="CS404"/>
      <c r="CT404"/>
      <c r="CU404"/>
      <c r="CV404"/>
      <c r="CW404"/>
      <c r="CX404"/>
      <c r="CY404"/>
    </row>
    <row r="405" spans="50:103" ht="20.100000000000001" customHeight="1" x14ac:dyDescent="0.25">
      <c r="AX405"/>
      <c r="AY405"/>
      <c r="AZ405"/>
      <c r="BA405"/>
      <c r="BB405"/>
      <c r="BC405"/>
      <c r="BD405"/>
      <c r="BE405"/>
      <c r="BF405"/>
      <c r="BG405"/>
      <c r="BH405"/>
      <c r="BI405"/>
      <c r="BJ405"/>
      <c r="BK405"/>
      <c r="BL405"/>
      <c r="BM405"/>
      <c r="BN405"/>
      <c r="BO405"/>
      <c r="BP405"/>
      <c r="BQ405"/>
      <c r="BR405"/>
      <c r="BY405"/>
      <c r="BZ405"/>
      <c r="CA405"/>
      <c r="CB405"/>
      <c r="CC405"/>
      <c r="CD405"/>
      <c r="CE405"/>
      <c r="CF405"/>
      <c r="CG405"/>
      <c r="CH405"/>
      <c r="CI405"/>
      <c r="CJ405"/>
      <c r="CK405"/>
      <c r="CL405"/>
      <c r="CM405"/>
      <c r="CN405"/>
      <c r="CO405"/>
      <c r="CP405"/>
      <c r="CQ405"/>
      <c r="CR405"/>
      <c r="CS405"/>
      <c r="CT405"/>
      <c r="CU405"/>
      <c r="CV405"/>
      <c r="CW405"/>
      <c r="CX405"/>
      <c r="CY405"/>
    </row>
    <row r="406" spans="50:103" ht="20.100000000000001" customHeight="1" x14ac:dyDescent="0.25">
      <c r="AX406"/>
      <c r="AY406"/>
      <c r="AZ406"/>
      <c r="BA406"/>
      <c r="BB406"/>
      <c r="BC406"/>
      <c r="BD406"/>
      <c r="BE406"/>
      <c r="BF406"/>
      <c r="BG406"/>
      <c r="BH406"/>
      <c r="BI406"/>
      <c r="BJ406"/>
      <c r="BK406"/>
      <c r="BL406"/>
      <c r="BM406"/>
      <c r="BN406"/>
      <c r="BO406"/>
      <c r="BP406"/>
      <c r="BQ406"/>
      <c r="BR406"/>
      <c r="BY406"/>
      <c r="BZ406"/>
      <c r="CA406"/>
      <c r="CB406"/>
      <c r="CC406"/>
      <c r="CD406"/>
      <c r="CE406"/>
      <c r="CF406"/>
      <c r="CG406"/>
      <c r="CH406"/>
      <c r="CI406"/>
      <c r="CJ406"/>
      <c r="CK406"/>
      <c r="CL406"/>
      <c r="CM406"/>
      <c r="CN406"/>
      <c r="CO406"/>
      <c r="CP406"/>
      <c r="CQ406"/>
      <c r="CR406"/>
      <c r="CS406"/>
      <c r="CT406"/>
      <c r="CU406"/>
      <c r="CV406"/>
      <c r="CW406"/>
      <c r="CX406"/>
      <c r="CY406"/>
    </row>
    <row r="407" spans="50:103" ht="20.100000000000001" customHeight="1" x14ac:dyDescent="0.25">
      <c r="AX407"/>
      <c r="AY407"/>
      <c r="AZ407"/>
      <c r="BA407"/>
      <c r="BB407"/>
      <c r="BC407"/>
      <c r="BD407"/>
      <c r="BE407"/>
      <c r="BF407"/>
      <c r="BG407"/>
      <c r="BH407"/>
      <c r="BI407"/>
      <c r="BJ407"/>
      <c r="BK407"/>
      <c r="BL407"/>
      <c r="BM407"/>
      <c r="BN407"/>
      <c r="BO407"/>
      <c r="BP407"/>
      <c r="BQ407"/>
      <c r="BR407"/>
      <c r="BY407"/>
      <c r="BZ407"/>
      <c r="CA407"/>
      <c r="CB407"/>
      <c r="CC407"/>
      <c r="CD407"/>
      <c r="CE407"/>
      <c r="CF407"/>
      <c r="CG407"/>
      <c r="CH407"/>
      <c r="CI407"/>
      <c r="CJ407"/>
      <c r="CK407"/>
      <c r="CL407"/>
      <c r="CM407"/>
      <c r="CN407"/>
      <c r="CO407"/>
      <c r="CP407"/>
      <c r="CQ407"/>
      <c r="CR407"/>
      <c r="CS407"/>
      <c r="CT407"/>
      <c r="CU407"/>
      <c r="CV407"/>
      <c r="CW407"/>
      <c r="CX407"/>
      <c r="CY407"/>
    </row>
    <row r="408" spans="50:103" ht="20.100000000000001" customHeight="1" x14ac:dyDescent="0.25">
      <c r="AX408"/>
      <c r="AY408"/>
      <c r="AZ408"/>
      <c r="BA408"/>
      <c r="BB408"/>
      <c r="BC408"/>
      <c r="BD408"/>
      <c r="BE408"/>
      <c r="BF408"/>
      <c r="BG408"/>
      <c r="BH408"/>
      <c r="BI408"/>
      <c r="BJ408"/>
      <c r="BK408"/>
      <c r="BL408"/>
      <c r="BM408"/>
      <c r="BN408"/>
      <c r="BO408"/>
      <c r="BP408"/>
      <c r="BQ408"/>
      <c r="BR408"/>
      <c r="BY408"/>
      <c r="BZ408"/>
      <c r="CA408"/>
      <c r="CB408"/>
      <c r="CC408"/>
      <c r="CD408"/>
      <c r="CE408"/>
      <c r="CF408"/>
      <c r="CG408"/>
      <c r="CH408"/>
      <c r="CI408"/>
      <c r="CJ408"/>
      <c r="CK408"/>
      <c r="CL408"/>
      <c r="CM408"/>
      <c r="CN408"/>
      <c r="CO408"/>
      <c r="CP408"/>
      <c r="CQ408"/>
      <c r="CR408"/>
      <c r="CS408"/>
      <c r="CT408"/>
      <c r="CU408"/>
      <c r="CV408"/>
      <c r="CW408"/>
      <c r="CX408"/>
      <c r="CY408"/>
    </row>
    <row r="409" spans="50:103" ht="20.100000000000001" customHeight="1" x14ac:dyDescent="0.25">
      <c r="AX409"/>
      <c r="AY409"/>
      <c r="AZ409"/>
      <c r="BA409"/>
      <c r="BB409"/>
      <c r="BC409"/>
      <c r="BD409"/>
      <c r="BE409"/>
      <c r="BF409"/>
      <c r="BG409"/>
      <c r="BH409"/>
      <c r="BI409"/>
      <c r="BJ409"/>
      <c r="BK409"/>
      <c r="BL409"/>
      <c r="BM409"/>
      <c r="BN409"/>
      <c r="BO409"/>
      <c r="BP409"/>
      <c r="BQ409"/>
      <c r="BR409"/>
      <c r="BY409"/>
      <c r="BZ409"/>
      <c r="CA409"/>
      <c r="CB409"/>
      <c r="CC409"/>
      <c r="CD409"/>
      <c r="CE409"/>
      <c r="CF409"/>
      <c r="CG409"/>
      <c r="CH409"/>
      <c r="CI409"/>
      <c r="CJ409"/>
      <c r="CK409"/>
      <c r="CL409"/>
      <c r="CM409"/>
      <c r="CN409"/>
      <c r="CO409"/>
      <c r="CP409"/>
      <c r="CQ409"/>
      <c r="CR409"/>
      <c r="CS409"/>
      <c r="CT409"/>
      <c r="CU409"/>
      <c r="CV409"/>
      <c r="CW409"/>
      <c r="CX409"/>
      <c r="CY409"/>
    </row>
    <row r="410" spans="50:103" ht="20.100000000000001" customHeight="1" x14ac:dyDescent="0.25">
      <c r="AX410"/>
      <c r="AY410"/>
      <c r="AZ410"/>
      <c r="BA410"/>
      <c r="BB410"/>
      <c r="BC410"/>
      <c r="BD410"/>
      <c r="BE410"/>
      <c r="BF410"/>
      <c r="BG410"/>
      <c r="BH410"/>
      <c r="BI410"/>
      <c r="BJ410"/>
      <c r="BK410"/>
      <c r="BL410"/>
      <c r="BM410"/>
      <c r="BN410"/>
      <c r="BO410"/>
      <c r="BP410"/>
      <c r="BQ410"/>
      <c r="BR410"/>
      <c r="BY410"/>
      <c r="BZ410"/>
      <c r="CA410"/>
      <c r="CB410"/>
      <c r="CC410"/>
      <c r="CD410"/>
      <c r="CE410"/>
      <c r="CF410"/>
      <c r="CG410"/>
      <c r="CH410"/>
      <c r="CI410"/>
      <c r="CJ410"/>
      <c r="CK410"/>
      <c r="CL410"/>
      <c r="CM410"/>
      <c r="CN410"/>
      <c r="CO410"/>
      <c r="CP410"/>
      <c r="CQ410"/>
      <c r="CR410"/>
      <c r="CS410"/>
      <c r="CT410"/>
      <c r="CU410"/>
      <c r="CV410"/>
      <c r="CW410"/>
      <c r="CX410"/>
      <c r="CY410"/>
    </row>
    <row r="411" spans="50:103" ht="20.100000000000001" customHeight="1" x14ac:dyDescent="0.25">
      <c r="AX411"/>
      <c r="AY411"/>
      <c r="AZ411"/>
      <c r="BA411"/>
      <c r="BB411"/>
      <c r="BC411"/>
      <c r="BD411"/>
      <c r="BE411"/>
      <c r="BF411"/>
      <c r="BG411"/>
      <c r="BH411"/>
      <c r="BI411"/>
      <c r="BJ411"/>
      <c r="BK411"/>
      <c r="BL411"/>
      <c r="BM411"/>
      <c r="BN411"/>
      <c r="BO411"/>
      <c r="BP411"/>
      <c r="BQ411"/>
      <c r="BR411"/>
      <c r="BY411"/>
      <c r="BZ411"/>
      <c r="CA411"/>
      <c r="CB411"/>
      <c r="CC411"/>
      <c r="CD411"/>
      <c r="CE411"/>
      <c r="CF411"/>
      <c r="CG411"/>
      <c r="CH411"/>
      <c r="CI411"/>
      <c r="CJ411"/>
      <c r="CK411"/>
      <c r="CL411"/>
      <c r="CM411"/>
      <c r="CN411"/>
      <c r="CO411"/>
      <c r="CP411"/>
      <c r="CQ411"/>
      <c r="CR411"/>
      <c r="CS411"/>
      <c r="CT411"/>
      <c r="CU411"/>
      <c r="CV411"/>
      <c r="CW411"/>
      <c r="CX411"/>
      <c r="CY411"/>
    </row>
    <row r="412" spans="50:103" ht="20.100000000000001" customHeight="1" x14ac:dyDescent="0.25">
      <c r="AX412"/>
      <c r="AY412"/>
      <c r="AZ412"/>
      <c r="BA412"/>
      <c r="BB412"/>
      <c r="BC412"/>
      <c r="BD412"/>
      <c r="BE412"/>
      <c r="BF412"/>
      <c r="BG412"/>
      <c r="BH412"/>
      <c r="BI412"/>
      <c r="BJ412"/>
      <c r="BK412"/>
      <c r="BL412"/>
      <c r="BM412"/>
      <c r="BN412"/>
      <c r="BO412"/>
      <c r="BP412"/>
      <c r="BQ412"/>
      <c r="BR412"/>
      <c r="BY412"/>
      <c r="BZ412"/>
      <c r="CA412"/>
      <c r="CB412"/>
      <c r="CC412"/>
      <c r="CD412"/>
      <c r="CE412"/>
      <c r="CF412"/>
      <c r="CG412"/>
      <c r="CH412"/>
      <c r="CI412"/>
      <c r="CJ412"/>
      <c r="CK412"/>
      <c r="CL412"/>
      <c r="CM412"/>
      <c r="CN412"/>
      <c r="CO412"/>
      <c r="CP412"/>
      <c r="CQ412"/>
      <c r="CR412"/>
      <c r="CS412"/>
      <c r="CT412"/>
      <c r="CU412"/>
      <c r="CV412"/>
      <c r="CW412"/>
      <c r="CX412"/>
      <c r="CY412"/>
    </row>
    <row r="413" spans="50:103" ht="20.100000000000001" customHeight="1" x14ac:dyDescent="0.25">
      <c r="AX413"/>
      <c r="AY413"/>
      <c r="AZ413"/>
      <c r="BA413"/>
      <c r="BB413"/>
      <c r="BC413"/>
      <c r="BD413"/>
      <c r="BE413"/>
      <c r="BF413"/>
      <c r="BG413"/>
      <c r="BH413"/>
      <c r="BI413"/>
      <c r="BJ413"/>
      <c r="BK413"/>
      <c r="BL413"/>
      <c r="BM413"/>
      <c r="BN413"/>
      <c r="BO413"/>
      <c r="BP413"/>
      <c r="BQ413"/>
      <c r="BR413"/>
      <c r="BY413"/>
      <c r="BZ413"/>
      <c r="CA413"/>
      <c r="CB413"/>
      <c r="CC413"/>
      <c r="CD413"/>
      <c r="CE413"/>
      <c r="CF413"/>
      <c r="CG413"/>
      <c r="CH413"/>
      <c r="CI413"/>
      <c r="CJ413"/>
      <c r="CK413"/>
      <c r="CL413"/>
      <c r="CM413"/>
      <c r="CN413"/>
      <c r="CO413"/>
      <c r="CP413"/>
      <c r="CQ413"/>
      <c r="CR413"/>
      <c r="CS413"/>
      <c r="CT413"/>
      <c r="CU413"/>
      <c r="CV413"/>
      <c r="CW413"/>
      <c r="CX413"/>
      <c r="CY413"/>
    </row>
    <row r="414" spans="50:103" ht="20.100000000000001" customHeight="1" x14ac:dyDescent="0.25">
      <c r="AX414"/>
      <c r="AY414"/>
      <c r="AZ414"/>
      <c r="BA414"/>
      <c r="BB414"/>
      <c r="BC414"/>
      <c r="BD414"/>
      <c r="BE414"/>
      <c r="BF414"/>
      <c r="BG414"/>
      <c r="BH414"/>
      <c r="BI414"/>
      <c r="BJ414"/>
      <c r="BK414"/>
      <c r="BL414"/>
      <c r="BM414"/>
      <c r="BN414"/>
      <c r="BO414"/>
      <c r="BP414"/>
      <c r="BQ414"/>
      <c r="BR414"/>
      <c r="BY414"/>
      <c r="BZ414"/>
      <c r="CA414"/>
      <c r="CB414"/>
      <c r="CC414"/>
      <c r="CD414"/>
      <c r="CE414"/>
      <c r="CF414"/>
      <c r="CG414"/>
      <c r="CH414"/>
      <c r="CI414"/>
      <c r="CJ414"/>
      <c r="CK414"/>
      <c r="CL414"/>
      <c r="CM414"/>
      <c r="CN414"/>
      <c r="CO414"/>
      <c r="CP414"/>
      <c r="CQ414"/>
      <c r="CR414"/>
      <c r="CS414"/>
      <c r="CT414"/>
      <c r="CU414"/>
      <c r="CV414"/>
      <c r="CW414"/>
      <c r="CX414"/>
      <c r="CY414"/>
    </row>
    <row r="415" spans="50:103" ht="20.100000000000001" customHeight="1" x14ac:dyDescent="0.25">
      <c r="AX415"/>
      <c r="AY415"/>
      <c r="AZ415"/>
      <c r="BA415"/>
      <c r="BB415"/>
      <c r="BC415"/>
      <c r="BD415"/>
      <c r="BE415"/>
      <c r="BF415"/>
      <c r="BG415"/>
      <c r="BH415"/>
      <c r="BI415"/>
      <c r="BJ415"/>
      <c r="BK415"/>
      <c r="BL415"/>
      <c r="BM415"/>
      <c r="BN415"/>
      <c r="BO415"/>
      <c r="BP415"/>
      <c r="BQ415"/>
      <c r="BR415"/>
      <c r="BY415"/>
      <c r="BZ415"/>
      <c r="CA415"/>
      <c r="CB415"/>
      <c r="CC415"/>
      <c r="CD415"/>
      <c r="CE415"/>
      <c r="CF415"/>
      <c r="CG415"/>
      <c r="CH415"/>
      <c r="CI415"/>
      <c r="CJ415"/>
      <c r="CK415"/>
      <c r="CL415"/>
      <c r="CM415"/>
      <c r="CN415"/>
      <c r="CO415"/>
      <c r="CP415"/>
      <c r="CQ415"/>
      <c r="CR415"/>
      <c r="CS415"/>
      <c r="CT415"/>
      <c r="CU415"/>
      <c r="CV415"/>
      <c r="CW415"/>
      <c r="CX415"/>
      <c r="CY415"/>
    </row>
    <row r="416" spans="50:103" ht="20.100000000000001" customHeight="1" x14ac:dyDescent="0.25">
      <c r="AX416"/>
      <c r="AY416"/>
      <c r="AZ416"/>
      <c r="BA416"/>
      <c r="BB416"/>
      <c r="BC416"/>
      <c r="BD416"/>
      <c r="BE416"/>
      <c r="BF416"/>
      <c r="BG416"/>
      <c r="BH416"/>
      <c r="BI416"/>
      <c r="BJ416"/>
      <c r="BK416"/>
      <c r="BL416"/>
      <c r="BM416"/>
      <c r="BN416"/>
      <c r="BO416"/>
      <c r="BP416"/>
      <c r="BQ416"/>
      <c r="BR416"/>
      <c r="BY416"/>
      <c r="BZ416"/>
      <c r="CA416"/>
      <c r="CB416"/>
      <c r="CC416"/>
      <c r="CD416"/>
      <c r="CE416"/>
      <c r="CF416"/>
      <c r="CG416"/>
      <c r="CH416"/>
      <c r="CI416"/>
      <c r="CJ416"/>
      <c r="CK416"/>
      <c r="CL416"/>
      <c r="CM416"/>
      <c r="CN416"/>
      <c r="CO416"/>
      <c r="CP416"/>
      <c r="CQ416"/>
      <c r="CR416"/>
      <c r="CS416"/>
      <c r="CT416"/>
      <c r="CU416"/>
      <c r="CV416"/>
      <c r="CW416"/>
      <c r="CX416"/>
      <c r="CY416"/>
    </row>
    <row r="417" spans="50:103" ht="20.100000000000001" customHeight="1" x14ac:dyDescent="0.25">
      <c r="AX417"/>
      <c r="AY417"/>
      <c r="AZ417"/>
      <c r="BA417"/>
      <c r="BB417"/>
      <c r="BC417"/>
      <c r="BD417"/>
      <c r="BE417"/>
      <c r="BF417"/>
      <c r="BG417"/>
      <c r="BH417"/>
      <c r="BI417"/>
      <c r="BJ417"/>
      <c r="BK417"/>
      <c r="BL417"/>
      <c r="BM417"/>
      <c r="BN417"/>
      <c r="BO417"/>
      <c r="BP417"/>
      <c r="BQ417"/>
      <c r="BR417"/>
      <c r="BY417"/>
      <c r="BZ417"/>
      <c r="CA417"/>
      <c r="CB417"/>
      <c r="CC417"/>
      <c r="CD417"/>
      <c r="CE417"/>
      <c r="CF417"/>
      <c r="CG417"/>
      <c r="CH417"/>
      <c r="CI417"/>
      <c r="CJ417"/>
      <c r="CK417"/>
      <c r="CL417"/>
      <c r="CM417"/>
      <c r="CN417"/>
      <c r="CO417"/>
      <c r="CP417"/>
      <c r="CQ417"/>
      <c r="CR417"/>
      <c r="CS417"/>
      <c r="CT417"/>
      <c r="CU417"/>
      <c r="CV417"/>
      <c r="CW417"/>
      <c r="CX417"/>
      <c r="CY417"/>
    </row>
    <row r="418" spans="50:103" ht="20.100000000000001" customHeight="1" x14ac:dyDescent="0.25">
      <c r="AX418"/>
      <c r="AY418"/>
      <c r="AZ418"/>
      <c r="BA418"/>
      <c r="BB418"/>
      <c r="BC418"/>
      <c r="BD418"/>
      <c r="BE418"/>
      <c r="BF418"/>
      <c r="BG418"/>
      <c r="BH418"/>
      <c r="BI418"/>
      <c r="BJ418"/>
      <c r="BK418"/>
      <c r="BL418"/>
      <c r="BM418"/>
      <c r="BN418"/>
      <c r="BO418"/>
      <c r="BP418"/>
      <c r="BQ418"/>
      <c r="BR418"/>
      <c r="BY418"/>
      <c r="BZ418"/>
      <c r="CA418"/>
      <c r="CB418"/>
      <c r="CC418"/>
      <c r="CD418"/>
      <c r="CE418"/>
      <c r="CF418"/>
      <c r="CG418"/>
      <c r="CH418"/>
      <c r="CI418"/>
      <c r="CJ418"/>
      <c r="CK418"/>
      <c r="CL418"/>
      <c r="CM418"/>
      <c r="CN418"/>
      <c r="CO418"/>
      <c r="CP418"/>
      <c r="CQ418"/>
      <c r="CR418"/>
      <c r="CS418"/>
      <c r="CT418"/>
      <c r="CU418"/>
      <c r="CV418"/>
      <c r="CW418"/>
      <c r="CX418"/>
      <c r="CY418"/>
    </row>
    <row r="419" spans="50:103" ht="20.100000000000001" customHeight="1" x14ac:dyDescent="0.25">
      <c r="AX419"/>
      <c r="AY419"/>
      <c r="AZ419"/>
      <c r="BA419"/>
      <c r="BB419"/>
      <c r="BC419"/>
      <c r="BD419"/>
      <c r="BE419"/>
      <c r="BF419"/>
      <c r="BG419"/>
      <c r="BH419"/>
      <c r="BI419"/>
      <c r="BJ419"/>
      <c r="BK419"/>
      <c r="BL419"/>
      <c r="BM419"/>
      <c r="BN419"/>
      <c r="BO419"/>
      <c r="BP419"/>
      <c r="BQ419"/>
      <c r="BR419"/>
      <c r="BY419"/>
      <c r="BZ419"/>
      <c r="CA419"/>
      <c r="CB419"/>
      <c r="CC419"/>
      <c r="CD419"/>
      <c r="CE419"/>
      <c r="CF419"/>
      <c r="CG419"/>
      <c r="CH419"/>
      <c r="CI419"/>
      <c r="CJ419"/>
      <c r="CK419"/>
      <c r="CL419"/>
      <c r="CM419"/>
      <c r="CN419"/>
      <c r="CO419"/>
      <c r="CP419"/>
      <c r="CQ419"/>
      <c r="CR419"/>
      <c r="CS419"/>
      <c r="CT419"/>
      <c r="CU419"/>
      <c r="CV419"/>
      <c r="CW419"/>
      <c r="CX419"/>
      <c r="CY419"/>
    </row>
    <row r="420" spans="50:103" ht="20.100000000000001" customHeight="1" x14ac:dyDescent="0.25">
      <c r="AX420"/>
      <c r="AY420"/>
      <c r="AZ420"/>
      <c r="BA420"/>
      <c r="BB420"/>
      <c r="BC420"/>
      <c r="BD420"/>
      <c r="BE420"/>
      <c r="BF420"/>
      <c r="BG420"/>
      <c r="BH420"/>
      <c r="BI420"/>
      <c r="BJ420"/>
      <c r="BK420"/>
      <c r="BL420"/>
      <c r="BM420"/>
      <c r="BN420"/>
      <c r="BO420"/>
      <c r="BP420"/>
      <c r="BQ420"/>
      <c r="BR420"/>
      <c r="BY420"/>
      <c r="BZ420"/>
      <c r="CA420"/>
      <c r="CB420"/>
      <c r="CC420"/>
      <c r="CD420"/>
      <c r="CE420"/>
      <c r="CF420"/>
      <c r="CG420"/>
      <c r="CH420"/>
      <c r="CI420"/>
      <c r="CJ420"/>
      <c r="CK420"/>
      <c r="CL420"/>
      <c r="CM420"/>
      <c r="CN420"/>
      <c r="CO420"/>
      <c r="CP420"/>
      <c r="CQ420"/>
      <c r="CR420"/>
      <c r="CS420"/>
      <c r="CT420"/>
      <c r="CU420"/>
      <c r="CV420"/>
      <c r="CW420"/>
      <c r="CX420"/>
      <c r="CY420"/>
    </row>
    <row r="421" spans="50:103" ht="20.100000000000001" customHeight="1" x14ac:dyDescent="0.25">
      <c r="AX421"/>
      <c r="AY421"/>
      <c r="AZ421"/>
      <c r="BA421"/>
      <c r="BB421"/>
      <c r="BC421"/>
      <c r="BD421"/>
      <c r="BE421"/>
      <c r="BF421"/>
      <c r="BG421"/>
      <c r="BH421"/>
      <c r="BI421"/>
      <c r="BJ421"/>
      <c r="BK421"/>
      <c r="BL421"/>
      <c r="BM421"/>
      <c r="BN421"/>
      <c r="BO421"/>
      <c r="BP421"/>
      <c r="BQ421"/>
      <c r="BR421"/>
      <c r="BY421"/>
      <c r="BZ421"/>
      <c r="CA421"/>
      <c r="CB421"/>
      <c r="CC421"/>
      <c r="CD421"/>
      <c r="CE421"/>
      <c r="CF421"/>
      <c r="CG421"/>
      <c r="CH421"/>
      <c r="CI421"/>
      <c r="CJ421"/>
      <c r="CK421"/>
      <c r="CL421"/>
      <c r="CM421"/>
      <c r="CN421"/>
      <c r="CO421"/>
      <c r="CP421"/>
      <c r="CQ421"/>
      <c r="CR421"/>
      <c r="CS421"/>
      <c r="CT421"/>
      <c r="CU421"/>
      <c r="CV421"/>
      <c r="CW421"/>
      <c r="CX421"/>
      <c r="CY421"/>
    </row>
    <row r="422" spans="50:103" ht="20.100000000000001" customHeight="1" x14ac:dyDescent="0.25">
      <c r="AX422"/>
      <c r="AY422"/>
      <c r="AZ422"/>
      <c r="BA422"/>
      <c r="BB422"/>
      <c r="BC422"/>
      <c r="BD422"/>
      <c r="BE422"/>
      <c r="BF422"/>
      <c r="BG422"/>
      <c r="BH422"/>
      <c r="BI422"/>
      <c r="BJ422"/>
      <c r="BK422"/>
      <c r="BL422"/>
      <c r="BM422"/>
      <c r="BN422"/>
      <c r="BO422"/>
      <c r="BP422"/>
      <c r="BQ422"/>
      <c r="BR422"/>
      <c r="BY422"/>
      <c r="BZ422"/>
      <c r="CA422"/>
      <c r="CB422"/>
      <c r="CC422"/>
      <c r="CD422"/>
      <c r="CE422"/>
      <c r="CF422"/>
      <c r="CG422"/>
      <c r="CH422"/>
      <c r="CI422"/>
      <c r="CJ422"/>
      <c r="CK422"/>
      <c r="CL422"/>
      <c r="CM422"/>
      <c r="CN422"/>
      <c r="CO422"/>
      <c r="CP422"/>
      <c r="CQ422"/>
      <c r="CR422"/>
      <c r="CS422"/>
      <c r="CT422"/>
      <c r="CU422"/>
      <c r="CV422"/>
      <c r="CW422"/>
      <c r="CX422"/>
      <c r="CY422"/>
    </row>
    <row r="423" spans="50:103" ht="20.100000000000001" customHeight="1" x14ac:dyDescent="0.25">
      <c r="AX423"/>
      <c r="AY423"/>
      <c r="AZ423"/>
      <c r="BA423"/>
      <c r="BB423"/>
      <c r="BC423"/>
      <c r="BD423"/>
      <c r="BE423"/>
      <c r="BF423"/>
      <c r="BG423"/>
      <c r="BH423"/>
      <c r="BI423"/>
      <c r="BJ423"/>
      <c r="BK423"/>
      <c r="BL423"/>
      <c r="BM423"/>
      <c r="BN423"/>
      <c r="BO423"/>
      <c r="BP423"/>
      <c r="BQ423"/>
      <c r="BR423"/>
      <c r="BY423"/>
      <c r="BZ423"/>
      <c r="CA423"/>
      <c r="CB423"/>
      <c r="CC423"/>
      <c r="CD423"/>
      <c r="CE423"/>
      <c r="CF423"/>
      <c r="CG423"/>
      <c r="CH423"/>
      <c r="CI423"/>
      <c r="CJ423"/>
      <c r="CK423"/>
      <c r="CL423"/>
      <c r="CM423"/>
      <c r="CN423"/>
      <c r="CO423"/>
      <c r="CP423"/>
      <c r="CQ423"/>
      <c r="CR423"/>
      <c r="CS423"/>
      <c r="CT423"/>
      <c r="CU423"/>
      <c r="CV423"/>
      <c r="CW423"/>
      <c r="CX423"/>
      <c r="CY423"/>
    </row>
    <row r="424" spans="50:103" ht="20.100000000000001" customHeight="1" x14ac:dyDescent="0.25">
      <c r="AX424"/>
      <c r="AY424"/>
      <c r="AZ424"/>
      <c r="BA424"/>
      <c r="BB424"/>
      <c r="BC424"/>
      <c r="BD424"/>
      <c r="BE424"/>
      <c r="BF424"/>
      <c r="BG424"/>
      <c r="BH424"/>
      <c r="BI424"/>
      <c r="BJ424"/>
      <c r="BK424"/>
      <c r="BL424"/>
      <c r="BM424"/>
      <c r="BN424"/>
      <c r="BO424"/>
      <c r="BP424"/>
      <c r="BQ424"/>
      <c r="BR424"/>
      <c r="BY424"/>
      <c r="BZ424"/>
      <c r="CA424"/>
      <c r="CB424"/>
      <c r="CC424"/>
      <c r="CD424"/>
      <c r="CE424"/>
      <c r="CF424"/>
      <c r="CG424"/>
      <c r="CH424"/>
      <c r="CI424"/>
      <c r="CJ424"/>
      <c r="CK424"/>
      <c r="CL424"/>
      <c r="CM424"/>
      <c r="CN424"/>
      <c r="CO424"/>
      <c r="CP424"/>
      <c r="CQ424"/>
      <c r="CR424"/>
      <c r="CS424"/>
      <c r="CT424"/>
      <c r="CU424"/>
      <c r="CV424"/>
      <c r="CW424"/>
      <c r="CX424"/>
      <c r="CY424"/>
    </row>
    <row r="425" spans="50:103" ht="20.100000000000001" customHeight="1" x14ac:dyDescent="0.25">
      <c r="AX425"/>
      <c r="AY425"/>
      <c r="AZ425"/>
      <c r="BA425"/>
      <c r="BB425"/>
      <c r="BC425"/>
      <c r="BD425"/>
      <c r="BE425"/>
      <c r="BF425"/>
      <c r="BG425"/>
      <c r="BH425"/>
      <c r="BI425"/>
      <c r="BJ425"/>
      <c r="BK425"/>
      <c r="BL425"/>
      <c r="BM425"/>
      <c r="BN425"/>
      <c r="BO425"/>
      <c r="BP425"/>
      <c r="BQ425"/>
      <c r="BR425"/>
      <c r="BY425"/>
      <c r="BZ425"/>
      <c r="CA425"/>
      <c r="CB425"/>
      <c r="CC425"/>
      <c r="CD425"/>
      <c r="CE425"/>
      <c r="CF425"/>
      <c r="CG425"/>
      <c r="CH425"/>
      <c r="CI425"/>
      <c r="CJ425"/>
      <c r="CK425"/>
      <c r="CL425"/>
      <c r="CM425"/>
      <c r="CN425"/>
      <c r="CO425"/>
      <c r="CP425"/>
      <c r="CQ425"/>
      <c r="CR425"/>
      <c r="CS425"/>
      <c r="CT425"/>
      <c r="CU425"/>
      <c r="CV425"/>
      <c r="CW425"/>
      <c r="CX425"/>
      <c r="CY425"/>
    </row>
    <row r="426" spans="50:103" ht="20.100000000000001" customHeight="1" x14ac:dyDescent="0.25">
      <c r="AX426"/>
      <c r="AY426"/>
      <c r="AZ426"/>
      <c r="BA426"/>
      <c r="BB426"/>
      <c r="BC426"/>
      <c r="BD426"/>
      <c r="BE426"/>
      <c r="BF426"/>
      <c r="BG426"/>
      <c r="BH426"/>
      <c r="BI426"/>
      <c r="BJ426"/>
      <c r="BK426"/>
      <c r="BL426"/>
      <c r="BM426"/>
      <c r="BN426"/>
      <c r="BO426"/>
      <c r="BP426"/>
      <c r="BQ426"/>
      <c r="BR426"/>
      <c r="BY426"/>
      <c r="BZ426"/>
      <c r="CA426"/>
      <c r="CB426"/>
      <c r="CC426"/>
      <c r="CD426"/>
      <c r="CE426"/>
      <c r="CF426"/>
      <c r="CG426"/>
      <c r="CH426"/>
      <c r="CI426"/>
      <c r="CJ426"/>
      <c r="CK426"/>
      <c r="CL426"/>
      <c r="CM426"/>
      <c r="CN426"/>
      <c r="CO426"/>
      <c r="CP426"/>
      <c r="CQ426"/>
      <c r="CR426"/>
      <c r="CS426"/>
      <c r="CT426"/>
      <c r="CU426"/>
      <c r="CV426"/>
      <c r="CW426"/>
      <c r="CX426"/>
      <c r="CY426"/>
    </row>
    <row r="427" spans="50:103" ht="20.100000000000001" customHeight="1" x14ac:dyDescent="0.25">
      <c r="AX427"/>
      <c r="AY427"/>
      <c r="AZ427"/>
      <c r="BA427"/>
      <c r="BB427"/>
      <c r="BC427"/>
      <c r="BD427"/>
      <c r="BE427"/>
      <c r="BF427"/>
      <c r="BG427"/>
      <c r="BH427"/>
      <c r="BI427"/>
      <c r="BJ427"/>
      <c r="BK427"/>
      <c r="BL427"/>
      <c r="BM427"/>
      <c r="BN427"/>
      <c r="BO427"/>
      <c r="BP427"/>
      <c r="BQ427"/>
      <c r="BR427"/>
      <c r="BY427"/>
      <c r="BZ427"/>
      <c r="CA427"/>
      <c r="CB427"/>
      <c r="CC427"/>
      <c r="CD427"/>
      <c r="CE427"/>
      <c r="CF427"/>
      <c r="CG427"/>
      <c r="CH427"/>
      <c r="CI427"/>
      <c r="CJ427"/>
      <c r="CK427"/>
      <c r="CL427"/>
      <c r="CM427"/>
      <c r="CN427"/>
      <c r="CO427"/>
      <c r="CP427"/>
      <c r="CQ427"/>
      <c r="CR427"/>
      <c r="CS427"/>
      <c r="CT427"/>
      <c r="CU427"/>
      <c r="CV427"/>
      <c r="CW427"/>
      <c r="CX427"/>
      <c r="CY427"/>
    </row>
    <row r="428" spans="50:103" ht="20.100000000000001" customHeight="1" x14ac:dyDescent="0.25">
      <c r="AX428"/>
      <c r="AY428"/>
      <c r="AZ428"/>
      <c r="BA428"/>
      <c r="BB428"/>
      <c r="BC428"/>
      <c r="BD428"/>
      <c r="BE428"/>
      <c r="BF428"/>
      <c r="BG428"/>
      <c r="BH428"/>
      <c r="BI428"/>
      <c r="BJ428"/>
      <c r="BK428"/>
      <c r="BL428"/>
      <c r="BM428"/>
      <c r="BN428"/>
      <c r="BO428"/>
      <c r="BP428"/>
      <c r="BQ428"/>
      <c r="BR428"/>
      <c r="BY428"/>
      <c r="BZ428"/>
      <c r="CA428"/>
      <c r="CB428"/>
      <c r="CC428"/>
      <c r="CD428"/>
      <c r="CE428"/>
      <c r="CF428"/>
      <c r="CG428"/>
      <c r="CH428"/>
      <c r="CI428"/>
      <c r="CJ428"/>
      <c r="CK428"/>
      <c r="CL428"/>
      <c r="CM428"/>
      <c r="CN428"/>
      <c r="CO428"/>
      <c r="CP428"/>
      <c r="CQ428"/>
      <c r="CR428"/>
      <c r="CS428"/>
      <c r="CT428"/>
      <c r="CU428"/>
      <c r="CV428"/>
      <c r="CW428"/>
      <c r="CX428"/>
      <c r="CY428"/>
    </row>
    <row r="429" spans="50:103" ht="20.100000000000001" customHeight="1" x14ac:dyDescent="0.25">
      <c r="AX429"/>
      <c r="AY429"/>
      <c r="AZ429"/>
      <c r="BA429"/>
      <c r="BB429"/>
      <c r="BC429"/>
      <c r="BD429"/>
      <c r="BE429"/>
      <c r="BF429"/>
      <c r="BG429"/>
      <c r="BH429"/>
      <c r="BI429"/>
      <c r="BJ429"/>
      <c r="BK429"/>
      <c r="BL429"/>
      <c r="BM429"/>
      <c r="BN429"/>
      <c r="BO429"/>
      <c r="BP429"/>
      <c r="BQ429"/>
      <c r="BR429"/>
      <c r="BY429"/>
      <c r="BZ429"/>
      <c r="CA429"/>
      <c r="CB429"/>
      <c r="CC429"/>
      <c r="CD429"/>
      <c r="CE429"/>
      <c r="CF429"/>
      <c r="CG429"/>
      <c r="CH429"/>
      <c r="CI429"/>
      <c r="CJ429"/>
      <c r="CK429"/>
      <c r="CL429"/>
      <c r="CM429"/>
      <c r="CN429"/>
      <c r="CO429"/>
      <c r="CP429"/>
      <c r="CQ429"/>
      <c r="CR429"/>
      <c r="CS429"/>
      <c r="CT429"/>
      <c r="CU429"/>
      <c r="CV429"/>
      <c r="CW429"/>
      <c r="CX429"/>
      <c r="CY429"/>
    </row>
    <row r="430" spans="50:103" ht="20.100000000000001" customHeight="1" x14ac:dyDescent="0.25">
      <c r="AX430"/>
      <c r="AY430"/>
      <c r="AZ430"/>
      <c r="BA430"/>
      <c r="BB430"/>
      <c r="BC430"/>
      <c r="BD430"/>
      <c r="BE430"/>
      <c r="BF430"/>
      <c r="BG430"/>
      <c r="BH430"/>
      <c r="BI430"/>
      <c r="BJ430"/>
      <c r="BK430"/>
      <c r="BL430"/>
      <c r="BM430"/>
      <c r="BN430"/>
      <c r="BO430"/>
      <c r="BP430"/>
      <c r="BQ430"/>
      <c r="BR430"/>
      <c r="BY430"/>
      <c r="BZ430"/>
      <c r="CA430"/>
      <c r="CB430"/>
      <c r="CC430"/>
      <c r="CD430"/>
      <c r="CE430"/>
      <c r="CF430"/>
      <c r="CG430"/>
      <c r="CH430"/>
      <c r="CI430"/>
      <c r="CJ430"/>
      <c r="CK430"/>
      <c r="CL430"/>
      <c r="CM430"/>
      <c r="CN430"/>
      <c r="CO430"/>
      <c r="CP430"/>
      <c r="CQ430"/>
      <c r="CR430"/>
      <c r="CS430"/>
      <c r="CT430"/>
      <c r="CU430"/>
      <c r="CV430"/>
      <c r="CW430"/>
      <c r="CX430"/>
      <c r="CY430"/>
    </row>
    <row r="431" spans="50:103" ht="20.100000000000001" customHeight="1" x14ac:dyDescent="0.25">
      <c r="AX431"/>
      <c r="AY431"/>
      <c r="AZ431"/>
      <c r="BA431"/>
      <c r="BB431"/>
      <c r="BC431"/>
      <c r="BD431"/>
      <c r="BE431"/>
      <c r="BF431"/>
      <c r="BG431"/>
      <c r="BH431"/>
      <c r="BI431"/>
      <c r="BJ431"/>
      <c r="BK431"/>
      <c r="BL431"/>
      <c r="BM431"/>
      <c r="BN431"/>
      <c r="BO431"/>
      <c r="BP431"/>
      <c r="BQ431"/>
      <c r="BR431"/>
      <c r="BY431"/>
      <c r="BZ431"/>
      <c r="CA431"/>
      <c r="CB431"/>
      <c r="CC431"/>
      <c r="CD431"/>
      <c r="CE431"/>
      <c r="CF431"/>
      <c r="CG431"/>
      <c r="CH431"/>
      <c r="CI431"/>
      <c r="CJ431"/>
      <c r="CK431"/>
      <c r="CL431"/>
      <c r="CM431"/>
      <c r="CN431"/>
      <c r="CO431"/>
      <c r="CP431"/>
      <c r="CQ431"/>
      <c r="CR431"/>
      <c r="CS431"/>
      <c r="CT431"/>
      <c r="CU431"/>
      <c r="CV431"/>
      <c r="CW431"/>
      <c r="CX431"/>
      <c r="CY431"/>
    </row>
    <row r="432" spans="50:103" ht="20.100000000000001" customHeight="1" x14ac:dyDescent="0.25">
      <c r="AX432"/>
      <c r="AY432"/>
      <c r="AZ432"/>
      <c r="BA432"/>
      <c r="BB432"/>
      <c r="BC432"/>
      <c r="BD432"/>
      <c r="BE432"/>
      <c r="BF432"/>
      <c r="BG432"/>
      <c r="BH432"/>
      <c r="BI432"/>
      <c r="BJ432"/>
      <c r="BK432"/>
      <c r="BL432"/>
      <c r="BM432"/>
      <c r="BN432"/>
      <c r="BO432"/>
      <c r="BP432"/>
      <c r="BQ432"/>
      <c r="BR432"/>
      <c r="BY432"/>
      <c r="BZ432"/>
      <c r="CA432"/>
      <c r="CB432"/>
      <c r="CC432"/>
      <c r="CD432"/>
      <c r="CE432"/>
      <c r="CF432"/>
      <c r="CG432"/>
      <c r="CH432"/>
      <c r="CI432"/>
      <c r="CJ432"/>
      <c r="CK432"/>
      <c r="CL432"/>
      <c r="CM432"/>
      <c r="CN432"/>
      <c r="CO432"/>
      <c r="CP432"/>
      <c r="CQ432"/>
      <c r="CR432"/>
      <c r="CS432"/>
      <c r="CT432"/>
      <c r="CU432"/>
      <c r="CV432"/>
      <c r="CW432"/>
      <c r="CX432"/>
      <c r="CY432"/>
    </row>
    <row r="433" spans="50:103" ht="20.100000000000001" customHeight="1" x14ac:dyDescent="0.25">
      <c r="AX433"/>
      <c r="AY433"/>
      <c r="AZ433"/>
      <c r="BA433"/>
      <c r="BB433"/>
      <c r="BC433"/>
      <c r="BD433"/>
      <c r="BE433"/>
      <c r="BF433"/>
      <c r="BG433"/>
      <c r="BH433"/>
      <c r="BI433"/>
      <c r="BJ433"/>
      <c r="BK433"/>
      <c r="BL433"/>
      <c r="BM433"/>
      <c r="BN433"/>
      <c r="BO433"/>
      <c r="BP433"/>
      <c r="BQ433"/>
      <c r="BR433"/>
      <c r="BY433"/>
      <c r="BZ433"/>
      <c r="CA433"/>
      <c r="CB433"/>
      <c r="CC433"/>
      <c r="CD433"/>
      <c r="CE433"/>
      <c r="CF433"/>
      <c r="CG433"/>
      <c r="CH433"/>
      <c r="CI433"/>
      <c r="CJ433"/>
      <c r="CK433"/>
      <c r="CL433"/>
      <c r="CM433"/>
      <c r="CN433"/>
      <c r="CO433"/>
      <c r="CP433"/>
      <c r="CQ433"/>
      <c r="CR433"/>
      <c r="CS433"/>
      <c r="CT433"/>
      <c r="CU433"/>
      <c r="CV433"/>
      <c r="CW433"/>
      <c r="CX433"/>
      <c r="CY433"/>
    </row>
    <row r="434" spans="50:103" ht="20.100000000000001" customHeight="1" x14ac:dyDescent="0.25">
      <c r="AX434"/>
      <c r="AY434"/>
      <c r="AZ434"/>
      <c r="BA434"/>
      <c r="BB434"/>
      <c r="BC434"/>
      <c r="BD434"/>
      <c r="BE434"/>
      <c r="BF434"/>
      <c r="BG434"/>
      <c r="BH434"/>
      <c r="BI434"/>
      <c r="BJ434"/>
      <c r="BK434"/>
      <c r="BL434"/>
      <c r="BM434"/>
      <c r="BN434"/>
      <c r="BO434"/>
      <c r="BP434"/>
      <c r="BQ434"/>
      <c r="BR434"/>
      <c r="BY434"/>
      <c r="BZ434"/>
      <c r="CA434"/>
      <c r="CB434"/>
      <c r="CC434"/>
      <c r="CD434"/>
      <c r="CE434"/>
      <c r="CF434"/>
      <c r="CG434"/>
      <c r="CH434"/>
      <c r="CI434"/>
      <c r="CJ434"/>
      <c r="CK434"/>
      <c r="CL434"/>
      <c r="CM434"/>
      <c r="CN434"/>
      <c r="CO434"/>
      <c r="CP434"/>
      <c r="CQ434"/>
      <c r="CR434"/>
      <c r="CS434"/>
      <c r="CT434"/>
      <c r="CU434"/>
      <c r="CV434"/>
      <c r="CW434"/>
      <c r="CX434"/>
      <c r="CY434"/>
    </row>
    <row r="435" spans="50:103" ht="20.100000000000001" customHeight="1" x14ac:dyDescent="0.25">
      <c r="AX435"/>
      <c r="AY435"/>
      <c r="AZ435"/>
      <c r="BA435"/>
      <c r="BB435"/>
      <c r="BC435"/>
      <c r="BD435"/>
      <c r="BE435"/>
      <c r="BF435"/>
      <c r="BG435"/>
      <c r="BH435"/>
      <c r="BI435"/>
      <c r="BJ435"/>
      <c r="BK435"/>
      <c r="BL435"/>
      <c r="BM435"/>
      <c r="BN435"/>
      <c r="BO435"/>
      <c r="BP435"/>
      <c r="BQ435"/>
      <c r="BR435"/>
      <c r="BY435"/>
      <c r="BZ435"/>
      <c r="CA435"/>
      <c r="CB435"/>
      <c r="CC435"/>
      <c r="CD435"/>
      <c r="CE435"/>
      <c r="CF435"/>
      <c r="CG435"/>
      <c r="CH435"/>
      <c r="CI435"/>
      <c r="CJ435"/>
      <c r="CK435"/>
      <c r="CL435"/>
      <c r="CM435"/>
      <c r="CN435"/>
      <c r="CO435"/>
      <c r="CP435"/>
      <c r="CQ435"/>
      <c r="CR435"/>
      <c r="CS435"/>
      <c r="CT435"/>
      <c r="CU435"/>
      <c r="CV435"/>
      <c r="CW435"/>
      <c r="CX435"/>
      <c r="CY435"/>
    </row>
    <row r="436" spans="50:103" ht="20.100000000000001" customHeight="1" x14ac:dyDescent="0.25">
      <c r="AX436"/>
      <c r="AY436"/>
      <c r="AZ436"/>
      <c r="BA436"/>
      <c r="BB436"/>
      <c r="BC436"/>
      <c r="BD436"/>
      <c r="BE436"/>
      <c r="BF436"/>
      <c r="BG436"/>
      <c r="BH436"/>
      <c r="BI436"/>
      <c r="BJ436"/>
      <c r="BK436"/>
      <c r="BL436"/>
      <c r="BM436"/>
      <c r="BN436"/>
      <c r="BO436"/>
      <c r="BP436"/>
      <c r="BQ436"/>
      <c r="BR436"/>
      <c r="BY436"/>
      <c r="BZ436"/>
      <c r="CA436"/>
      <c r="CB436"/>
      <c r="CC436"/>
      <c r="CD436"/>
      <c r="CE436"/>
      <c r="CF436"/>
      <c r="CG436"/>
      <c r="CH436"/>
      <c r="CI436"/>
      <c r="CJ436"/>
      <c r="CK436"/>
      <c r="CL436"/>
      <c r="CM436"/>
      <c r="CN436"/>
      <c r="CO436"/>
      <c r="CP436"/>
      <c r="CQ436"/>
      <c r="CR436"/>
      <c r="CS436"/>
      <c r="CT436"/>
      <c r="CU436"/>
      <c r="CV436"/>
      <c r="CW436"/>
      <c r="CX436"/>
      <c r="CY436"/>
    </row>
    <row r="437" spans="50:103" ht="20.100000000000001" customHeight="1" x14ac:dyDescent="0.25">
      <c r="AX437"/>
      <c r="AY437"/>
      <c r="AZ437"/>
      <c r="BA437"/>
      <c r="BB437"/>
      <c r="BC437"/>
      <c r="BD437"/>
      <c r="BE437"/>
      <c r="BF437"/>
      <c r="BG437"/>
      <c r="BH437"/>
      <c r="BI437"/>
      <c r="BJ437"/>
      <c r="BK437"/>
      <c r="BL437"/>
      <c r="BM437"/>
      <c r="BN437"/>
      <c r="BO437"/>
      <c r="BP437"/>
      <c r="BQ437"/>
      <c r="BR437"/>
      <c r="BY437"/>
      <c r="BZ437"/>
      <c r="CA437"/>
      <c r="CB437"/>
      <c r="CC437"/>
      <c r="CD437"/>
      <c r="CE437"/>
      <c r="CF437"/>
      <c r="CG437"/>
      <c r="CH437"/>
      <c r="CI437"/>
      <c r="CJ437"/>
      <c r="CK437"/>
      <c r="CL437"/>
      <c r="CM437"/>
      <c r="CN437"/>
      <c r="CO437"/>
      <c r="CP437"/>
      <c r="CQ437"/>
      <c r="CR437"/>
      <c r="CS437"/>
      <c r="CT437"/>
      <c r="CU437"/>
      <c r="CV437"/>
      <c r="CW437"/>
      <c r="CX437"/>
      <c r="CY437"/>
    </row>
    <row r="438" spans="50:103" ht="20.100000000000001" customHeight="1" x14ac:dyDescent="0.25">
      <c r="AX438"/>
      <c r="AY438"/>
      <c r="AZ438"/>
      <c r="BA438"/>
      <c r="BB438"/>
      <c r="BC438"/>
      <c r="BD438"/>
      <c r="BE438"/>
      <c r="BF438"/>
      <c r="BG438"/>
      <c r="BH438"/>
      <c r="BI438"/>
      <c r="BJ438"/>
      <c r="BK438"/>
      <c r="BL438"/>
      <c r="BM438"/>
      <c r="BN438"/>
      <c r="BO438"/>
      <c r="BP438"/>
      <c r="BQ438"/>
      <c r="BR438"/>
      <c r="BY438"/>
      <c r="BZ438"/>
      <c r="CA438"/>
      <c r="CB438"/>
      <c r="CC438"/>
      <c r="CD438"/>
      <c r="CE438"/>
      <c r="CF438"/>
      <c r="CG438"/>
      <c r="CH438"/>
      <c r="CI438"/>
      <c r="CJ438"/>
      <c r="CK438"/>
      <c r="CL438"/>
      <c r="CM438"/>
      <c r="CN438"/>
      <c r="CO438"/>
      <c r="CP438"/>
      <c r="CQ438"/>
      <c r="CR438"/>
      <c r="CS438"/>
      <c r="CT438"/>
      <c r="CU438"/>
      <c r="CV438"/>
      <c r="CW438"/>
      <c r="CX438"/>
      <c r="CY438"/>
    </row>
    <row r="439" spans="50:103" ht="20.100000000000001" customHeight="1" x14ac:dyDescent="0.25">
      <c r="AX439"/>
      <c r="AY439"/>
      <c r="AZ439"/>
      <c r="BA439"/>
      <c r="BB439"/>
      <c r="BC439"/>
      <c r="BD439"/>
      <c r="BE439"/>
      <c r="BF439"/>
      <c r="BG439"/>
      <c r="BH439"/>
      <c r="BI439"/>
      <c r="BJ439"/>
      <c r="BK439"/>
      <c r="BL439"/>
      <c r="BM439"/>
      <c r="BN439"/>
      <c r="BO439"/>
      <c r="BP439"/>
      <c r="BQ439"/>
      <c r="BR439"/>
      <c r="BY439"/>
      <c r="BZ439"/>
      <c r="CA439"/>
      <c r="CB439"/>
      <c r="CC439"/>
      <c r="CD439"/>
      <c r="CE439"/>
      <c r="CF439"/>
      <c r="CG439"/>
      <c r="CH439"/>
      <c r="CI439"/>
      <c r="CJ439"/>
      <c r="CK439"/>
      <c r="CL439"/>
      <c r="CM439"/>
      <c r="CN439"/>
      <c r="CO439"/>
      <c r="CP439"/>
      <c r="CQ439"/>
      <c r="CR439"/>
      <c r="CS439"/>
      <c r="CT439"/>
      <c r="CU439"/>
      <c r="CV439"/>
      <c r="CW439"/>
      <c r="CX439"/>
      <c r="CY439"/>
    </row>
    <row r="440" spans="50:103" ht="20.100000000000001" customHeight="1" x14ac:dyDescent="0.25">
      <c r="AX440"/>
      <c r="AY440"/>
      <c r="AZ440"/>
      <c r="BA440"/>
      <c r="BB440"/>
      <c r="BC440"/>
      <c r="BD440"/>
      <c r="BE440"/>
      <c r="BF440"/>
      <c r="BG440"/>
      <c r="BH440"/>
      <c r="BI440"/>
      <c r="BJ440"/>
      <c r="BK440"/>
      <c r="BL440"/>
      <c r="BM440"/>
      <c r="BN440"/>
      <c r="BO440"/>
      <c r="BP440"/>
      <c r="BQ440"/>
      <c r="BR440"/>
      <c r="BY440"/>
      <c r="BZ440"/>
      <c r="CA440"/>
      <c r="CB440"/>
      <c r="CC440"/>
      <c r="CD440"/>
      <c r="CE440"/>
      <c r="CF440"/>
      <c r="CG440"/>
      <c r="CH440"/>
      <c r="CI440"/>
      <c r="CJ440"/>
      <c r="CK440"/>
      <c r="CL440"/>
      <c r="CM440"/>
      <c r="CN440"/>
      <c r="CO440"/>
      <c r="CP440"/>
      <c r="CQ440"/>
      <c r="CR440"/>
      <c r="CS440"/>
      <c r="CT440"/>
      <c r="CU440"/>
      <c r="CV440"/>
      <c r="CW440"/>
      <c r="CX440"/>
      <c r="CY440"/>
    </row>
    <row r="441" spans="50:103" ht="20.100000000000001" customHeight="1" x14ac:dyDescent="0.25">
      <c r="AX441"/>
      <c r="AY441"/>
      <c r="AZ441"/>
      <c r="BA441"/>
      <c r="BB441"/>
      <c r="BC441"/>
      <c r="BD441"/>
      <c r="BE441"/>
      <c r="BF441"/>
      <c r="BG441"/>
      <c r="BH441"/>
      <c r="BI441"/>
      <c r="BJ441"/>
      <c r="BK441"/>
      <c r="BL441"/>
      <c r="BM441"/>
      <c r="BN441"/>
      <c r="BO441"/>
      <c r="BP441"/>
      <c r="BQ441"/>
      <c r="BR441"/>
      <c r="BY441"/>
      <c r="BZ441"/>
      <c r="CA441"/>
      <c r="CB441"/>
      <c r="CC441"/>
      <c r="CD441"/>
      <c r="CE441"/>
      <c r="CF441"/>
      <c r="CG441"/>
      <c r="CH441"/>
      <c r="CI441"/>
      <c r="CJ441"/>
      <c r="CK441"/>
      <c r="CL441"/>
      <c r="CM441"/>
      <c r="CN441"/>
      <c r="CO441"/>
      <c r="CP441"/>
      <c r="CQ441"/>
      <c r="CR441"/>
      <c r="CS441"/>
      <c r="CT441"/>
      <c r="CU441"/>
      <c r="CV441"/>
      <c r="CW441"/>
      <c r="CX441"/>
      <c r="CY441"/>
    </row>
    <row r="442" spans="50:103" ht="20.100000000000001" customHeight="1" x14ac:dyDescent="0.25">
      <c r="AX442"/>
      <c r="AY442"/>
      <c r="AZ442"/>
      <c r="BA442"/>
      <c r="BB442"/>
      <c r="BC442"/>
      <c r="BD442"/>
      <c r="BE442"/>
      <c r="BF442"/>
      <c r="BG442"/>
      <c r="BH442"/>
      <c r="BI442"/>
      <c r="BJ442"/>
      <c r="BK442"/>
      <c r="BL442"/>
      <c r="BM442"/>
      <c r="BN442"/>
      <c r="BO442"/>
      <c r="BP442"/>
      <c r="BQ442"/>
      <c r="BR442"/>
      <c r="BY442"/>
      <c r="BZ442"/>
      <c r="CA442"/>
      <c r="CB442"/>
      <c r="CC442"/>
      <c r="CD442"/>
      <c r="CE442"/>
      <c r="CF442"/>
      <c r="CG442"/>
      <c r="CH442"/>
      <c r="CI442"/>
      <c r="CJ442"/>
      <c r="CK442"/>
      <c r="CL442"/>
      <c r="CM442"/>
      <c r="CN442"/>
      <c r="CO442"/>
      <c r="CP442"/>
      <c r="CQ442"/>
      <c r="CR442"/>
      <c r="CS442"/>
      <c r="CT442"/>
      <c r="CU442"/>
      <c r="CV442"/>
      <c r="CW442"/>
      <c r="CX442"/>
      <c r="CY442"/>
    </row>
    <row r="443" spans="50:103" ht="20.100000000000001" customHeight="1" x14ac:dyDescent="0.25">
      <c r="AX443"/>
      <c r="AY443"/>
      <c r="AZ443"/>
      <c r="BA443"/>
      <c r="BB443"/>
      <c r="BC443"/>
      <c r="BD443"/>
      <c r="BE443"/>
      <c r="BF443"/>
      <c r="BG443"/>
      <c r="BH443"/>
      <c r="BI443"/>
      <c r="BJ443"/>
      <c r="BK443"/>
      <c r="BL443"/>
      <c r="BM443"/>
      <c r="BN443"/>
      <c r="BO443"/>
      <c r="BP443"/>
      <c r="BQ443"/>
      <c r="BR443"/>
      <c r="BY443"/>
      <c r="BZ443"/>
      <c r="CA443"/>
      <c r="CB443"/>
      <c r="CC443"/>
      <c r="CD443"/>
      <c r="CE443"/>
      <c r="CF443"/>
      <c r="CG443"/>
      <c r="CH443"/>
      <c r="CI443"/>
      <c r="CJ443"/>
      <c r="CK443"/>
      <c r="CL443"/>
      <c r="CM443"/>
      <c r="CN443"/>
      <c r="CO443"/>
      <c r="CP443"/>
      <c r="CQ443"/>
      <c r="CR443"/>
      <c r="CS443"/>
      <c r="CT443"/>
      <c r="CU443"/>
      <c r="CV443"/>
      <c r="CW443"/>
      <c r="CX443"/>
      <c r="CY443"/>
    </row>
    <row r="444" spans="50:103" ht="20.100000000000001" customHeight="1" x14ac:dyDescent="0.25">
      <c r="AX444"/>
      <c r="AY444"/>
      <c r="AZ444"/>
      <c r="BA444"/>
      <c r="BB444"/>
      <c r="BC444"/>
      <c r="BD444"/>
      <c r="BE444"/>
      <c r="BF444"/>
      <c r="BG444"/>
      <c r="BH444"/>
      <c r="BI444"/>
      <c r="BJ444"/>
      <c r="BK444"/>
      <c r="BL444"/>
      <c r="BM444"/>
      <c r="BN444"/>
      <c r="BO444"/>
      <c r="BP444"/>
      <c r="BQ444"/>
      <c r="BR444"/>
      <c r="BY444"/>
      <c r="BZ444"/>
      <c r="CA444"/>
      <c r="CB444"/>
      <c r="CC444"/>
      <c r="CD444"/>
      <c r="CE444"/>
      <c r="CF444"/>
      <c r="CG444"/>
      <c r="CH444"/>
      <c r="CI444"/>
      <c r="CJ444"/>
      <c r="CK444"/>
      <c r="CL444"/>
      <c r="CM444"/>
      <c r="CN444"/>
      <c r="CO444"/>
      <c r="CP444"/>
      <c r="CQ444"/>
      <c r="CR444"/>
      <c r="CS444"/>
      <c r="CT444"/>
      <c r="CU444"/>
      <c r="CV444"/>
      <c r="CW444"/>
      <c r="CX444"/>
      <c r="CY444"/>
    </row>
    <row r="445" spans="50:103" ht="20.100000000000001" customHeight="1" x14ac:dyDescent="0.25">
      <c r="AX445"/>
      <c r="AY445"/>
      <c r="AZ445"/>
      <c r="BA445"/>
      <c r="BB445"/>
      <c r="BC445"/>
      <c r="BD445"/>
      <c r="BE445"/>
      <c r="BF445"/>
      <c r="BG445"/>
      <c r="BH445"/>
      <c r="BI445"/>
      <c r="BJ445"/>
      <c r="BK445"/>
      <c r="BL445"/>
      <c r="BM445"/>
      <c r="BN445"/>
      <c r="BO445"/>
      <c r="BP445"/>
      <c r="BQ445"/>
      <c r="BR445"/>
      <c r="BY445"/>
      <c r="BZ445"/>
      <c r="CA445"/>
      <c r="CB445"/>
      <c r="CC445"/>
      <c r="CD445"/>
      <c r="CE445"/>
      <c r="CF445"/>
      <c r="CG445"/>
      <c r="CH445"/>
      <c r="CI445"/>
      <c r="CJ445"/>
      <c r="CK445"/>
      <c r="CL445"/>
      <c r="CM445"/>
      <c r="CN445"/>
      <c r="CO445"/>
      <c r="CP445"/>
      <c r="CQ445"/>
      <c r="CR445"/>
      <c r="CS445"/>
      <c r="CT445"/>
      <c r="CU445"/>
      <c r="CV445"/>
      <c r="CW445"/>
      <c r="CX445"/>
      <c r="CY445"/>
    </row>
    <row r="446" spans="50:103" ht="20.100000000000001" customHeight="1" x14ac:dyDescent="0.25">
      <c r="AX446"/>
      <c r="AY446"/>
      <c r="AZ446"/>
      <c r="BA446"/>
      <c r="BB446"/>
      <c r="BC446"/>
      <c r="BD446"/>
      <c r="BE446"/>
      <c r="BF446"/>
      <c r="BG446"/>
      <c r="BH446"/>
      <c r="BI446"/>
      <c r="BJ446"/>
      <c r="BK446"/>
      <c r="BL446"/>
      <c r="BM446"/>
      <c r="BN446"/>
      <c r="BO446"/>
      <c r="BP446"/>
      <c r="BQ446"/>
      <c r="BR446"/>
      <c r="BY446"/>
      <c r="BZ446"/>
      <c r="CA446"/>
      <c r="CB446"/>
      <c r="CC446"/>
      <c r="CD446"/>
      <c r="CE446"/>
      <c r="CF446"/>
      <c r="CG446"/>
      <c r="CH446"/>
      <c r="CI446"/>
      <c r="CJ446"/>
      <c r="CK446"/>
      <c r="CL446"/>
      <c r="CM446"/>
      <c r="CN446"/>
      <c r="CO446"/>
      <c r="CP446"/>
      <c r="CQ446"/>
      <c r="CR446"/>
      <c r="CS446"/>
      <c r="CT446"/>
      <c r="CU446"/>
      <c r="CV446"/>
      <c r="CW446"/>
      <c r="CX446"/>
      <c r="CY446"/>
    </row>
    <row r="447" spans="50:103" ht="20.100000000000001" customHeight="1" x14ac:dyDescent="0.25">
      <c r="AX447"/>
      <c r="AY447"/>
      <c r="AZ447"/>
      <c r="BA447"/>
      <c r="BB447"/>
      <c r="BC447"/>
      <c r="BD447"/>
      <c r="BE447"/>
      <c r="BF447"/>
      <c r="BG447"/>
      <c r="BH447"/>
      <c r="BI447"/>
      <c r="BJ447"/>
      <c r="BK447"/>
      <c r="BL447"/>
      <c r="BM447"/>
      <c r="BN447"/>
      <c r="BO447"/>
      <c r="BP447"/>
      <c r="BQ447"/>
      <c r="BR447"/>
      <c r="BY447"/>
      <c r="BZ447"/>
      <c r="CA447"/>
      <c r="CB447"/>
      <c r="CC447"/>
      <c r="CD447"/>
      <c r="CE447"/>
      <c r="CF447"/>
      <c r="CG447"/>
      <c r="CH447"/>
      <c r="CI447"/>
      <c r="CJ447"/>
      <c r="CK447"/>
      <c r="CL447"/>
      <c r="CM447"/>
      <c r="CN447"/>
      <c r="CO447"/>
      <c r="CP447"/>
      <c r="CQ447"/>
      <c r="CR447"/>
      <c r="CS447"/>
      <c r="CT447"/>
      <c r="CU447"/>
      <c r="CV447"/>
      <c r="CW447"/>
      <c r="CX447"/>
      <c r="CY447"/>
    </row>
    <row r="448" spans="50:103" ht="20.100000000000001" customHeight="1" x14ac:dyDescent="0.25">
      <c r="AX448"/>
      <c r="AY448"/>
      <c r="AZ448"/>
      <c r="BA448"/>
      <c r="BB448"/>
      <c r="BC448"/>
      <c r="BD448"/>
      <c r="BE448"/>
      <c r="BF448"/>
      <c r="BG448"/>
      <c r="BH448"/>
      <c r="BI448"/>
      <c r="BJ448"/>
      <c r="BK448"/>
      <c r="BL448"/>
      <c r="BM448"/>
      <c r="BN448"/>
      <c r="BO448"/>
      <c r="BP448"/>
      <c r="BQ448"/>
      <c r="BR448"/>
      <c r="BY448"/>
      <c r="BZ448"/>
      <c r="CA448"/>
      <c r="CB448"/>
      <c r="CC448"/>
      <c r="CD448"/>
      <c r="CE448"/>
      <c r="CF448"/>
      <c r="CG448"/>
      <c r="CH448"/>
      <c r="CI448"/>
      <c r="CJ448"/>
      <c r="CK448"/>
      <c r="CL448"/>
      <c r="CM448"/>
      <c r="CN448"/>
      <c r="CO448"/>
      <c r="CP448"/>
      <c r="CQ448"/>
      <c r="CR448"/>
      <c r="CS448"/>
      <c r="CT448"/>
      <c r="CU448"/>
      <c r="CV448"/>
      <c r="CW448"/>
      <c r="CX448"/>
      <c r="CY448"/>
    </row>
    <row r="449" spans="50:103" ht="20.100000000000001" customHeight="1" x14ac:dyDescent="0.25">
      <c r="AX449"/>
      <c r="AY449"/>
      <c r="AZ449"/>
      <c r="BA449"/>
      <c r="BB449"/>
      <c r="BC449"/>
      <c r="BD449"/>
      <c r="BE449"/>
      <c r="BF449"/>
      <c r="BG449"/>
      <c r="BH449"/>
      <c r="BI449"/>
      <c r="BJ449"/>
      <c r="BK449"/>
      <c r="BL449"/>
      <c r="BM449"/>
      <c r="BN449"/>
      <c r="BO449"/>
      <c r="BP449"/>
      <c r="BQ449"/>
      <c r="BR449"/>
      <c r="BY449"/>
      <c r="BZ449"/>
      <c r="CA449"/>
      <c r="CB449"/>
      <c r="CC449"/>
      <c r="CD449"/>
      <c r="CE449"/>
      <c r="CF449"/>
      <c r="CG449"/>
      <c r="CH449"/>
      <c r="CI449"/>
      <c r="CJ449"/>
      <c r="CK449"/>
      <c r="CL449"/>
      <c r="CM449"/>
      <c r="CN449"/>
      <c r="CO449"/>
      <c r="CP449"/>
      <c r="CQ449"/>
      <c r="CR449"/>
      <c r="CS449"/>
      <c r="CT449"/>
      <c r="CU449"/>
      <c r="CV449"/>
      <c r="CW449"/>
      <c r="CX449"/>
      <c r="CY449"/>
    </row>
    <row r="450" spans="50:103" ht="20.100000000000001" customHeight="1" x14ac:dyDescent="0.25">
      <c r="AX450"/>
      <c r="AY450"/>
      <c r="AZ450"/>
      <c r="BA450"/>
      <c r="BB450"/>
      <c r="BC450"/>
      <c r="BD450"/>
      <c r="BE450"/>
      <c r="BF450"/>
      <c r="BG450"/>
      <c r="BH450"/>
      <c r="BI450"/>
      <c r="BJ450"/>
      <c r="BK450"/>
      <c r="BL450"/>
      <c r="BM450"/>
      <c r="BN450"/>
      <c r="BO450"/>
      <c r="BP450"/>
      <c r="BQ450"/>
      <c r="BR450"/>
      <c r="BY450"/>
      <c r="BZ450"/>
      <c r="CA450"/>
      <c r="CB450"/>
      <c r="CC450"/>
      <c r="CD450"/>
      <c r="CE450"/>
      <c r="CF450"/>
      <c r="CG450"/>
      <c r="CH450"/>
      <c r="CI450"/>
      <c r="CJ450"/>
      <c r="CK450"/>
      <c r="CL450"/>
      <c r="CM450"/>
      <c r="CN450"/>
      <c r="CO450"/>
      <c r="CP450"/>
      <c r="CQ450"/>
      <c r="CR450"/>
      <c r="CS450"/>
      <c r="CT450"/>
      <c r="CU450"/>
      <c r="CV450"/>
      <c r="CW450"/>
      <c r="CX450"/>
      <c r="CY450"/>
    </row>
    <row r="451" spans="50:103" ht="20.100000000000001" customHeight="1" x14ac:dyDescent="0.25">
      <c r="AX451"/>
      <c r="AY451"/>
      <c r="AZ451"/>
      <c r="BA451"/>
      <c r="BB451"/>
      <c r="BC451"/>
      <c r="BD451"/>
      <c r="BE451"/>
      <c r="BF451"/>
      <c r="BG451"/>
      <c r="BH451"/>
      <c r="BI451"/>
      <c r="BJ451"/>
      <c r="BK451"/>
      <c r="BL451"/>
      <c r="BM451"/>
      <c r="BN451"/>
      <c r="BO451"/>
      <c r="BP451"/>
      <c r="BQ451"/>
      <c r="BR451"/>
      <c r="BY451"/>
      <c r="BZ451"/>
      <c r="CA451"/>
      <c r="CB451"/>
      <c r="CC451"/>
      <c r="CD451"/>
      <c r="CE451"/>
      <c r="CF451"/>
      <c r="CG451"/>
      <c r="CH451"/>
      <c r="CI451"/>
      <c r="CJ451"/>
      <c r="CK451"/>
      <c r="CL451"/>
      <c r="CM451"/>
      <c r="CN451"/>
      <c r="CO451"/>
      <c r="CP451"/>
      <c r="CQ451"/>
      <c r="CR451"/>
      <c r="CS451"/>
      <c r="CT451"/>
      <c r="CU451"/>
      <c r="CV451"/>
      <c r="CW451"/>
      <c r="CX451"/>
      <c r="CY451"/>
    </row>
    <row r="452" spans="50:103" ht="20.100000000000001" customHeight="1" x14ac:dyDescent="0.25">
      <c r="AX452"/>
      <c r="AY452"/>
      <c r="AZ452"/>
      <c r="BA452"/>
      <c r="BB452"/>
      <c r="BC452"/>
      <c r="BD452"/>
      <c r="BE452"/>
      <c r="BF452"/>
      <c r="BG452"/>
      <c r="BH452"/>
      <c r="BI452"/>
      <c r="BJ452"/>
      <c r="BK452"/>
      <c r="BL452"/>
      <c r="BM452"/>
      <c r="BN452"/>
      <c r="BO452"/>
      <c r="BP452"/>
      <c r="BQ452"/>
      <c r="BR452"/>
      <c r="BY452"/>
      <c r="BZ452"/>
      <c r="CA452"/>
      <c r="CB452"/>
      <c r="CC452"/>
      <c r="CD452"/>
      <c r="CE452"/>
      <c r="CF452"/>
      <c r="CG452"/>
      <c r="CH452"/>
      <c r="CI452"/>
      <c r="CJ452"/>
      <c r="CK452"/>
      <c r="CL452"/>
      <c r="CM452"/>
      <c r="CN452"/>
      <c r="CO452"/>
      <c r="CP452"/>
      <c r="CQ452"/>
      <c r="CR452"/>
      <c r="CS452"/>
      <c r="CT452"/>
      <c r="CU452"/>
      <c r="CV452"/>
      <c r="CW452"/>
      <c r="CX452"/>
      <c r="CY452"/>
    </row>
    <row r="453" spans="50:103" ht="20.100000000000001" customHeight="1" x14ac:dyDescent="0.25">
      <c r="AX453"/>
      <c r="AY453"/>
      <c r="AZ453"/>
      <c r="BA453"/>
      <c r="BB453"/>
      <c r="BC453"/>
      <c r="BD453"/>
      <c r="BE453"/>
      <c r="BF453"/>
      <c r="BG453"/>
      <c r="BH453"/>
      <c r="BI453"/>
      <c r="BJ453"/>
      <c r="BK453"/>
      <c r="BL453"/>
      <c r="BM453"/>
      <c r="BN453"/>
      <c r="BO453"/>
      <c r="BP453"/>
      <c r="BQ453"/>
      <c r="BR453"/>
      <c r="BY453"/>
      <c r="BZ453"/>
      <c r="CA453"/>
      <c r="CB453"/>
      <c r="CC453"/>
      <c r="CD453"/>
      <c r="CE453"/>
      <c r="CF453"/>
      <c r="CG453"/>
      <c r="CH453"/>
      <c r="CI453"/>
      <c r="CJ453"/>
      <c r="CK453"/>
      <c r="CL453"/>
      <c r="CM453"/>
      <c r="CN453"/>
      <c r="CO453"/>
      <c r="CP453"/>
      <c r="CQ453"/>
      <c r="CR453"/>
      <c r="CS453"/>
      <c r="CT453"/>
      <c r="CU453"/>
      <c r="CV453"/>
      <c r="CW453"/>
      <c r="CX453"/>
      <c r="CY453"/>
    </row>
    <row r="454" spans="50:103" ht="20.100000000000001" customHeight="1" x14ac:dyDescent="0.25">
      <c r="AX454"/>
      <c r="AY454"/>
      <c r="AZ454"/>
      <c r="BA454"/>
      <c r="BB454"/>
      <c r="BC454"/>
      <c r="BD454"/>
      <c r="BE454"/>
      <c r="BF454"/>
      <c r="BG454"/>
      <c r="BH454"/>
      <c r="BI454"/>
      <c r="BJ454"/>
      <c r="BK454"/>
      <c r="BL454"/>
      <c r="BM454"/>
      <c r="BN454"/>
      <c r="BO454"/>
      <c r="BP454"/>
      <c r="BQ454"/>
      <c r="BR454"/>
      <c r="BY454"/>
      <c r="BZ454"/>
      <c r="CA454"/>
      <c r="CB454"/>
      <c r="CC454"/>
      <c r="CD454"/>
      <c r="CE454"/>
      <c r="CF454"/>
      <c r="CG454"/>
      <c r="CH454"/>
      <c r="CI454"/>
      <c r="CJ454"/>
      <c r="CK454"/>
      <c r="CL454"/>
      <c r="CM454"/>
      <c r="CN454"/>
      <c r="CO454"/>
      <c r="CP454"/>
      <c r="CQ454"/>
      <c r="CR454"/>
      <c r="CS454"/>
      <c r="CT454"/>
      <c r="CU454"/>
      <c r="CV454"/>
      <c r="CW454"/>
      <c r="CX454"/>
      <c r="CY454"/>
    </row>
    <row r="455" spans="50:103" ht="20.100000000000001" customHeight="1" x14ac:dyDescent="0.25">
      <c r="AX455"/>
      <c r="AY455"/>
      <c r="AZ455"/>
      <c r="BA455"/>
      <c r="BB455"/>
      <c r="BC455"/>
      <c r="BD455"/>
      <c r="BE455"/>
      <c r="BF455"/>
      <c r="BG455"/>
      <c r="BH455"/>
      <c r="BI455"/>
      <c r="BJ455"/>
      <c r="BK455"/>
      <c r="BL455"/>
      <c r="BM455"/>
      <c r="BN455"/>
      <c r="BO455"/>
      <c r="BP455"/>
      <c r="BQ455"/>
      <c r="BR455"/>
      <c r="BY455"/>
      <c r="BZ455"/>
      <c r="CA455"/>
      <c r="CB455"/>
      <c r="CC455"/>
      <c r="CD455"/>
      <c r="CE455"/>
      <c r="CF455"/>
      <c r="CG455"/>
      <c r="CH455"/>
      <c r="CI455"/>
      <c r="CJ455"/>
      <c r="CK455"/>
      <c r="CL455"/>
      <c r="CM455"/>
      <c r="CN455"/>
      <c r="CO455"/>
      <c r="CP455"/>
      <c r="CQ455"/>
      <c r="CR455"/>
      <c r="CS455"/>
      <c r="CT455"/>
      <c r="CU455"/>
      <c r="CV455"/>
      <c r="CW455"/>
      <c r="CX455"/>
      <c r="CY455"/>
    </row>
    <row r="456" spans="50:103" ht="20.100000000000001" customHeight="1" x14ac:dyDescent="0.25">
      <c r="AX456"/>
      <c r="AY456"/>
      <c r="AZ456"/>
      <c r="BA456"/>
      <c r="BB456"/>
      <c r="BC456"/>
      <c r="BD456"/>
      <c r="BE456"/>
      <c r="BF456"/>
      <c r="BG456"/>
      <c r="BH456"/>
      <c r="BI456"/>
      <c r="BJ456"/>
      <c r="BK456"/>
      <c r="BL456"/>
      <c r="BM456"/>
      <c r="BN456"/>
      <c r="BO456"/>
      <c r="BP456"/>
      <c r="BQ456"/>
      <c r="BR456"/>
      <c r="BY456"/>
      <c r="BZ456"/>
      <c r="CA456"/>
      <c r="CB456"/>
      <c r="CC456"/>
      <c r="CD456"/>
      <c r="CE456"/>
      <c r="CF456"/>
      <c r="CG456"/>
      <c r="CH456"/>
      <c r="CI456"/>
      <c r="CJ456"/>
      <c r="CK456"/>
      <c r="CL456"/>
      <c r="CM456"/>
      <c r="CN456"/>
      <c r="CO456"/>
      <c r="CP456"/>
      <c r="CQ456"/>
      <c r="CR456"/>
      <c r="CS456"/>
      <c r="CT456"/>
      <c r="CU456"/>
      <c r="CV456"/>
      <c r="CW456"/>
      <c r="CX456"/>
      <c r="CY456"/>
    </row>
    <row r="457" spans="50:103" ht="20.100000000000001" customHeight="1" x14ac:dyDescent="0.25">
      <c r="AX457"/>
      <c r="AY457"/>
      <c r="AZ457"/>
      <c r="BA457"/>
      <c r="BB457"/>
      <c r="BC457"/>
      <c r="BD457"/>
      <c r="BE457"/>
      <c r="BF457"/>
      <c r="BG457"/>
      <c r="BH457"/>
      <c r="BI457"/>
      <c r="BJ457"/>
      <c r="BK457"/>
      <c r="BL457"/>
      <c r="BM457"/>
      <c r="BN457"/>
      <c r="BO457"/>
      <c r="BP457"/>
      <c r="BQ457"/>
      <c r="BR457"/>
      <c r="BY457"/>
      <c r="BZ457"/>
      <c r="CA457"/>
      <c r="CB457"/>
      <c r="CC457"/>
      <c r="CD457"/>
      <c r="CE457"/>
      <c r="CF457"/>
      <c r="CG457"/>
      <c r="CH457"/>
      <c r="CI457"/>
      <c r="CJ457"/>
      <c r="CK457"/>
      <c r="CL457"/>
      <c r="CM457"/>
      <c r="CN457"/>
      <c r="CO457"/>
      <c r="CP457"/>
      <c r="CQ457"/>
      <c r="CR457"/>
      <c r="CS457"/>
      <c r="CT457"/>
      <c r="CU457"/>
      <c r="CV457"/>
      <c r="CW457"/>
      <c r="CX457"/>
      <c r="CY457"/>
    </row>
    <row r="458" spans="50:103" ht="20.100000000000001" customHeight="1" x14ac:dyDescent="0.25">
      <c r="AX458"/>
      <c r="AY458"/>
      <c r="AZ458"/>
      <c r="BA458"/>
      <c r="BB458"/>
      <c r="BC458"/>
      <c r="BD458"/>
      <c r="BE458"/>
      <c r="BF458"/>
      <c r="BG458"/>
      <c r="BH458"/>
      <c r="BI458"/>
      <c r="BJ458"/>
      <c r="BK458"/>
      <c r="BL458"/>
      <c r="BM458"/>
      <c r="BN458"/>
      <c r="BO458"/>
      <c r="BP458"/>
      <c r="BQ458"/>
      <c r="BR458"/>
      <c r="BY458"/>
      <c r="BZ458"/>
      <c r="CA458"/>
      <c r="CB458"/>
      <c r="CC458"/>
      <c r="CD458"/>
      <c r="CE458"/>
      <c r="CF458"/>
      <c r="CG458"/>
      <c r="CH458"/>
      <c r="CI458"/>
      <c r="CJ458"/>
      <c r="CK458"/>
      <c r="CL458"/>
      <c r="CM458"/>
      <c r="CN458"/>
      <c r="CO458"/>
      <c r="CP458"/>
      <c r="CQ458"/>
      <c r="CR458"/>
      <c r="CS458"/>
      <c r="CT458"/>
      <c r="CU458"/>
      <c r="CV458"/>
      <c r="CW458"/>
      <c r="CX458"/>
      <c r="CY458"/>
    </row>
    <row r="459" spans="50:103" ht="20.100000000000001" customHeight="1" x14ac:dyDescent="0.25">
      <c r="AX459"/>
      <c r="AY459"/>
      <c r="AZ459"/>
      <c r="BA459"/>
      <c r="BB459"/>
      <c r="BC459"/>
      <c r="BD459"/>
      <c r="BE459"/>
      <c r="BF459"/>
      <c r="BG459"/>
      <c r="BH459"/>
      <c r="BI459"/>
      <c r="BJ459"/>
      <c r="BK459"/>
      <c r="BL459"/>
      <c r="BM459"/>
      <c r="BN459"/>
      <c r="BO459"/>
      <c r="BP459"/>
      <c r="BQ459"/>
      <c r="BR459"/>
      <c r="BY459"/>
      <c r="BZ459"/>
      <c r="CA459"/>
      <c r="CB459"/>
      <c r="CC459"/>
      <c r="CD459"/>
      <c r="CE459"/>
      <c r="CF459"/>
      <c r="CG459"/>
      <c r="CH459"/>
      <c r="CI459"/>
      <c r="CJ459"/>
      <c r="CK459"/>
      <c r="CL459"/>
      <c r="CM459"/>
      <c r="CN459"/>
      <c r="CO459"/>
      <c r="CP459"/>
      <c r="CQ459"/>
      <c r="CR459"/>
      <c r="CS459"/>
      <c r="CT459"/>
      <c r="CU459"/>
      <c r="CV459"/>
      <c r="CW459"/>
      <c r="CX459"/>
      <c r="CY459"/>
    </row>
    <row r="460" spans="50:103" ht="20.100000000000001" customHeight="1" x14ac:dyDescent="0.25">
      <c r="AX460"/>
      <c r="AY460"/>
      <c r="AZ460"/>
      <c r="BA460"/>
      <c r="BB460"/>
      <c r="BC460"/>
      <c r="BD460"/>
      <c r="BE460"/>
      <c r="BF460"/>
      <c r="BG460"/>
      <c r="BH460"/>
      <c r="BI460"/>
      <c r="BJ460"/>
      <c r="BK460"/>
      <c r="BL460"/>
      <c r="BM460"/>
      <c r="BN460"/>
      <c r="BO460"/>
      <c r="BP460"/>
      <c r="BQ460"/>
      <c r="BR460"/>
      <c r="BY460"/>
      <c r="BZ460"/>
      <c r="CA460"/>
      <c r="CB460"/>
      <c r="CC460"/>
      <c r="CD460"/>
      <c r="CE460"/>
      <c r="CF460"/>
      <c r="CG460"/>
      <c r="CH460"/>
      <c r="CI460"/>
      <c r="CJ460"/>
      <c r="CK460"/>
      <c r="CL460"/>
      <c r="CM460"/>
      <c r="CN460"/>
      <c r="CO460"/>
      <c r="CP460"/>
      <c r="CQ460"/>
      <c r="CR460"/>
      <c r="CS460"/>
      <c r="CT460"/>
      <c r="CU460"/>
      <c r="CV460"/>
      <c r="CW460"/>
      <c r="CX460"/>
      <c r="CY460"/>
    </row>
    <row r="461" spans="50:103" ht="20.100000000000001" customHeight="1" x14ac:dyDescent="0.25">
      <c r="AX461"/>
      <c r="AY461"/>
      <c r="AZ461"/>
      <c r="BA461"/>
      <c r="BB461"/>
      <c r="BC461"/>
      <c r="BD461"/>
      <c r="BE461"/>
      <c r="BF461"/>
      <c r="BG461"/>
      <c r="BH461"/>
      <c r="BI461"/>
      <c r="BJ461"/>
      <c r="BK461"/>
      <c r="BL461"/>
      <c r="BM461"/>
      <c r="BN461"/>
      <c r="BO461"/>
      <c r="BP461"/>
      <c r="BQ461"/>
      <c r="BR461"/>
      <c r="BY461"/>
      <c r="BZ461"/>
      <c r="CA461"/>
      <c r="CB461"/>
      <c r="CC461"/>
      <c r="CD461"/>
      <c r="CE461"/>
      <c r="CF461"/>
      <c r="CG461"/>
      <c r="CH461"/>
      <c r="CI461"/>
      <c r="CJ461"/>
      <c r="CK461"/>
      <c r="CL461"/>
      <c r="CM461"/>
      <c r="CN461"/>
      <c r="CO461"/>
      <c r="CP461"/>
      <c r="CQ461"/>
      <c r="CR461"/>
      <c r="CS461"/>
      <c r="CT461"/>
      <c r="CU461"/>
      <c r="CV461"/>
      <c r="CW461"/>
      <c r="CX461"/>
      <c r="CY461"/>
    </row>
    <row r="462" spans="50:103" ht="20.100000000000001" customHeight="1" x14ac:dyDescent="0.25">
      <c r="AX462"/>
      <c r="AY462"/>
      <c r="AZ462"/>
      <c r="BA462"/>
      <c r="BB462"/>
      <c r="BC462"/>
      <c r="BD462"/>
      <c r="BE462"/>
      <c r="BF462"/>
      <c r="BG462"/>
      <c r="BH462"/>
      <c r="BI462"/>
      <c r="BJ462"/>
      <c r="BK462"/>
      <c r="BL462"/>
      <c r="BM462"/>
      <c r="BN462"/>
      <c r="BO462"/>
      <c r="BP462"/>
      <c r="BQ462"/>
      <c r="BR462"/>
      <c r="BY462"/>
      <c r="BZ462"/>
      <c r="CA462"/>
      <c r="CB462"/>
      <c r="CC462"/>
      <c r="CD462"/>
      <c r="CE462"/>
      <c r="CF462"/>
      <c r="CG462"/>
      <c r="CH462"/>
      <c r="CI462"/>
      <c r="CJ462"/>
      <c r="CK462"/>
      <c r="CL462"/>
      <c r="CM462"/>
      <c r="CN462"/>
      <c r="CO462"/>
      <c r="CP462"/>
      <c r="CQ462"/>
      <c r="CR462"/>
      <c r="CS462"/>
      <c r="CT462"/>
      <c r="CU462"/>
      <c r="CV462"/>
      <c r="CW462"/>
      <c r="CX462"/>
      <c r="CY462"/>
    </row>
    <row r="463" spans="50:103" ht="20.100000000000001" customHeight="1" x14ac:dyDescent="0.25">
      <c r="AX463"/>
      <c r="AY463"/>
      <c r="AZ463"/>
      <c r="BA463"/>
      <c r="BB463"/>
      <c r="BC463"/>
      <c r="BD463"/>
      <c r="BE463"/>
      <c r="BF463"/>
      <c r="BG463"/>
      <c r="BH463"/>
      <c r="BI463"/>
      <c r="BJ463"/>
      <c r="BK463"/>
      <c r="BL463"/>
      <c r="BM463"/>
      <c r="BN463"/>
      <c r="BO463"/>
      <c r="BP463"/>
      <c r="BQ463"/>
      <c r="BR463"/>
      <c r="BY463"/>
      <c r="BZ463"/>
      <c r="CA463"/>
      <c r="CB463"/>
      <c r="CC463"/>
      <c r="CD463"/>
      <c r="CE463"/>
      <c r="CF463"/>
      <c r="CG463"/>
      <c r="CH463"/>
      <c r="CI463"/>
      <c r="CJ463"/>
      <c r="CK463"/>
      <c r="CL463"/>
      <c r="CM463"/>
      <c r="CN463"/>
      <c r="CO463"/>
      <c r="CP463"/>
      <c r="CQ463"/>
      <c r="CR463"/>
      <c r="CS463"/>
      <c r="CT463"/>
      <c r="CU463"/>
      <c r="CV463"/>
      <c r="CW463"/>
      <c r="CX463"/>
      <c r="CY463"/>
    </row>
    <row r="464" spans="50:103" ht="20.100000000000001" customHeight="1" x14ac:dyDescent="0.25">
      <c r="AX464"/>
      <c r="AY464"/>
      <c r="AZ464"/>
      <c r="BA464"/>
      <c r="BB464"/>
      <c r="BC464"/>
      <c r="BD464"/>
      <c r="BE464"/>
      <c r="BF464"/>
      <c r="BG464"/>
      <c r="BH464"/>
      <c r="BI464"/>
      <c r="BJ464"/>
      <c r="BK464"/>
      <c r="BL464"/>
      <c r="BM464"/>
      <c r="BN464"/>
      <c r="BO464"/>
      <c r="BP464"/>
      <c r="BQ464"/>
      <c r="BR464"/>
      <c r="BY464"/>
      <c r="BZ464"/>
      <c r="CA464"/>
      <c r="CB464"/>
      <c r="CC464"/>
      <c r="CD464"/>
      <c r="CE464"/>
      <c r="CF464"/>
      <c r="CG464"/>
      <c r="CH464"/>
      <c r="CI464"/>
      <c r="CJ464"/>
      <c r="CK464"/>
      <c r="CL464"/>
      <c r="CM464"/>
      <c r="CN464"/>
      <c r="CO464"/>
      <c r="CP464"/>
      <c r="CQ464"/>
      <c r="CR464"/>
      <c r="CS464"/>
      <c r="CT464"/>
      <c r="CU464"/>
      <c r="CV464"/>
      <c r="CW464"/>
      <c r="CX464"/>
      <c r="CY464"/>
    </row>
    <row r="465" spans="50:103" ht="20.100000000000001" customHeight="1" x14ac:dyDescent="0.25">
      <c r="AX465"/>
      <c r="AY465"/>
      <c r="AZ465"/>
      <c r="BA465"/>
      <c r="BB465"/>
      <c r="BC465"/>
      <c r="BD465"/>
      <c r="BE465"/>
      <c r="BF465"/>
      <c r="BG465"/>
      <c r="BH465"/>
      <c r="BI465"/>
      <c r="BJ465"/>
      <c r="BK465"/>
      <c r="BL465"/>
      <c r="BM465"/>
      <c r="BN465"/>
      <c r="BO465"/>
      <c r="BP465"/>
      <c r="BQ465"/>
      <c r="BR465"/>
      <c r="BY465"/>
      <c r="BZ465"/>
      <c r="CA465"/>
      <c r="CB465"/>
      <c r="CC465"/>
      <c r="CD465"/>
      <c r="CE465"/>
      <c r="CF465"/>
      <c r="CG465"/>
      <c r="CH465"/>
      <c r="CI465"/>
      <c r="CJ465"/>
      <c r="CK465"/>
      <c r="CL465"/>
      <c r="CM465"/>
      <c r="CN465"/>
      <c r="CO465"/>
      <c r="CP465"/>
      <c r="CQ465"/>
      <c r="CR465"/>
      <c r="CS465"/>
      <c r="CT465"/>
      <c r="CU465"/>
      <c r="CV465"/>
      <c r="CW465"/>
      <c r="CX465"/>
      <c r="CY465"/>
    </row>
    <row r="466" spans="50:103" ht="20.100000000000001" customHeight="1" x14ac:dyDescent="0.25">
      <c r="AX466"/>
      <c r="AY466"/>
      <c r="AZ466"/>
      <c r="BA466"/>
      <c r="BB466"/>
      <c r="BC466"/>
      <c r="BD466"/>
      <c r="BE466"/>
      <c r="BF466"/>
      <c r="BG466"/>
      <c r="BH466"/>
      <c r="BI466"/>
      <c r="BJ466"/>
      <c r="BK466"/>
      <c r="BL466"/>
      <c r="BM466"/>
      <c r="BN466"/>
      <c r="BO466"/>
      <c r="BP466"/>
      <c r="BQ466"/>
      <c r="BR466"/>
      <c r="BY466"/>
      <c r="BZ466"/>
      <c r="CA466"/>
      <c r="CB466"/>
      <c r="CC466"/>
      <c r="CD466"/>
      <c r="CE466"/>
      <c r="CF466"/>
      <c r="CG466"/>
      <c r="CH466"/>
      <c r="CI466"/>
      <c r="CJ466"/>
      <c r="CK466"/>
      <c r="CL466"/>
      <c r="CM466"/>
      <c r="CN466"/>
      <c r="CO466"/>
      <c r="CP466"/>
      <c r="CQ466"/>
      <c r="CR466"/>
      <c r="CS466"/>
      <c r="CT466"/>
      <c r="CU466"/>
      <c r="CV466"/>
      <c r="CW466"/>
      <c r="CX466"/>
      <c r="CY466"/>
    </row>
    <row r="467" spans="50:103" ht="20.100000000000001" customHeight="1" x14ac:dyDescent="0.25">
      <c r="AX467"/>
      <c r="AY467"/>
      <c r="AZ467"/>
      <c r="BA467"/>
      <c r="BB467"/>
      <c r="BC467"/>
      <c r="BD467"/>
      <c r="BE467"/>
      <c r="BF467"/>
      <c r="BG467"/>
      <c r="BH467"/>
      <c r="BI467"/>
      <c r="BJ467"/>
      <c r="BK467"/>
      <c r="BL467"/>
      <c r="BM467"/>
      <c r="BN467"/>
      <c r="BO467"/>
      <c r="BP467"/>
      <c r="BQ467"/>
      <c r="BR467"/>
      <c r="BY467"/>
      <c r="BZ467"/>
      <c r="CA467"/>
      <c r="CB467"/>
      <c r="CC467"/>
      <c r="CD467"/>
      <c r="CE467"/>
      <c r="CF467"/>
      <c r="CG467"/>
      <c r="CH467"/>
      <c r="CI467"/>
      <c r="CJ467"/>
      <c r="CK467"/>
      <c r="CL467"/>
      <c r="CM467"/>
      <c r="CN467"/>
      <c r="CO467"/>
      <c r="CP467"/>
      <c r="CQ467"/>
      <c r="CR467"/>
      <c r="CS467"/>
      <c r="CT467"/>
      <c r="CU467"/>
      <c r="CV467"/>
      <c r="CW467"/>
      <c r="CX467"/>
      <c r="CY467"/>
    </row>
    <row r="468" spans="50:103" ht="20.100000000000001" customHeight="1" x14ac:dyDescent="0.25">
      <c r="AX468"/>
      <c r="AY468"/>
      <c r="AZ468"/>
      <c r="BA468"/>
      <c r="BB468"/>
      <c r="BC468"/>
      <c r="BD468"/>
      <c r="BE468"/>
      <c r="BF468"/>
      <c r="BG468"/>
      <c r="BH468"/>
      <c r="BI468"/>
      <c r="BJ468"/>
      <c r="BK468"/>
      <c r="BL468"/>
      <c r="BM468"/>
      <c r="BN468"/>
      <c r="BO468"/>
      <c r="BP468"/>
      <c r="BQ468"/>
      <c r="BR468"/>
      <c r="BY468"/>
      <c r="BZ468"/>
      <c r="CA468"/>
      <c r="CB468"/>
      <c r="CC468"/>
      <c r="CD468"/>
      <c r="CE468"/>
      <c r="CF468"/>
      <c r="CG468"/>
      <c r="CH468"/>
      <c r="CI468"/>
      <c r="CJ468"/>
      <c r="CK468"/>
      <c r="CL468"/>
      <c r="CM468"/>
      <c r="CN468"/>
      <c r="CO468"/>
      <c r="CP468"/>
      <c r="CQ468"/>
      <c r="CR468"/>
      <c r="CS468"/>
      <c r="CT468"/>
      <c r="CU468"/>
      <c r="CV468"/>
      <c r="CW468"/>
      <c r="CX468"/>
      <c r="CY468"/>
    </row>
    <row r="469" spans="50:103" ht="20.100000000000001" customHeight="1" x14ac:dyDescent="0.25">
      <c r="AX469"/>
      <c r="AY469"/>
      <c r="AZ469"/>
      <c r="BA469"/>
      <c r="BB469"/>
      <c r="BC469"/>
      <c r="BD469"/>
      <c r="BE469"/>
      <c r="BF469"/>
      <c r="BG469"/>
      <c r="BH469"/>
      <c r="BI469"/>
      <c r="BJ469"/>
      <c r="BK469"/>
      <c r="BL469"/>
      <c r="BM469"/>
      <c r="BN469"/>
      <c r="BO469"/>
      <c r="BP469"/>
      <c r="BQ469"/>
      <c r="BR469"/>
      <c r="BY469"/>
      <c r="BZ469"/>
      <c r="CA469"/>
      <c r="CB469"/>
      <c r="CC469"/>
      <c r="CD469"/>
      <c r="CE469"/>
      <c r="CF469"/>
      <c r="CG469"/>
      <c r="CH469"/>
      <c r="CI469"/>
      <c r="CJ469"/>
      <c r="CK469"/>
      <c r="CL469"/>
      <c r="CM469"/>
      <c r="CN469"/>
      <c r="CO469"/>
      <c r="CP469"/>
      <c r="CQ469"/>
      <c r="CR469"/>
      <c r="CS469"/>
      <c r="CT469"/>
      <c r="CU469"/>
      <c r="CV469"/>
      <c r="CW469"/>
      <c r="CX469"/>
      <c r="CY469"/>
    </row>
    <row r="470" spans="50:103" ht="20.100000000000001" customHeight="1" x14ac:dyDescent="0.25">
      <c r="AX470"/>
      <c r="AY470"/>
      <c r="AZ470"/>
      <c r="BA470"/>
      <c r="BB470"/>
      <c r="BC470"/>
      <c r="BD470"/>
      <c r="BE470"/>
      <c r="BF470"/>
      <c r="BG470"/>
      <c r="BH470"/>
      <c r="BI470"/>
      <c r="BJ470"/>
      <c r="BK470"/>
      <c r="BL470"/>
      <c r="BM470"/>
      <c r="BN470"/>
      <c r="BO470"/>
      <c r="BP470"/>
      <c r="BQ470"/>
      <c r="BR470"/>
      <c r="BY470"/>
      <c r="BZ470"/>
      <c r="CA470"/>
      <c r="CB470"/>
      <c r="CC470"/>
      <c r="CD470"/>
      <c r="CE470"/>
      <c r="CF470"/>
      <c r="CG470"/>
      <c r="CH470"/>
      <c r="CI470"/>
      <c r="CJ470"/>
      <c r="CK470"/>
      <c r="CL470"/>
      <c r="CM470"/>
      <c r="CN470"/>
      <c r="CO470"/>
      <c r="CP470"/>
      <c r="CQ470"/>
      <c r="CR470"/>
      <c r="CS470"/>
      <c r="CT470"/>
      <c r="CU470"/>
      <c r="CV470"/>
      <c r="CW470"/>
      <c r="CX470"/>
      <c r="CY470"/>
    </row>
    <row r="471" spans="50:103" ht="20.100000000000001" customHeight="1" x14ac:dyDescent="0.25">
      <c r="AX471"/>
      <c r="AY471"/>
      <c r="AZ471"/>
      <c r="BA471"/>
      <c r="BB471"/>
      <c r="BC471"/>
      <c r="BD471"/>
      <c r="BE471"/>
      <c r="BF471"/>
      <c r="BG471"/>
      <c r="BH471"/>
      <c r="BI471"/>
      <c r="BJ471"/>
      <c r="BK471"/>
      <c r="BL471"/>
      <c r="BM471"/>
      <c r="BN471"/>
      <c r="BO471"/>
      <c r="BP471"/>
      <c r="BQ471"/>
      <c r="BR471"/>
      <c r="BY471"/>
      <c r="BZ471"/>
      <c r="CA471"/>
      <c r="CB471"/>
      <c r="CC471"/>
      <c r="CD471"/>
      <c r="CE471"/>
      <c r="CF471"/>
      <c r="CG471"/>
      <c r="CH471"/>
      <c r="CI471"/>
      <c r="CJ471"/>
      <c r="CK471"/>
      <c r="CL471"/>
      <c r="CM471"/>
      <c r="CN471"/>
      <c r="CO471"/>
      <c r="CP471"/>
      <c r="CQ471"/>
      <c r="CR471"/>
      <c r="CS471"/>
      <c r="CT471"/>
      <c r="CU471"/>
      <c r="CV471"/>
      <c r="CW471"/>
      <c r="CX471"/>
      <c r="CY471"/>
    </row>
    <row r="472" spans="50:103" ht="20.100000000000001" customHeight="1" x14ac:dyDescent="0.25">
      <c r="AX472"/>
      <c r="AY472"/>
      <c r="AZ472"/>
      <c r="BA472"/>
      <c r="BB472"/>
      <c r="BC472"/>
      <c r="BD472"/>
      <c r="BE472"/>
      <c r="BF472"/>
      <c r="BG472"/>
      <c r="BH472"/>
      <c r="BI472"/>
      <c r="BJ472"/>
      <c r="BK472"/>
      <c r="BL472"/>
      <c r="BM472"/>
      <c r="BN472"/>
      <c r="BO472"/>
      <c r="BP472"/>
      <c r="BQ472"/>
      <c r="BR472"/>
      <c r="BY472"/>
      <c r="BZ472"/>
      <c r="CA472"/>
      <c r="CB472"/>
      <c r="CC472"/>
      <c r="CD472"/>
      <c r="CE472"/>
      <c r="CF472"/>
      <c r="CG472"/>
      <c r="CH472"/>
      <c r="CI472"/>
      <c r="CJ472"/>
      <c r="CK472"/>
      <c r="CL472"/>
      <c r="CM472"/>
      <c r="CN472"/>
      <c r="CO472"/>
      <c r="CP472"/>
      <c r="CQ472"/>
      <c r="CR472"/>
      <c r="CS472"/>
      <c r="CT472"/>
      <c r="CU472"/>
      <c r="CV472"/>
      <c r="CW472"/>
      <c r="CX472"/>
      <c r="CY472"/>
    </row>
    <row r="473" spans="50:103" ht="20.100000000000001" customHeight="1" x14ac:dyDescent="0.25">
      <c r="AX473"/>
      <c r="AY473"/>
      <c r="AZ473"/>
      <c r="BA473"/>
      <c r="BB473"/>
      <c r="BC473"/>
      <c r="BD473"/>
      <c r="BE473"/>
      <c r="BF473"/>
      <c r="BG473"/>
      <c r="BH473"/>
      <c r="BI473"/>
      <c r="BJ473"/>
      <c r="BK473"/>
      <c r="BL473"/>
      <c r="BM473"/>
      <c r="BN473"/>
      <c r="BO473"/>
      <c r="BP473"/>
      <c r="BQ473"/>
      <c r="BR473"/>
      <c r="BY473"/>
      <c r="BZ473"/>
      <c r="CA473"/>
      <c r="CB473"/>
      <c r="CC473"/>
      <c r="CD473"/>
      <c r="CE473"/>
      <c r="CF473"/>
      <c r="CG473"/>
      <c r="CH473"/>
      <c r="CI473"/>
      <c r="CJ473"/>
      <c r="CK473"/>
      <c r="CL473"/>
      <c r="CM473"/>
      <c r="CN473"/>
      <c r="CO473"/>
      <c r="CP473"/>
      <c r="CQ473"/>
      <c r="CR473"/>
      <c r="CS473"/>
      <c r="CT473"/>
      <c r="CU473"/>
      <c r="CV473"/>
      <c r="CW473"/>
      <c r="CX473"/>
      <c r="CY473"/>
    </row>
    <row r="474" spans="50:103" ht="20.100000000000001" customHeight="1" x14ac:dyDescent="0.25">
      <c r="AX474"/>
      <c r="AY474"/>
      <c r="AZ474"/>
      <c r="BA474"/>
      <c r="BB474"/>
      <c r="BC474"/>
      <c r="BD474"/>
      <c r="BE474"/>
      <c r="BF474"/>
      <c r="BG474"/>
      <c r="BH474"/>
      <c r="BI474"/>
      <c r="BJ474"/>
      <c r="BK474"/>
      <c r="BL474"/>
      <c r="BM474"/>
      <c r="BN474"/>
      <c r="BO474"/>
      <c r="BP474"/>
      <c r="BQ474"/>
      <c r="BR474"/>
      <c r="BY474"/>
      <c r="BZ474"/>
      <c r="CA474"/>
      <c r="CB474"/>
      <c r="CC474"/>
      <c r="CD474"/>
      <c r="CE474"/>
      <c r="CF474"/>
      <c r="CG474"/>
      <c r="CH474"/>
      <c r="CI474"/>
      <c r="CJ474"/>
      <c r="CK474"/>
      <c r="CL474"/>
      <c r="CM474"/>
      <c r="CN474"/>
      <c r="CO474"/>
      <c r="CP474"/>
      <c r="CQ474"/>
      <c r="CR474"/>
      <c r="CS474"/>
      <c r="CT474"/>
      <c r="CU474"/>
      <c r="CV474"/>
      <c r="CW474"/>
      <c r="CX474"/>
      <c r="CY474"/>
    </row>
    <row r="475" spans="50:103" ht="20.100000000000001" customHeight="1" x14ac:dyDescent="0.25">
      <c r="AX475"/>
      <c r="AY475"/>
      <c r="AZ475"/>
      <c r="BA475"/>
      <c r="BB475"/>
      <c r="BC475"/>
      <c r="BD475"/>
      <c r="BE475"/>
      <c r="BF475"/>
      <c r="BG475"/>
      <c r="BH475"/>
      <c r="BI475"/>
      <c r="BJ475"/>
      <c r="BK475"/>
      <c r="BL475"/>
      <c r="BM475"/>
      <c r="BN475"/>
      <c r="BO475"/>
      <c r="BP475"/>
      <c r="BQ475"/>
      <c r="BR475"/>
      <c r="BY475"/>
      <c r="BZ475"/>
      <c r="CA475"/>
      <c r="CB475"/>
      <c r="CC475"/>
      <c r="CD475"/>
      <c r="CE475"/>
      <c r="CF475"/>
      <c r="CG475"/>
      <c r="CH475"/>
      <c r="CI475"/>
      <c r="CJ475"/>
      <c r="CK475"/>
      <c r="CL475"/>
      <c r="CM475"/>
      <c r="CN475"/>
      <c r="CO475"/>
      <c r="CP475"/>
      <c r="CQ475"/>
      <c r="CR475"/>
      <c r="CS475"/>
      <c r="CT475"/>
      <c r="CU475"/>
      <c r="CV475"/>
      <c r="CW475"/>
      <c r="CX475"/>
      <c r="CY475"/>
    </row>
    <row r="476" spans="50:103" ht="20.100000000000001" customHeight="1" x14ac:dyDescent="0.25">
      <c r="AX476"/>
      <c r="AY476"/>
      <c r="AZ476"/>
      <c r="BA476"/>
      <c r="BB476"/>
      <c r="BC476"/>
      <c r="BD476"/>
      <c r="BE476"/>
      <c r="BF476"/>
      <c r="BG476"/>
      <c r="BH476"/>
      <c r="BI476"/>
      <c r="BJ476"/>
      <c r="BK476"/>
      <c r="BL476"/>
      <c r="BM476"/>
      <c r="BN476"/>
      <c r="BO476"/>
      <c r="BP476"/>
      <c r="BQ476"/>
      <c r="BR476"/>
      <c r="BY476"/>
      <c r="BZ476"/>
      <c r="CA476"/>
      <c r="CB476"/>
      <c r="CC476"/>
      <c r="CD476"/>
      <c r="CE476"/>
      <c r="CF476"/>
      <c r="CG476"/>
      <c r="CH476"/>
      <c r="CI476"/>
      <c r="CJ476"/>
      <c r="CK476"/>
      <c r="CL476"/>
      <c r="CM476"/>
      <c r="CN476"/>
      <c r="CO476"/>
      <c r="CP476"/>
      <c r="CQ476"/>
      <c r="CR476"/>
      <c r="CS476"/>
      <c r="CT476"/>
      <c r="CU476"/>
      <c r="CV476"/>
      <c r="CW476"/>
      <c r="CX476"/>
      <c r="CY476"/>
    </row>
    <row r="477" spans="50:103" ht="20.100000000000001" customHeight="1" x14ac:dyDescent="0.25">
      <c r="AX477"/>
      <c r="AY477"/>
      <c r="AZ477"/>
      <c r="BA477"/>
      <c r="BB477"/>
      <c r="BC477"/>
      <c r="BD477"/>
      <c r="BE477"/>
      <c r="BF477"/>
      <c r="BG477"/>
      <c r="BH477"/>
      <c r="BI477"/>
      <c r="BJ477"/>
      <c r="BK477"/>
      <c r="BL477"/>
      <c r="BM477"/>
      <c r="BN477"/>
      <c r="BO477"/>
      <c r="BP477"/>
      <c r="BQ477"/>
      <c r="BR477"/>
      <c r="BY477"/>
      <c r="BZ477"/>
      <c r="CA477"/>
      <c r="CB477"/>
      <c r="CC477"/>
      <c r="CD477"/>
      <c r="CE477"/>
      <c r="CF477"/>
      <c r="CG477"/>
      <c r="CH477"/>
      <c r="CI477"/>
      <c r="CJ477"/>
      <c r="CK477"/>
      <c r="CL477"/>
      <c r="CM477"/>
      <c r="CN477"/>
      <c r="CO477"/>
      <c r="CP477"/>
      <c r="CQ477"/>
      <c r="CR477"/>
      <c r="CS477"/>
      <c r="CT477"/>
      <c r="CU477"/>
      <c r="CV477"/>
      <c r="CW477"/>
      <c r="CX477"/>
      <c r="CY477"/>
    </row>
    <row r="478" spans="50:103" ht="20.100000000000001" customHeight="1" x14ac:dyDescent="0.25">
      <c r="AX478"/>
      <c r="AY478"/>
      <c r="AZ478"/>
      <c r="BA478"/>
      <c r="BB478"/>
      <c r="BC478"/>
      <c r="BD478"/>
      <c r="BE478"/>
      <c r="BF478"/>
      <c r="BG478"/>
      <c r="BH478"/>
      <c r="BI478"/>
      <c r="BJ478"/>
      <c r="BK478"/>
      <c r="BL478"/>
      <c r="BM478"/>
      <c r="BN478"/>
      <c r="BO478"/>
      <c r="BP478"/>
      <c r="BQ478"/>
      <c r="BR478"/>
      <c r="BY478"/>
      <c r="BZ478"/>
      <c r="CA478"/>
      <c r="CB478"/>
      <c r="CC478"/>
      <c r="CD478"/>
      <c r="CE478"/>
      <c r="CF478"/>
      <c r="CG478"/>
      <c r="CH478"/>
      <c r="CI478"/>
      <c r="CJ478"/>
      <c r="CK478"/>
      <c r="CL478"/>
      <c r="CM478"/>
      <c r="CN478"/>
      <c r="CO478"/>
      <c r="CP478"/>
      <c r="CQ478"/>
      <c r="CR478"/>
      <c r="CS478"/>
      <c r="CT478"/>
      <c r="CU478"/>
      <c r="CV478"/>
      <c r="CW478"/>
      <c r="CX478"/>
      <c r="CY478"/>
    </row>
    <row r="479" spans="50:103" ht="20.100000000000001" customHeight="1" x14ac:dyDescent="0.25">
      <c r="AX479"/>
      <c r="AY479"/>
      <c r="AZ479"/>
      <c r="BA479"/>
      <c r="BB479"/>
      <c r="BC479"/>
      <c r="BD479"/>
      <c r="BE479"/>
      <c r="BF479"/>
      <c r="BG479"/>
      <c r="BH479"/>
      <c r="BI479"/>
      <c r="BJ479"/>
      <c r="BK479"/>
      <c r="BL479"/>
      <c r="BM479"/>
      <c r="BN479"/>
      <c r="BO479"/>
      <c r="BP479"/>
      <c r="BQ479"/>
      <c r="BR479"/>
      <c r="BY479"/>
      <c r="BZ479"/>
      <c r="CA479"/>
      <c r="CB479"/>
      <c r="CC479"/>
      <c r="CD479"/>
      <c r="CE479"/>
      <c r="CF479"/>
      <c r="CG479"/>
      <c r="CH479"/>
      <c r="CI479"/>
      <c r="CJ479"/>
      <c r="CK479"/>
      <c r="CL479"/>
      <c r="CM479"/>
      <c r="CN479"/>
      <c r="CO479"/>
      <c r="CP479"/>
      <c r="CQ479"/>
      <c r="CR479"/>
      <c r="CS479"/>
      <c r="CT479"/>
      <c r="CU479"/>
      <c r="CV479"/>
      <c r="CW479"/>
      <c r="CX479"/>
      <c r="CY479"/>
    </row>
    <row r="480" spans="50:103" ht="20.100000000000001" customHeight="1" x14ac:dyDescent="0.25">
      <c r="AX480"/>
      <c r="AY480"/>
      <c r="AZ480"/>
      <c r="BA480"/>
      <c r="BB480"/>
      <c r="BC480"/>
      <c r="BD480"/>
      <c r="BE480"/>
      <c r="BF480"/>
      <c r="BG480"/>
      <c r="BH480"/>
      <c r="BI480"/>
      <c r="BJ480"/>
      <c r="BK480"/>
      <c r="BL480"/>
      <c r="BM480"/>
      <c r="BN480"/>
      <c r="BO480"/>
      <c r="BP480"/>
      <c r="BQ480"/>
      <c r="BR480"/>
      <c r="BY480"/>
      <c r="BZ480"/>
      <c r="CA480"/>
      <c r="CB480"/>
      <c r="CC480"/>
      <c r="CD480"/>
      <c r="CE480"/>
      <c r="CF480"/>
      <c r="CG480"/>
      <c r="CH480"/>
      <c r="CI480"/>
      <c r="CJ480"/>
      <c r="CK480"/>
      <c r="CL480"/>
      <c r="CM480"/>
      <c r="CN480"/>
      <c r="CO480"/>
      <c r="CP480"/>
      <c r="CQ480"/>
      <c r="CR480"/>
      <c r="CS480"/>
      <c r="CT480"/>
      <c r="CU480"/>
      <c r="CV480"/>
      <c r="CW480"/>
      <c r="CX480"/>
      <c r="CY480"/>
    </row>
    <row r="481" spans="50:103" ht="20.100000000000001" customHeight="1" x14ac:dyDescent="0.25">
      <c r="AX481"/>
      <c r="AY481"/>
      <c r="AZ481"/>
      <c r="BA481"/>
      <c r="BB481"/>
      <c r="BC481"/>
      <c r="BD481"/>
      <c r="BE481"/>
      <c r="BF481"/>
      <c r="BG481"/>
      <c r="BH481"/>
      <c r="BI481"/>
      <c r="BJ481"/>
      <c r="BK481"/>
      <c r="BL481"/>
      <c r="BM481"/>
      <c r="BN481"/>
      <c r="BO481"/>
      <c r="BP481"/>
      <c r="BQ481"/>
      <c r="BR481"/>
      <c r="BY481"/>
      <c r="BZ481"/>
      <c r="CA481"/>
      <c r="CB481"/>
      <c r="CC481"/>
      <c r="CD481"/>
      <c r="CE481"/>
      <c r="CF481"/>
      <c r="CG481"/>
      <c r="CH481"/>
      <c r="CI481"/>
      <c r="CJ481"/>
      <c r="CK481"/>
      <c r="CL481"/>
      <c r="CM481"/>
      <c r="CN481"/>
      <c r="CO481"/>
      <c r="CP481"/>
      <c r="CQ481"/>
      <c r="CR481"/>
      <c r="CS481"/>
      <c r="CT481"/>
      <c r="CU481"/>
      <c r="CV481"/>
      <c r="CW481"/>
      <c r="CX481"/>
      <c r="CY481"/>
    </row>
    <row r="482" spans="50:103" ht="20.100000000000001" customHeight="1" x14ac:dyDescent="0.25">
      <c r="AX482"/>
      <c r="AY482"/>
      <c r="AZ482"/>
      <c r="BA482"/>
      <c r="BB482"/>
      <c r="BC482"/>
      <c r="BD482"/>
      <c r="BE482"/>
      <c r="BF482"/>
      <c r="BG482"/>
      <c r="BH482"/>
      <c r="BI482"/>
      <c r="BJ482"/>
      <c r="BK482"/>
      <c r="BL482"/>
      <c r="BM482"/>
      <c r="BN482"/>
      <c r="BO482"/>
      <c r="BP482"/>
      <c r="BQ482"/>
      <c r="BR482"/>
      <c r="BY482"/>
      <c r="BZ482"/>
      <c r="CA482"/>
      <c r="CB482"/>
      <c r="CC482"/>
      <c r="CD482"/>
      <c r="CE482"/>
      <c r="CF482"/>
      <c r="CG482"/>
      <c r="CH482"/>
      <c r="CI482"/>
      <c r="CJ482"/>
      <c r="CK482"/>
      <c r="CL482"/>
      <c r="CM482"/>
      <c r="CN482"/>
      <c r="CO482"/>
      <c r="CP482"/>
      <c r="CQ482"/>
      <c r="CR482"/>
      <c r="CS482"/>
      <c r="CT482"/>
      <c r="CU482"/>
      <c r="CV482"/>
      <c r="CW482"/>
      <c r="CX482"/>
      <c r="CY482"/>
    </row>
    <row r="483" spans="50:103" ht="20.100000000000001" customHeight="1" x14ac:dyDescent="0.25">
      <c r="AX483"/>
      <c r="AY483"/>
      <c r="AZ483"/>
      <c r="BA483"/>
      <c r="BB483"/>
      <c r="BC483"/>
      <c r="BD483"/>
      <c r="BE483"/>
      <c r="BF483"/>
      <c r="BG483"/>
      <c r="BH483"/>
      <c r="BI483"/>
      <c r="BJ483"/>
      <c r="BK483"/>
      <c r="BL483"/>
      <c r="BM483"/>
      <c r="BN483"/>
      <c r="BO483"/>
      <c r="BP483"/>
      <c r="BQ483"/>
      <c r="BR483"/>
      <c r="BY483"/>
      <c r="BZ483"/>
      <c r="CA483"/>
      <c r="CB483"/>
      <c r="CC483"/>
      <c r="CD483"/>
      <c r="CE483"/>
      <c r="CF483"/>
      <c r="CG483"/>
      <c r="CH483"/>
      <c r="CI483"/>
      <c r="CJ483"/>
      <c r="CK483"/>
      <c r="CL483"/>
      <c r="CM483"/>
      <c r="CN483"/>
      <c r="CO483"/>
      <c r="CP483"/>
      <c r="CQ483"/>
      <c r="CR483"/>
      <c r="CS483"/>
      <c r="CT483"/>
      <c r="CU483"/>
      <c r="CV483"/>
      <c r="CW483"/>
      <c r="CX483"/>
      <c r="CY483"/>
    </row>
    <row r="484" spans="50:103" ht="20.100000000000001" customHeight="1" x14ac:dyDescent="0.25">
      <c r="AX484"/>
      <c r="AY484"/>
      <c r="AZ484"/>
      <c r="BA484"/>
      <c r="BB484"/>
      <c r="BC484"/>
      <c r="BD484"/>
      <c r="BE484"/>
      <c r="BF484"/>
      <c r="BG484"/>
      <c r="BH484"/>
      <c r="BI484"/>
      <c r="BJ484"/>
      <c r="BK484"/>
      <c r="BL484"/>
      <c r="BM484"/>
      <c r="BN484"/>
      <c r="BO484"/>
      <c r="BP484"/>
      <c r="BQ484"/>
      <c r="BR484"/>
      <c r="BY484"/>
      <c r="BZ484"/>
      <c r="CA484"/>
      <c r="CB484"/>
      <c r="CC484"/>
      <c r="CD484"/>
      <c r="CE484"/>
      <c r="CF484"/>
      <c r="CG484"/>
      <c r="CH484"/>
      <c r="CI484"/>
      <c r="CJ484"/>
      <c r="CK484"/>
      <c r="CL484"/>
      <c r="CM484"/>
      <c r="CN484"/>
      <c r="CO484"/>
      <c r="CP484"/>
      <c r="CQ484"/>
      <c r="CR484"/>
      <c r="CS484"/>
      <c r="CT484"/>
      <c r="CU484"/>
      <c r="CV484"/>
      <c r="CW484"/>
      <c r="CX484"/>
      <c r="CY484"/>
    </row>
    <row r="485" spans="50:103" ht="20.100000000000001" customHeight="1" x14ac:dyDescent="0.25">
      <c r="AX485"/>
      <c r="AY485"/>
      <c r="AZ485"/>
      <c r="BA485"/>
      <c r="BB485"/>
      <c r="BC485"/>
      <c r="BD485"/>
      <c r="BE485"/>
      <c r="BF485"/>
      <c r="BG485"/>
      <c r="BH485"/>
      <c r="BI485"/>
      <c r="BJ485"/>
      <c r="BK485"/>
      <c r="BL485"/>
      <c r="BM485"/>
      <c r="BN485"/>
      <c r="BO485"/>
      <c r="BP485"/>
      <c r="BQ485"/>
      <c r="BR485"/>
      <c r="BY485"/>
      <c r="BZ485"/>
      <c r="CA485"/>
      <c r="CB485"/>
      <c r="CC485"/>
      <c r="CD485"/>
      <c r="CE485"/>
      <c r="CF485"/>
      <c r="CG485"/>
      <c r="CH485"/>
      <c r="CI485"/>
      <c r="CJ485"/>
      <c r="CK485"/>
      <c r="CL485"/>
      <c r="CM485"/>
      <c r="CN485"/>
      <c r="CO485"/>
      <c r="CP485"/>
      <c r="CQ485"/>
      <c r="CR485"/>
      <c r="CS485"/>
      <c r="CT485"/>
      <c r="CU485"/>
      <c r="CV485"/>
      <c r="CW485"/>
      <c r="CX485"/>
      <c r="CY485"/>
    </row>
    <row r="486" spans="50:103" ht="20.100000000000001" customHeight="1" x14ac:dyDescent="0.25">
      <c r="AX486"/>
      <c r="AY486"/>
      <c r="AZ486"/>
      <c r="BA486"/>
      <c r="BB486"/>
      <c r="BC486"/>
      <c r="BD486"/>
      <c r="BE486"/>
      <c r="BF486"/>
      <c r="BG486"/>
      <c r="BH486"/>
      <c r="BI486"/>
      <c r="BJ486"/>
      <c r="BK486"/>
      <c r="BL486"/>
      <c r="BM486"/>
      <c r="BN486"/>
      <c r="BO486"/>
      <c r="BP486"/>
      <c r="BQ486"/>
      <c r="BR486"/>
      <c r="BY486"/>
      <c r="BZ486"/>
      <c r="CA486"/>
      <c r="CB486"/>
      <c r="CC486"/>
      <c r="CD486"/>
      <c r="CE486"/>
      <c r="CF486"/>
      <c r="CG486"/>
      <c r="CH486"/>
      <c r="CI486"/>
      <c r="CJ486"/>
      <c r="CK486"/>
      <c r="CL486"/>
      <c r="CM486"/>
      <c r="CN486"/>
      <c r="CO486"/>
      <c r="CP486"/>
      <c r="CQ486"/>
      <c r="CR486"/>
      <c r="CS486"/>
      <c r="CT486"/>
      <c r="CU486"/>
      <c r="CV486"/>
      <c r="CW486"/>
      <c r="CX486"/>
      <c r="CY486"/>
    </row>
    <row r="487" spans="50:103" ht="20.100000000000001" customHeight="1" x14ac:dyDescent="0.25">
      <c r="AX487"/>
      <c r="AY487"/>
      <c r="AZ487"/>
      <c r="BA487"/>
      <c r="BB487"/>
      <c r="BC487"/>
      <c r="BD487"/>
      <c r="BE487"/>
      <c r="BF487"/>
      <c r="BG487"/>
      <c r="BH487"/>
      <c r="BI487"/>
      <c r="BJ487"/>
      <c r="BK487"/>
      <c r="BL487"/>
      <c r="BM487"/>
      <c r="BN487"/>
      <c r="BO487"/>
      <c r="BP487"/>
      <c r="BQ487"/>
      <c r="BR487"/>
      <c r="BY487"/>
      <c r="BZ487"/>
      <c r="CA487"/>
      <c r="CB487"/>
      <c r="CC487"/>
      <c r="CD487"/>
      <c r="CE487"/>
      <c r="CF487"/>
      <c r="CG487"/>
      <c r="CH487"/>
      <c r="CI487"/>
      <c r="CJ487"/>
      <c r="CK487"/>
      <c r="CL487"/>
      <c r="CM487"/>
      <c r="CN487"/>
      <c r="CO487"/>
      <c r="CP487"/>
      <c r="CQ487"/>
      <c r="CR487"/>
      <c r="CS487"/>
      <c r="CT487"/>
      <c r="CU487"/>
      <c r="CV487"/>
      <c r="CW487"/>
      <c r="CX487"/>
      <c r="CY487"/>
    </row>
    <row r="488" spans="50:103" ht="20.100000000000001" customHeight="1" x14ac:dyDescent="0.25">
      <c r="AX488"/>
      <c r="AY488"/>
      <c r="AZ488"/>
      <c r="BA488"/>
      <c r="BB488"/>
      <c r="BC488"/>
      <c r="BD488"/>
      <c r="BE488"/>
      <c r="BF488"/>
      <c r="BG488"/>
      <c r="BH488"/>
      <c r="BI488"/>
      <c r="BJ488"/>
      <c r="BK488"/>
      <c r="BL488"/>
      <c r="BM488"/>
      <c r="BN488"/>
      <c r="BO488"/>
      <c r="BP488"/>
      <c r="BQ488"/>
      <c r="BR488"/>
      <c r="BY488"/>
      <c r="BZ488"/>
      <c r="CA488"/>
      <c r="CB488"/>
      <c r="CC488"/>
      <c r="CD488"/>
      <c r="CE488"/>
      <c r="CF488"/>
      <c r="CG488"/>
      <c r="CH488"/>
      <c r="CI488"/>
      <c r="CJ488"/>
      <c r="CK488"/>
      <c r="CL488"/>
      <c r="CM488"/>
      <c r="CN488"/>
      <c r="CO488"/>
      <c r="CP488"/>
      <c r="CQ488"/>
      <c r="CR488"/>
      <c r="CS488"/>
      <c r="CT488"/>
      <c r="CU488"/>
      <c r="CV488"/>
      <c r="CW488"/>
      <c r="CX488"/>
      <c r="CY488"/>
    </row>
    <row r="489" spans="50:103" ht="20.100000000000001" customHeight="1" x14ac:dyDescent="0.25">
      <c r="AX489"/>
      <c r="AY489"/>
      <c r="AZ489"/>
      <c r="BA489"/>
      <c r="BB489"/>
      <c r="BC489"/>
      <c r="BD489"/>
      <c r="BE489"/>
      <c r="BF489"/>
      <c r="BG489"/>
      <c r="BH489"/>
      <c r="BI489"/>
      <c r="BJ489"/>
      <c r="BK489"/>
      <c r="BL489"/>
      <c r="BM489"/>
      <c r="BN489"/>
      <c r="BO489"/>
      <c r="BP489"/>
      <c r="BQ489"/>
      <c r="BR489"/>
      <c r="BY489"/>
      <c r="BZ489"/>
      <c r="CA489"/>
      <c r="CB489"/>
      <c r="CC489"/>
      <c r="CD489"/>
      <c r="CE489"/>
      <c r="CF489"/>
      <c r="CG489"/>
      <c r="CH489"/>
      <c r="CI489"/>
      <c r="CJ489"/>
      <c r="CK489"/>
      <c r="CL489"/>
      <c r="CM489"/>
      <c r="CN489"/>
      <c r="CO489"/>
      <c r="CP489"/>
      <c r="CQ489"/>
      <c r="CR489"/>
      <c r="CS489"/>
      <c r="CT489"/>
      <c r="CU489"/>
      <c r="CV489"/>
      <c r="CW489"/>
      <c r="CX489"/>
      <c r="CY489"/>
    </row>
    <row r="490" spans="50:103" ht="20.100000000000001" customHeight="1" x14ac:dyDescent="0.25">
      <c r="AX490"/>
      <c r="AY490"/>
      <c r="AZ490"/>
      <c r="BA490"/>
      <c r="BB490"/>
      <c r="BC490"/>
      <c r="BD490"/>
      <c r="BE490"/>
      <c r="BF490"/>
      <c r="BG490"/>
      <c r="BH490"/>
      <c r="BI490"/>
      <c r="BJ490"/>
      <c r="BK490"/>
      <c r="BL490"/>
      <c r="BM490"/>
      <c r="BN490"/>
      <c r="BO490"/>
      <c r="BP490"/>
      <c r="BQ490"/>
      <c r="BR490"/>
      <c r="BY490"/>
      <c r="BZ490"/>
      <c r="CA490"/>
      <c r="CB490"/>
      <c r="CC490"/>
      <c r="CD490"/>
      <c r="CE490"/>
      <c r="CF490"/>
      <c r="CG490"/>
      <c r="CH490"/>
      <c r="CI490"/>
      <c r="CJ490"/>
      <c r="CK490"/>
      <c r="CL490"/>
      <c r="CM490"/>
      <c r="CN490"/>
      <c r="CO490"/>
      <c r="CP490"/>
      <c r="CQ490"/>
      <c r="CR490"/>
      <c r="CS490"/>
      <c r="CT490"/>
      <c r="CU490"/>
      <c r="CV490"/>
      <c r="CW490"/>
      <c r="CX490"/>
      <c r="CY490"/>
    </row>
    <row r="491" spans="50:103" ht="20.100000000000001" customHeight="1" x14ac:dyDescent="0.25">
      <c r="AX491"/>
      <c r="AY491"/>
      <c r="AZ491"/>
      <c r="BA491"/>
      <c r="BB491"/>
      <c r="BC491"/>
      <c r="BD491"/>
      <c r="BE491"/>
      <c r="BF491"/>
      <c r="BG491"/>
      <c r="BH491"/>
      <c r="BI491"/>
      <c r="BJ491"/>
      <c r="BK491"/>
      <c r="BL491"/>
      <c r="BM491"/>
      <c r="BN491"/>
      <c r="BO491"/>
      <c r="BP491"/>
      <c r="BQ491"/>
      <c r="BR491"/>
      <c r="BY491"/>
      <c r="BZ491"/>
      <c r="CA491"/>
      <c r="CB491"/>
      <c r="CC491"/>
      <c r="CD491"/>
      <c r="CE491"/>
      <c r="CF491"/>
      <c r="CG491"/>
      <c r="CH491"/>
      <c r="CI491"/>
      <c r="CJ491"/>
      <c r="CK491"/>
      <c r="CL491"/>
      <c r="CM491"/>
      <c r="CN491"/>
      <c r="CO491"/>
      <c r="CP491"/>
      <c r="CQ491"/>
      <c r="CR491"/>
      <c r="CS491"/>
      <c r="CT491"/>
      <c r="CU491"/>
      <c r="CV491"/>
      <c r="CW491"/>
      <c r="CX491"/>
      <c r="CY491"/>
    </row>
    <row r="492" spans="50:103" ht="20.100000000000001" customHeight="1" x14ac:dyDescent="0.25">
      <c r="AX492"/>
      <c r="AY492"/>
      <c r="AZ492"/>
      <c r="BA492"/>
      <c r="BB492"/>
      <c r="BC492"/>
      <c r="BD492"/>
      <c r="BE492"/>
      <c r="BF492"/>
      <c r="BG492"/>
      <c r="BH492"/>
      <c r="BI492"/>
      <c r="BJ492"/>
      <c r="BK492"/>
      <c r="BL492"/>
      <c r="BM492"/>
      <c r="BN492"/>
      <c r="BO492"/>
      <c r="BP492"/>
      <c r="BQ492"/>
      <c r="BR492"/>
      <c r="BY492"/>
      <c r="BZ492"/>
      <c r="CA492"/>
      <c r="CB492"/>
      <c r="CC492"/>
      <c r="CD492"/>
      <c r="CE492"/>
      <c r="CF492"/>
      <c r="CG492"/>
      <c r="CH492"/>
      <c r="CI492"/>
      <c r="CJ492"/>
      <c r="CK492"/>
      <c r="CL492"/>
      <c r="CM492"/>
      <c r="CN492"/>
      <c r="CO492"/>
      <c r="CP492"/>
      <c r="CQ492"/>
      <c r="CR492"/>
      <c r="CS492"/>
      <c r="CT492"/>
      <c r="CU492"/>
      <c r="CV492"/>
      <c r="CW492"/>
      <c r="CX492"/>
      <c r="CY492"/>
    </row>
    <row r="493" spans="50:103" ht="20.100000000000001" customHeight="1" x14ac:dyDescent="0.25">
      <c r="AX493"/>
      <c r="AY493"/>
      <c r="AZ493"/>
      <c r="BA493"/>
      <c r="BB493"/>
      <c r="BC493"/>
      <c r="BD493"/>
      <c r="BE493"/>
      <c r="BF493"/>
      <c r="BG493"/>
      <c r="BH493"/>
      <c r="BI493"/>
      <c r="BJ493"/>
      <c r="BK493"/>
      <c r="BL493"/>
      <c r="BM493"/>
      <c r="BN493"/>
      <c r="BO493"/>
      <c r="BP493"/>
      <c r="BQ493"/>
      <c r="BR493"/>
      <c r="BY493"/>
      <c r="BZ493"/>
      <c r="CA493"/>
      <c r="CB493"/>
      <c r="CC493"/>
      <c r="CD493"/>
      <c r="CE493"/>
      <c r="CF493"/>
      <c r="CG493"/>
      <c r="CH493"/>
      <c r="CI493"/>
      <c r="CJ493"/>
      <c r="CK493"/>
      <c r="CL493"/>
      <c r="CM493"/>
      <c r="CN493"/>
      <c r="CO493"/>
      <c r="CP493"/>
      <c r="CQ493"/>
      <c r="CR493"/>
      <c r="CS493"/>
      <c r="CT493"/>
      <c r="CU493"/>
      <c r="CV493"/>
      <c r="CW493"/>
      <c r="CX493"/>
      <c r="CY493"/>
    </row>
    <row r="494" spans="50:103" ht="20.100000000000001" customHeight="1" x14ac:dyDescent="0.25">
      <c r="AX494"/>
      <c r="AY494"/>
      <c r="AZ494"/>
      <c r="BA494"/>
      <c r="BB494"/>
      <c r="BC494"/>
      <c r="BD494"/>
      <c r="BE494"/>
      <c r="BF494"/>
      <c r="BG494"/>
      <c r="BH494"/>
      <c r="BI494"/>
      <c r="BJ494"/>
      <c r="BK494"/>
      <c r="BL494"/>
      <c r="BM494"/>
      <c r="BN494"/>
      <c r="BO494"/>
      <c r="BP494"/>
      <c r="BQ494"/>
      <c r="BR494"/>
      <c r="BY494"/>
      <c r="BZ494"/>
      <c r="CA494"/>
      <c r="CB494"/>
      <c r="CC494"/>
      <c r="CD494"/>
      <c r="CE494"/>
      <c r="CF494"/>
      <c r="CG494"/>
      <c r="CH494"/>
      <c r="CI494"/>
      <c r="CJ494"/>
      <c r="CK494"/>
      <c r="CL494"/>
      <c r="CM494"/>
      <c r="CN494"/>
      <c r="CO494"/>
      <c r="CP494"/>
      <c r="CQ494"/>
      <c r="CR494"/>
      <c r="CS494"/>
      <c r="CT494"/>
      <c r="CU494"/>
      <c r="CV494"/>
      <c r="CW494"/>
      <c r="CX494"/>
      <c r="CY494"/>
    </row>
    <row r="495" spans="50:103" ht="20.100000000000001" customHeight="1" x14ac:dyDescent="0.25">
      <c r="AX495"/>
      <c r="AY495"/>
      <c r="AZ495"/>
      <c r="BA495"/>
      <c r="BB495"/>
      <c r="BC495"/>
      <c r="BD495"/>
      <c r="BE495"/>
      <c r="BF495"/>
      <c r="BG495"/>
      <c r="BH495"/>
      <c r="BI495"/>
      <c r="BJ495"/>
      <c r="BK495"/>
      <c r="BL495"/>
      <c r="BM495"/>
      <c r="BN495"/>
      <c r="BO495"/>
      <c r="BP495"/>
      <c r="BQ495"/>
      <c r="BR495"/>
      <c r="BY495"/>
      <c r="BZ495"/>
      <c r="CA495"/>
      <c r="CB495"/>
      <c r="CC495"/>
      <c r="CD495"/>
      <c r="CE495"/>
      <c r="CF495"/>
      <c r="CG495"/>
      <c r="CH495"/>
      <c r="CI495"/>
      <c r="CJ495"/>
      <c r="CK495"/>
      <c r="CL495"/>
      <c r="CM495"/>
      <c r="CN495"/>
      <c r="CO495"/>
      <c r="CP495"/>
      <c r="CQ495"/>
      <c r="CR495"/>
      <c r="CS495"/>
      <c r="CT495"/>
      <c r="CU495"/>
      <c r="CV495"/>
      <c r="CW495"/>
      <c r="CX495"/>
      <c r="CY495"/>
    </row>
    <row r="496" spans="50:103" ht="20.100000000000001" customHeight="1" x14ac:dyDescent="0.25">
      <c r="AX496"/>
      <c r="AY496"/>
      <c r="AZ496"/>
      <c r="BA496"/>
      <c r="BB496"/>
      <c r="BC496"/>
      <c r="BD496"/>
      <c r="BE496"/>
      <c r="BF496"/>
      <c r="BG496"/>
      <c r="BH496"/>
      <c r="BI496"/>
      <c r="BJ496"/>
      <c r="BK496"/>
      <c r="BL496"/>
      <c r="BM496"/>
      <c r="BN496"/>
      <c r="BO496"/>
      <c r="BP496"/>
      <c r="BQ496"/>
      <c r="BR496"/>
      <c r="BY496"/>
      <c r="BZ496"/>
      <c r="CA496"/>
      <c r="CB496"/>
      <c r="CC496"/>
      <c r="CD496"/>
      <c r="CE496"/>
      <c r="CF496"/>
      <c r="CG496"/>
      <c r="CH496"/>
      <c r="CI496"/>
      <c r="CJ496"/>
      <c r="CK496"/>
      <c r="CL496"/>
      <c r="CM496"/>
      <c r="CN496"/>
      <c r="CO496"/>
      <c r="CP496"/>
      <c r="CQ496"/>
      <c r="CR496"/>
      <c r="CS496"/>
      <c r="CT496"/>
      <c r="CU496"/>
      <c r="CV496"/>
      <c r="CW496"/>
      <c r="CX496"/>
      <c r="CY496"/>
    </row>
    <row r="497" spans="50:103" ht="20.100000000000001" customHeight="1" x14ac:dyDescent="0.25">
      <c r="AX497"/>
      <c r="AY497"/>
      <c r="AZ497"/>
      <c r="BA497"/>
      <c r="BB497"/>
      <c r="BC497"/>
      <c r="BD497"/>
      <c r="BE497"/>
      <c r="BF497"/>
      <c r="BG497"/>
      <c r="BH497"/>
      <c r="BI497"/>
      <c r="BJ497"/>
      <c r="BK497"/>
      <c r="BL497"/>
      <c r="BM497"/>
      <c r="BN497"/>
      <c r="BO497"/>
      <c r="BP497"/>
      <c r="BQ497"/>
      <c r="BR497"/>
      <c r="BY497"/>
      <c r="BZ497"/>
      <c r="CA497"/>
      <c r="CB497"/>
      <c r="CC497"/>
      <c r="CD497"/>
      <c r="CE497"/>
      <c r="CF497"/>
      <c r="CG497"/>
      <c r="CH497"/>
      <c r="CI497"/>
      <c r="CJ497"/>
      <c r="CK497"/>
      <c r="CL497"/>
      <c r="CM497"/>
      <c r="CN497"/>
      <c r="CO497"/>
      <c r="CP497"/>
      <c r="CQ497"/>
      <c r="CR497"/>
      <c r="CS497"/>
      <c r="CT497"/>
      <c r="CU497"/>
      <c r="CV497"/>
      <c r="CW497"/>
      <c r="CX497"/>
      <c r="CY497"/>
    </row>
    <row r="498" spans="50:103" ht="20.100000000000001" customHeight="1" x14ac:dyDescent="0.25">
      <c r="AX498"/>
      <c r="AY498"/>
      <c r="AZ498"/>
      <c r="BA498"/>
      <c r="BB498"/>
      <c r="BC498"/>
      <c r="BD498"/>
      <c r="BE498"/>
      <c r="BF498"/>
      <c r="BG498"/>
      <c r="BH498"/>
      <c r="BI498"/>
      <c r="BJ498"/>
      <c r="BK498"/>
      <c r="BL498"/>
      <c r="BM498"/>
      <c r="BN498"/>
      <c r="BO498"/>
      <c r="BP498"/>
      <c r="BQ498"/>
      <c r="BR498"/>
      <c r="BY498"/>
      <c r="BZ498"/>
      <c r="CA498"/>
      <c r="CB498"/>
      <c r="CC498"/>
      <c r="CD498"/>
      <c r="CE498"/>
      <c r="CF498"/>
      <c r="CG498"/>
      <c r="CH498"/>
      <c r="CI498"/>
      <c r="CJ498"/>
      <c r="CK498"/>
      <c r="CL498"/>
      <c r="CM498"/>
      <c r="CN498"/>
      <c r="CO498"/>
      <c r="CP498"/>
      <c r="CQ498"/>
      <c r="CR498"/>
      <c r="CS498"/>
      <c r="CT498"/>
      <c r="CU498"/>
      <c r="CV498"/>
      <c r="CW498"/>
      <c r="CX498"/>
      <c r="CY498"/>
    </row>
    <row r="499" spans="50:103" ht="20.100000000000001" customHeight="1" x14ac:dyDescent="0.25">
      <c r="AX499"/>
      <c r="AY499"/>
      <c r="AZ499"/>
      <c r="BA499"/>
      <c r="BB499"/>
      <c r="BC499"/>
      <c r="BD499"/>
      <c r="BE499"/>
      <c r="BF499"/>
      <c r="BG499"/>
      <c r="BH499"/>
      <c r="BI499"/>
      <c r="BJ499"/>
      <c r="BK499"/>
      <c r="BL499"/>
      <c r="BM499"/>
      <c r="BN499"/>
      <c r="BO499"/>
      <c r="BP499"/>
      <c r="BQ499"/>
      <c r="BR499"/>
      <c r="BY499"/>
      <c r="BZ499"/>
      <c r="CA499"/>
      <c r="CB499"/>
      <c r="CC499"/>
      <c r="CD499"/>
      <c r="CE499"/>
      <c r="CF499"/>
      <c r="CG499"/>
      <c r="CH499"/>
      <c r="CI499"/>
      <c r="CJ499"/>
      <c r="CK499"/>
      <c r="CL499"/>
      <c r="CM499"/>
      <c r="CN499"/>
      <c r="CO499"/>
      <c r="CP499"/>
      <c r="CQ499"/>
      <c r="CR499"/>
      <c r="CS499"/>
      <c r="CT499"/>
      <c r="CU499"/>
      <c r="CV499"/>
      <c r="CW499"/>
      <c r="CX499"/>
      <c r="CY499"/>
    </row>
    <row r="500" spans="50:103" ht="20.100000000000001" customHeight="1" x14ac:dyDescent="0.25">
      <c r="AX500"/>
      <c r="AY500"/>
      <c r="AZ500"/>
      <c r="BA500"/>
      <c r="BB500"/>
      <c r="BC500"/>
      <c r="BD500"/>
      <c r="BE500"/>
      <c r="BF500"/>
      <c r="BG500"/>
      <c r="BH500"/>
      <c r="BI500"/>
      <c r="BJ500"/>
      <c r="BK500"/>
      <c r="BL500"/>
      <c r="BM500"/>
      <c r="BN500"/>
      <c r="BO500"/>
      <c r="BP500"/>
      <c r="BQ500"/>
      <c r="BR500"/>
      <c r="BY500"/>
      <c r="BZ500"/>
      <c r="CA500"/>
      <c r="CB500"/>
      <c r="CC500"/>
      <c r="CD500"/>
      <c r="CE500"/>
      <c r="CF500"/>
      <c r="CG500"/>
      <c r="CH500"/>
      <c r="CI500"/>
      <c r="CJ500"/>
      <c r="CK500"/>
      <c r="CL500"/>
      <c r="CM500"/>
      <c r="CN500"/>
      <c r="CO500"/>
      <c r="CP500"/>
      <c r="CQ500"/>
      <c r="CR500"/>
      <c r="CS500"/>
      <c r="CT500"/>
      <c r="CU500"/>
      <c r="CV500"/>
      <c r="CW500"/>
      <c r="CX500"/>
      <c r="CY500"/>
    </row>
    <row r="501" spans="50:103" ht="20.100000000000001" customHeight="1" x14ac:dyDescent="0.25">
      <c r="AX501"/>
      <c r="AY501"/>
      <c r="AZ501"/>
      <c r="BA501"/>
      <c r="BB501"/>
      <c r="BC501"/>
      <c r="BD501"/>
      <c r="BE501"/>
      <c r="BF501"/>
      <c r="BG501"/>
      <c r="BH501"/>
      <c r="BI501"/>
      <c r="BJ501"/>
      <c r="BK501"/>
      <c r="BL501"/>
      <c r="BM501"/>
      <c r="BN501"/>
      <c r="BO501"/>
      <c r="BP501"/>
      <c r="BQ501"/>
      <c r="BR501"/>
      <c r="BY501"/>
      <c r="BZ501"/>
      <c r="CA501"/>
      <c r="CB501"/>
      <c r="CC501"/>
      <c r="CD501"/>
      <c r="CE501"/>
      <c r="CF501"/>
      <c r="CG501"/>
      <c r="CH501"/>
      <c r="CI501"/>
      <c r="CJ501"/>
      <c r="CK501"/>
      <c r="CL501"/>
      <c r="CM501"/>
      <c r="CN501"/>
      <c r="CO501"/>
      <c r="CP501"/>
      <c r="CQ501"/>
      <c r="CR501"/>
      <c r="CS501"/>
      <c r="CT501"/>
      <c r="CU501"/>
      <c r="CV501"/>
      <c r="CW501"/>
      <c r="CX501"/>
      <c r="CY501"/>
    </row>
    <row r="502" spans="50:103" ht="20.100000000000001" customHeight="1" x14ac:dyDescent="0.25">
      <c r="AX502"/>
      <c r="AY502"/>
      <c r="AZ502"/>
      <c r="BA502"/>
      <c r="BB502"/>
      <c r="BC502"/>
      <c r="BD502"/>
      <c r="BE502"/>
      <c r="BF502"/>
      <c r="BG502"/>
      <c r="BH502"/>
      <c r="BI502"/>
      <c r="BJ502"/>
      <c r="BK502"/>
      <c r="BL502"/>
      <c r="BM502"/>
      <c r="BN502"/>
      <c r="BO502"/>
      <c r="BP502"/>
      <c r="BQ502"/>
      <c r="BR502"/>
      <c r="BY502"/>
      <c r="BZ502"/>
      <c r="CA502"/>
      <c r="CB502"/>
      <c r="CC502"/>
      <c r="CD502"/>
      <c r="CE502"/>
      <c r="CF502"/>
      <c r="CG502"/>
      <c r="CH502"/>
      <c r="CI502"/>
      <c r="CJ502"/>
      <c r="CK502"/>
      <c r="CL502"/>
      <c r="CM502"/>
      <c r="CN502"/>
      <c r="CO502"/>
      <c r="CP502"/>
      <c r="CQ502"/>
      <c r="CR502"/>
      <c r="CS502"/>
      <c r="CT502"/>
      <c r="CU502"/>
      <c r="CV502"/>
      <c r="CW502"/>
      <c r="CX502"/>
      <c r="CY502"/>
    </row>
    <row r="503" spans="50:103" ht="20.100000000000001" customHeight="1" x14ac:dyDescent="0.25">
      <c r="AX503"/>
      <c r="AY503"/>
      <c r="AZ503"/>
      <c r="BA503"/>
      <c r="BB503"/>
      <c r="BC503"/>
      <c r="BD503"/>
      <c r="BE503"/>
      <c r="BF503"/>
      <c r="BG503"/>
      <c r="BH503"/>
      <c r="BI503"/>
      <c r="BJ503"/>
      <c r="BK503"/>
      <c r="BL503"/>
      <c r="BM503"/>
      <c r="BN503"/>
      <c r="BO503"/>
      <c r="BP503"/>
      <c r="BQ503"/>
      <c r="BR503"/>
      <c r="BY503"/>
      <c r="BZ503"/>
      <c r="CA503"/>
      <c r="CB503"/>
      <c r="CC503"/>
      <c r="CD503"/>
      <c r="CE503"/>
      <c r="CF503"/>
      <c r="CG503"/>
      <c r="CH503"/>
      <c r="CI503"/>
      <c r="CJ503"/>
      <c r="CK503"/>
      <c r="CL503"/>
      <c r="CM503"/>
      <c r="CN503"/>
      <c r="CO503"/>
      <c r="CP503"/>
      <c r="CQ503"/>
      <c r="CR503"/>
      <c r="CS503"/>
      <c r="CT503"/>
      <c r="CU503"/>
      <c r="CV503"/>
      <c r="CW503"/>
      <c r="CX503"/>
      <c r="CY503"/>
    </row>
    <row r="504" spans="50:103" ht="20.100000000000001" customHeight="1" x14ac:dyDescent="0.25">
      <c r="AX504"/>
      <c r="AY504"/>
      <c r="AZ504"/>
      <c r="BA504"/>
      <c r="BB504"/>
      <c r="BC504"/>
      <c r="BD504"/>
      <c r="BE504"/>
      <c r="BF504"/>
      <c r="BG504"/>
      <c r="BH504"/>
      <c r="BI504"/>
      <c r="BJ504"/>
      <c r="BK504"/>
      <c r="BL504"/>
      <c r="BM504"/>
      <c r="BN504"/>
      <c r="BO504"/>
      <c r="BP504"/>
      <c r="BQ504"/>
      <c r="BR504"/>
      <c r="BY504"/>
      <c r="BZ504"/>
      <c r="CA504"/>
      <c r="CB504"/>
      <c r="CC504"/>
      <c r="CD504"/>
      <c r="CE504"/>
      <c r="CF504"/>
      <c r="CG504"/>
      <c r="CH504"/>
      <c r="CI504"/>
      <c r="CJ504"/>
      <c r="CK504"/>
      <c r="CL504"/>
      <c r="CM504"/>
      <c r="CN504"/>
      <c r="CO504"/>
      <c r="CP504"/>
      <c r="CQ504"/>
      <c r="CR504"/>
      <c r="CS504"/>
      <c r="CT504"/>
      <c r="CU504"/>
      <c r="CV504"/>
      <c r="CW504"/>
      <c r="CX504"/>
      <c r="CY504"/>
    </row>
    <row r="505" spans="50:103" ht="20.100000000000001" customHeight="1" x14ac:dyDescent="0.25">
      <c r="AX505"/>
      <c r="AY505"/>
      <c r="AZ505"/>
      <c r="BA505"/>
      <c r="BB505"/>
      <c r="BC505"/>
      <c r="BD505"/>
      <c r="BE505"/>
      <c r="BF505"/>
      <c r="BG505"/>
      <c r="BH505"/>
      <c r="BI505"/>
      <c r="BJ505"/>
      <c r="BK505"/>
      <c r="BL505"/>
      <c r="BM505"/>
      <c r="BN505"/>
      <c r="BO505"/>
      <c r="BP505"/>
      <c r="BQ505"/>
      <c r="BR505"/>
      <c r="BY505"/>
      <c r="BZ505"/>
      <c r="CA505"/>
      <c r="CB505"/>
      <c r="CC505"/>
      <c r="CD505"/>
      <c r="CE505"/>
      <c r="CF505"/>
      <c r="CG505"/>
      <c r="CH505"/>
      <c r="CI505"/>
      <c r="CJ505"/>
      <c r="CK505"/>
      <c r="CL505"/>
      <c r="CM505"/>
      <c r="CN505"/>
      <c r="CO505"/>
      <c r="CP505"/>
      <c r="CQ505"/>
      <c r="CR505"/>
      <c r="CS505"/>
      <c r="CT505"/>
      <c r="CU505"/>
      <c r="CV505"/>
      <c r="CW505"/>
      <c r="CX505"/>
      <c r="CY505"/>
    </row>
    <row r="506" spans="50:103" ht="20.100000000000001" customHeight="1" x14ac:dyDescent="0.25">
      <c r="AX506"/>
      <c r="AY506"/>
      <c r="AZ506"/>
      <c r="BA506"/>
      <c r="BB506"/>
      <c r="BC506"/>
      <c r="BD506"/>
      <c r="BE506"/>
      <c r="BF506"/>
      <c r="BG506"/>
      <c r="BH506"/>
      <c r="BI506"/>
      <c r="BJ506"/>
      <c r="BK506"/>
      <c r="BL506"/>
      <c r="BM506"/>
      <c r="BN506"/>
      <c r="BO506"/>
      <c r="BP506"/>
      <c r="BQ506"/>
      <c r="BR506"/>
      <c r="BY506"/>
      <c r="BZ506"/>
      <c r="CA506"/>
      <c r="CB506"/>
      <c r="CC506"/>
      <c r="CD506"/>
      <c r="CE506"/>
      <c r="CF506"/>
      <c r="CG506"/>
      <c r="CH506"/>
      <c r="CI506"/>
      <c r="CJ506"/>
      <c r="CK506"/>
      <c r="CL506"/>
      <c r="CM506"/>
      <c r="CN506"/>
      <c r="CO506"/>
      <c r="CP506"/>
      <c r="CQ506"/>
      <c r="CR506"/>
      <c r="CS506"/>
      <c r="CT506"/>
      <c r="CU506"/>
      <c r="CV506"/>
      <c r="CW506"/>
      <c r="CX506"/>
      <c r="CY506"/>
    </row>
    <row r="507" spans="50:103" ht="20.100000000000001" customHeight="1" x14ac:dyDescent="0.25">
      <c r="AX507"/>
      <c r="AY507"/>
      <c r="AZ507"/>
      <c r="BA507"/>
      <c r="BB507"/>
      <c r="BC507"/>
      <c r="BD507"/>
      <c r="BE507"/>
      <c r="BF507"/>
      <c r="BG507"/>
      <c r="BH507"/>
      <c r="BI507"/>
      <c r="BJ507"/>
      <c r="BK507"/>
      <c r="BL507"/>
      <c r="BM507"/>
      <c r="BN507"/>
      <c r="BO507"/>
      <c r="BP507"/>
      <c r="BQ507"/>
      <c r="BR507"/>
      <c r="BY507"/>
      <c r="BZ507"/>
      <c r="CA507"/>
      <c r="CB507"/>
      <c r="CC507"/>
      <c r="CD507"/>
      <c r="CE507"/>
      <c r="CF507"/>
      <c r="CG507"/>
      <c r="CH507"/>
      <c r="CI507"/>
      <c r="CJ507"/>
      <c r="CK507"/>
      <c r="CL507"/>
      <c r="CM507"/>
      <c r="CN507"/>
      <c r="CO507"/>
      <c r="CP507"/>
      <c r="CQ507"/>
      <c r="CR507"/>
      <c r="CS507"/>
      <c r="CT507"/>
      <c r="CU507"/>
      <c r="CV507"/>
      <c r="CW507"/>
      <c r="CX507"/>
      <c r="CY507"/>
    </row>
    <row r="508" spans="50:103" ht="20.100000000000001" customHeight="1" x14ac:dyDescent="0.25">
      <c r="AX508"/>
      <c r="AY508"/>
      <c r="AZ508"/>
      <c r="BA508"/>
      <c r="BB508"/>
      <c r="BC508"/>
      <c r="BD508"/>
      <c r="BE508"/>
      <c r="BF508"/>
      <c r="BG508"/>
      <c r="BH508"/>
      <c r="BI508"/>
      <c r="BJ508"/>
      <c r="BK508"/>
      <c r="BL508"/>
      <c r="BM508"/>
      <c r="BN508"/>
      <c r="BO508"/>
      <c r="BP508"/>
      <c r="BQ508"/>
      <c r="BR508"/>
      <c r="BY508"/>
      <c r="BZ508"/>
      <c r="CA508"/>
      <c r="CB508"/>
      <c r="CC508"/>
      <c r="CD508"/>
      <c r="CE508"/>
      <c r="CF508"/>
      <c r="CG508"/>
      <c r="CH508"/>
      <c r="CI508"/>
      <c r="CJ508"/>
      <c r="CK508"/>
      <c r="CL508"/>
      <c r="CM508"/>
      <c r="CN508"/>
      <c r="CO508"/>
      <c r="CP508"/>
      <c r="CQ508"/>
      <c r="CR508"/>
      <c r="CS508"/>
      <c r="CT508"/>
      <c r="CU508"/>
      <c r="CV508"/>
      <c r="CW508"/>
      <c r="CX508"/>
      <c r="CY508"/>
    </row>
    <row r="509" spans="50:103" ht="20.100000000000001" customHeight="1" x14ac:dyDescent="0.25">
      <c r="AX509"/>
      <c r="AY509"/>
      <c r="AZ509"/>
      <c r="BA509"/>
      <c r="BB509"/>
      <c r="BC509"/>
      <c r="BD509"/>
      <c r="BE509"/>
      <c r="BF509"/>
      <c r="BG509"/>
      <c r="BH509"/>
      <c r="BI509"/>
      <c r="BJ509"/>
      <c r="BK509"/>
      <c r="BL509"/>
      <c r="BM509"/>
      <c r="BN509"/>
      <c r="BO509"/>
      <c r="BP509"/>
      <c r="BQ509"/>
      <c r="BR509"/>
      <c r="BY509"/>
      <c r="BZ509"/>
      <c r="CA509"/>
      <c r="CB509"/>
      <c r="CC509"/>
      <c r="CD509"/>
      <c r="CE509"/>
      <c r="CF509"/>
      <c r="CG509"/>
      <c r="CH509"/>
      <c r="CI509"/>
      <c r="CJ509"/>
      <c r="CK509"/>
      <c r="CL509"/>
      <c r="CM509"/>
      <c r="CN509"/>
      <c r="CO509"/>
      <c r="CP509"/>
      <c r="CQ509"/>
      <c r="CR509"/>
      <c r="CS509"/>
      <c r="CT509"/>
      <c r="CU509"/>
      <c r="CV509"/>
      <c r="CW509"/>
      <c r="CX509"/>
      <c r="CY509"/>
    </row>
    <row r="510" spans="50:103" ht="20.100000000000001" customHeight="1" x14ac:dyDescent="0.25">
      <c r="AX510"/>
      <c r="AY510"/>
      <c r="AZ510"/>
      <c r="BA510"/>
      <c r="BB510"/>
      <c r="BC510"/>
      <c r="BD510"/>
      <c r="BE510"/>
      <c r="BF510"/>
      <c r="BG510"/>
      <c r="BH510"/>
      <c r="BI510"/>
      <c r="BJ510"/>
      <c r="BK510"/>
      <c r="BL510"/>
      <c r="BM510"/>
      <c r="BN510"/>
      <c r="BO510"/>
      <c r="BP510"/>
      <c r="BQ510"/>
      <c r="BR510"/>
      <c r="BY510"/>
      <c r="BZ510"/>
      <c r="CA510"/>
      <c r="CB510"/>
      <c r="CC510"/>
      <c r="CD510"/>
      <c r="CE510"/>
      <c r="CF510"/>
      <c r="CG510"/>
      <c r="CH510"/>
      <c r="CI510"/>
      <c r="CJ510"/>
      <c r="CK510"/>
      <c r="CL510"/>
      <c r="CM510"/>
      <c r="CN510"/>
      <c r="CO510"/>
      <c r="CP510"/>
      <c r="CQ510"/>
      <c r="CR510"/>
      <c r="CS510"/>
      <c r="CT510"/>
      <c r="CU510"/>
      <c r="CV510"/>
      <c r="CW510"/>
      <c r="CX510"/>
      <c r="CY510"/>
    </row>
    <row r="511" spans="50:103" ht="20.100000000000001" customHeight="1" x14ac:dyDescent="0.25">
      <c r="AX511"/>
      <c r="AY511"/>
      <c r="AZ511"/>
      <c r="BA511"/>
      <c r="BB511"/>
      <c r="BC511"/>
      <c r="BD511"/>
      <c r="BE511"/>
      <c r="BF511"/>
      <c r="BG511"/>
      <c r="BH511"/>
      <c r="BI511"/>
      <c r="BJ511"/>
      <c r="BK511"/>
      <c r="BL511"/>
      <c r="BM511"/>
      <c r="BN511"/>
      <c r="BO511"/>
      <c r="BP511"/>
      <c r="BQ511"/>
      <c r="BR511"/>
      <c r="BY511"/>
      <c r="BZ511"/>
      <c r="CA511"/>
      <c r="CB511"/>
      <c r="CC511"/>
      <c r="CD511"/>
      <c r="CE511"/>
      <c r="CF511"/>
      <c r="CG511"/>
      <c r="CH511"/>
      <c r="CI511"/>
      <c r="CJ511"/>
      <c r="CK511"/>
      <c r="CL511"/>
      <c r="CM511"/>
      <c r="CN511"/>
      <c r="CO511"/>
      <c r="CP511"/>
      <c r="CQ511"/>
      <c r="CR511"/>
      <c r="CS511"/>
      <c r="CT511"/>
      <c r="CU511"/>
      <c r="CV511"/>
      <c r="CW511"/>
      <c r="CX511"/>
      <c r="CY511"/>
    </row>
    <row r="512" spans="50:103" ht="20.100000000000001" customHeight="1" x14ac:dyDescent="0.25">
      <c r="AX512"/>
      <c r="AY512"/>
      <c r="AZ512"/>
      <c r="BA512"/>
      <c r="BB512"/>
      <c r="BC512"/>
      <c r="BD512"/>
      <c r="BE512"/>
      <c r="BF512"/>
      <c r="BG512"/>
      <c r="BH512"/>
      <c r="BI512"/>
      <c r="BJ512"/>
      <c r="BK512"/>
      <c r="BL512"/>
      <c r="BM512"/>
      <c r="BN512"/>
      <c r="BO512"/>
      <c r="BP512"/>
      <c r="BQ512"/>
      <c r="BR512"/>
      <c r="BY512"/>
      <c r="BZ512"/>
      <c r="CA512"/>
      <c r="CB512"/>
      <c r="CC512"/>
      <c r="CD512"/>
      <c r="CE512"/>
      <c r="CF512"/>
      <c r="CG512"/>
      <c r="CH512"/>
      <c r="CI512"/>
      <c r="CJ512"/>
      <c r="CK512"/>
      <c r="CL512"/>
      <c r="CM512"/>
      <c r="CN512"/>
      <c r="CO512"/>
      <c r="CP512"/>
      <c r="CQ512"/>
      <c r="CR512"/>
      <c r="CS512"/>
      <c r="CT512"/>
      <c r="CU512"/>
      <c r="CV512"/>
      <c r="CW512"/>
      <c r="CX512"/>
      <c r="CY512"/>
    </row>
    <row r="513" spans="50:103" ht="20.100000000000001" customHeight="1" x14ac:dyDescent="0.25">
      <c r="AX513"/>
      <c r="AY513"/>
      <c r="AZ513"/>
      <c r="BA513"/>
      <c r="BB513"/>
      <c r="BC513"/>
      <c r="BD513"/>
      <c r="BE513"/>
      <c r="BF513"/>
      <c r="BG513"/>
      <c r="BH513"/>
      <c r="BI513"/>
      <c r="BJ513"/>
      <c r="BK513"/>
      <c r="BL513"/>
      <c r="BM513"/>
      <c r="BN513"/>
      <c r="BO513"/>
      <c r="BP513"/>
      <c r="BQ513"/>
      <c r="BR513"/>
      <c r="BY513"/>
      <c r="BZ513"/>
      <c r="CA513"/>
      <c r="CB513"/>
      <c r="CC513"/>
      <c r="CD513"/>
      <c r="CE513"/>
      <c r="CF513"/>
      <c r="CG513"/>
      <c r="CH513"/>
      <c r="CI513"/>
      <c r="CJ513"/>
      <c r="CK513"/>
      <c r="CL513"/>
      <c r="CM513"/>
      <c r="CN513"/>
      <c r="CO513"/>
      <c r="CP513"/>
      <c r="CQ513"/>
      <c r="CR513"/>
      <c r="CS513"/>
      <c r="CT513"/>
      <c r="CU513"/>
      <c r="CV513"/>
      <c r="CW513"/>
      <c r="CX513"/>
      <c r="CY513"/>
    </row>
    <row r="514" spans="50:103" ht="20.100000000000001" customHeight="1" x14ac:dyDescent="0.25">
      <c r="AX514"/>
      <c r="AY514"/>
      <c r="AZ514"/>
      <c r="BA514"/>
      <c r="BB514"/>
      <c r="BC514"/>
      <c r="BD514"/>
      <c r="BE514"/>
      <c r="BF514"/>
      <c r="BG514"/>
      <c r="BH514"/>
      <c r="BI514"/>
      <c r="BJ514"/>
      <c r="BK514"/>
      <c r="BL514"/>
      <c r="BM514"/>
      <c r="BN514"/>
      <c r="BO514"/>
      <c r="BP514"/>
      <c r="BQ514"/>
      <c r="BR514"/>
      <c r="BY514"/>
      <c r="BZ514"/>
      <c r="CA514"/>
      <c r="CB514"/>
      <c r="CC514"/>
      <c r="CD514"/>
      <c r="CE514"/>
      <c r="CF514"/>
      <c r="CG514"/>
      <c r="CH514"/>
      <c r="CI514"/>
      <c r="CJ514"/>
      <c r="CK514"/>
      <c r="CL514"/>
      <c r="CM514"/>
      <c r="CN514"/>
      <c r="CO514"/>
      <c r="CP514"/>
      <c r="CQ514"/>
      <c r="CR514"/>
      <c r="CS514"/>
      <c r="CT514"/>
      <c r="CU514"/>
      <c r="CV514"/>
      <c r="CW514"/>
      <c r="CX514"/>
      <c r="CY514"/>
    </row>
    <row r="515" spans="50:103" ht="20.100000000000001" customHeight="1" x14ac:dyDescent="0.25">
      <c r="AX515"/>
      <c r="AY515"/>
      <c r="AZ515"/>
      <c r="BA515"/>
      <c r="BB515"/>
      <c r="BC515"/>
      <c r="BD515"/>
      <c r="BE515"/>
      <c r="BF515"/>
      <c r="BG515"/>
      <c r="BH515"/>
      <c r="BI515"/>
      <c r="BJ515"/>
      <c r="BK515"/>
      <c r="BL515"/>
      <c r="BM515"/>
      <c r="BN515"/>
      <c r="BO515"/>
      <c r="BP515"/>
      <c r="BQ515"/>
      <c r="BR515"/>
      <c r="BY515"/>
      <c r="BZ515"/>
      <c r="CA515"/>
      <c r="CB515"/>
      <c r="CC515"/>
      <c r="CD515"/>
      <c r="CE515"/>
      <c r="CF515"/>
      <c r="CG515"/>
      <c r="CH515"/>
      <c r="CI515"/>
      <c r="CJ515"/>
      <c r="CK515"/>
      <c r="CL515"/>
      <c r="CM515"/>
      <c r="CN515"/>
      <c r="CO515"/>
      <c r="CP515"/>
      <c r="CQ515"/>
      <c r="CR515"/>
      <c r="CS515"/>
      <c r="CT515"/>
      <c r="CU515"/>
      <c r="CV515"/>
      <c r="CW515"/>
      <c r="CX515"/>
      <c r="CY515"/>
    </row>
    <row r="516" spans="50:103" ht="20.100000000000001" customHeight="1" x14ac:dyDescent="0.25">
      <c r="AX516"/>
      <c r="AY516"/>
      <c r="AZ516"/>
      <c r="BA516"/>
      <c r="BB516"/>
      <c r="BC516"/>
      <c r="BD516"/>
      <c r="BE516"/>
      <c r="BF516"/>
      <c r="BG516"/>
      <c r="BH516"/>
      <c r="BI516"/>
      <c r="BJ516"/>
      <c r="BK516"/>
      <c r="BL516"/>
      <c r="BM516"/>
      <c r="BN516"/>
      <c r="BO516"/>
      <c r="BP516"/>
      <c r="BQ516"/>
      <c r="BR516"/>
      <c r="BY516"/>
      <c r="BZ516"/>
      <c r="CA516"/>
      <c r="CB516"/>
      <c r="CC516"/>
      <c r="CD516"/>
      <c r="CE516"/>
      <c r="CF516"/>
      <c r="CG516"/>
      <c r="CH516"/>
      <c r="CI516"/>
      <c r="CJ516"/>
      <c r="CK516"/>
      <c r="CL516"/>
      <c r="CM516"/>
      <c r="CN516"/>
      <c r="CO516"/>
      <c r="CP516"/>
      <c r="CQ516"/>
      <c r="CR516"/>
      <c r="CS516"/>
      <c r="CT516"/>
      <c r="CU516"/>
      <c r="CV516"/>
      <c r="CW516"/>
      <c r="CX516"/>
      <c r="CY516"/>
    </row>
    <row r="517" spans="50:103" ht="20.100000000000001" customHeight="1" x14ac:dyDescent="0.25">
      <c r="AX517"/>
      <c r="AY517"/>
      <c r="AZ517"/>
      <c r="BA517"/>
      <c r="BB517"/>
      <c r="BC517"/>
      <c r="BD517"/>
      <c r="BE517"/>
      <c r="BF517"/>
      <c r="BG517"/>
      <c r="BH517"/>
      <c r="BI517"/>
      <c r="BJ517"/>
      <c r="BK517"/>
      <c r="BL517"/>
      <c r="BM517"/>
      <c r="BN517"/>
      <c r="BO517"/>
      <c r="BP517"/>
      <c r="BQ517"/>
      <c r="BR517"/>
      <c r="BY517"/>
      <c r="BZ517"/>
      <c r="CA517"/>
      <c r="CB517"/>
      <c r="CC517"/>
      <c r="CD517"/>
      <c r="CE517"/>
      <c r="CF517"/>
      <c r="CG517"/>
      <c r="CH517"/>
      <c r="CI517"/>
      <c r="CJ517"/>
      <c r="CK517"/>
      <c r="CL517"/>
      <c r="CM517"/>
      <c r="CN517"/>
      <c r="CO517"/>
      <c r="CP517"/>
      <c r="CQ517"/>
      <c r="CR517"/>
      <c r="CS517"/>
      <c r="CT517"/>
      <c r="CU517"/>
      <c r="CV517"/>
      <c r="CW517"/>
      <c r="CX517"/>
      <c r="CY517"/>
    </row>
    <row r="518" spans="50:103" ht="20.100000000000001" customHeight="1" x14ac:dyDescent="0.25">
      <c r="AX518"/>
      <c r="AY518"/>
      <c r="AZ518"/>
      <c r="BA518"/>
      <c r="BB518"/>
      <c r="BC518"/>
      <c r="BD518"/>
      <c r="BE518"/>
      <c r="BF518"/>
      <c r="BG518"/>
      <c r="BH518"/>
      <c r="BI518"/>
      <c r="BJ518"/>
      <c r="BK518"/>
      <c r="BL518"/>
      <c r="BM518"/>
      <c r="BN518"/>
      <c r="BO518"/>
      <c r="BP518"/>
      <c r="BQ518"/>
      <c r="BR518"/>
      <c r="BY518"/>
      <c r="BZ518"/>
      <c r="CA518"/>
      <c r="CB518"/>
      <c r="CC518"/>
      <c r="CD518"/>
      <c r="CE518"/>
      <c r="CF518"/>
      <c r="CG518"/>
      <c r="CH518"/>
      <c r="CI518"/>
      <c r="CJ518"/>
      <c r="CK518"/>
      <c r="CL518"/>
      <c r="CM518"/>
      <c r="CN518"/>
      <c r="CO518"/>
      <c r="CP518"/>
      <c r="CQ518"/>
      <c r="CR518"/>
      <c r="CS518"/>
      <c r="CT518"/>
      <c r="CU518"/>
      <c r="CV518"/>
      <c r="CW518"/>
      <c r="CX518"/>
      <c r="CY518"/>
    </row>
    <row r="519" spans="50:103" ht="20.100000000000001" customHeight="1" x14ac:dyDescent="0.25">
      <c r="AX519"/>
      <c r="AY519"/>
      <c r="AZ519"/>
      <c r="BA519"/>
      <c r="BB519"/>
      <c r="BC519"/>
      <c r="BD519"/>
      <c r="BE519"/>
      <c r="BF519"/>
      <c r="BG519"/>
      <c r="BH519"/>
      <c r="BI519"/>
      <c r="BJ519"/>
      <c r="BK519"/>
      <c r="BL519"/>
      <c r="BM519"/>
      <c r="BN519"/>
      <c r="BO519"/>
      <c r="BP519"/>
      <c r="BQ519"/>
      <c r="BR519"/>
      <c r="BY519"/>
      <c r="BZ519"/>
      <c r="CA519"/>
      <c r="CB519"/>
      <c r="CC519"/>
      <c r="CD519"/>
      <c r="CE519"/>
      <c r="CF519"/>
      <c r="CG519"/>
      <c r="CH519"/>
      <c r="CI519"/>
      <c r="CJ519"/>
      <c r="CK519"/>
      <c r="CL519"/>
      <c r="CM519"/>
      <c r="CN519"/>
      <c r="CO519"/>
      <c r="CP519"/>
      <c r="CQ519"/>
      <c r="CR519"/>
      <c r="CS519"/>
      <c r="CT519"/>
      <c r="CU519"/>
      <c r="CV519"/>
      <c r="CW519"/>
      <c r="CX519"/>
      <c r="CY519"/>
    </row>
    <row r="520" spans="50:103" ht="20.100000000000001" customHeight="1" x14ac:dyDescent="0.25">
      <c r="AX520"/>
      <c r="AY520"/>
      <c r="AZ520"/>
      <c r="BA520"/>
      <c r="BB520"/>
      <c r="BC520"/>
      <c r="BD520"/>
      <c r="BE520"/>
      <c r="BF520"/>
      <c r="BG520"/>
      <c r="BH520"/>
      <c r="BI520"/>
      <c r="BJ520"/>
      <c r="BK520"/>
      <c r="BL520"/>
      <c r="BM520"/>
      <c r="BN520"/>
      <c r="BO520"/>
      <c r="BP520"/>
      <c r="BQ520"/>
      <c r="BR520"/>
      <c r="BY520"/>
      <c r="BZ520"/>
      <c r="CA520"/>
      <c r="CB520"/>
      <c r="CC520"/>
      <c r="CD520"/>
      <c r="CE520"/>
      <c r="CF520"/>
      <c r="CG520"/>
      <c r="CH520"/>
      <c r="CI520"/>
      <c r="CJ520"/>
      <c r="CK520"/>
      <c r="CL520"/>
      <c r="CM520"/>
      <c r="CN520"/>
      <c r="CO520"/>
      <c r="CP520"/>
      <c r="CQ520"/>
      <c r="CR520"/>
      <c r="CS520"/>
      <c r="CT520"/>
      <c r="CU520"/>
      <c r="CV520"/>
      <c r="CW520"/>
      <c r="CX520"/>
      <c r="CY520"/>
    </row>
    <row r="521" spans="50:103" ht="20.100000000000001" customHeight="1" x14ac:dyDescent="0.25">
      <c r="AX521"/>
      <c r="AY521"/>
      <c r="AZ521"/>
      <c r="BA521"/>
      <c r="BB521"/>
      <c r="BC521"/>
      <c r="BD521"/>
      <c r="BE521"/>
      <c r="BF521"/>
      <c r="BG521"/>
      <c r="BH521"/>
      <c r="BI521"/>
      <c r="BJ521"/>
      <c r="BK521"/>
      <c r="BL521"/>
      <c r="BM521"/>
      <c r="BN521"/>
      <c r="BO521"/>
      <c r="BP521"/>
      <c r="BQ521"/>
      <c r="BR521"/>
      <c r="BY521"/>
      <c r="BZ521"/>
      <c r="CA521"/>
      <c r="CB521"/>
      <c r="CC521"/>
      <c r="CD521"/>
      <c r="CE521"/>
      <c r="CF521"/>
      <c r="CG521"/>
      <c r="CH521"/>
      <c r="CI521"/>
      <c r="CJ521"/>
      <c r="CK521"/>
      <c r="CL521"/>
      <c r="CM521"/>
      <c r="CN521"/>
      <c r="CO521"/>
      <c r="CP521"/>
      <c r="CQ521"/>
      <c r="CR521"/>
      <c r="CS521"/>
      <c r="CT521"/>
      <c r="CU521"/>
      <c r="CV521"/>
      <c r="CW521"/>
      <c r="CX521"/>
      <c r="CY521"/>
    </row>
    <row r="522" spans="50:103" ht="20.100000000000001" customHeight="1" x14ac:dyDescent="0.25">
      <c r="AX522"/>
      <c r="AY522"/>
      <c r="AZ522"/>
      <c r="BA522"/>
      <c r="BB522"/>
      <c r="BC522"/>
      <c r="BD522"/>
      <c r="BE522"/>
      <c r="BF522"/>
      <c r="BG522"/>
      <c r="BH522"/>
      <c r="BI522"/>
      <c r="BJ522"/>
      <c r="BK522"/>
      <c r="BL522"/>
      <c r="BM522"/>
      <c r="BN522"/>
      <c r="BO522"/>
      <c r="BP522"/>
      <c r="BQ522"/>
      <c r="BR522"/>
      <c r="BY522"/>
      <c r="BZ522"/>
      <c r="CA522"/>
      <c r="CB522"/>
      <c r="CC522"/>
      <c r="CD522"/>
      <c r="CE522"/>
      <c r="CF522"/>
      <c r="CG522"/>
      <c r="CH522"/>
      <c r="CI522"/>
      <c r="CJ522"/>
      <c r="CK522"/>
      <c r="CL522"/>
      <c r="CM522"/>
      <c r="CN522"/>
      <c r="CO522"/>
      <c r="CP522"/>
      <c r="CQ522"/>
      <c r="CR522"/>
      <c r="CS522"/>
      <c r="CT522"/>
      <c r="CU522"/>
      <c r="CV522"/>
      <c r="CW522"/>
      <c r="CX522"/>
      <c r="CY522"/>
    </row>
    <row r="523" spans="50:103" ht="20.100000000000001" customHeight="1" x14ac:dyDescent="0.25">
      <c r="AX523"/>
      <c r="AY523"/>
      <c r="AZ523"/>
      <c r="BA523"/>
      <c r="BB523"/>
      <c r="BC523"/>
      <c r="BD523"/>
      <c r="BE523"/>
      <c r="BF523"/>
      <c r="BG523"/>
      <c r="BH523"/>
      <c r="BI523"/>
      <c r="BJ523"/>
      <c r="BK523"/>
      <c r="BL523"/>
      <c r="BM523"/>
      <c r="BN523"/>
      <c r="BO523"/>
      <c r="BP523"/>
      <c r="BQ523"/>
      <c r="BR523"/>
      <c r="BY523"/>
      <c r="BZ523"/>
      <c r="CA523"/>
      <c r="CB523"/>
      <c r="CC523"/>
      <c r="CD523"/>
      <c r="CE523"/>
      <c r="CF523"/>
      <c r="CG523"/>
      <c r="CH523"/>
      <c r="CI523"/>
      <c r="CJ523"/>
      <c r="CK523"/>
      <c r="CL523"/>
      <c r="CM523"/>
      <c r="CN523"/>
      <c r="CO523"/>
      <c r="CP523"/>
      <c r="CQ523"/>
      <c r="CR523"/>
      <c r="CS523"/>
      <c r="CT523"/>
      <c r="CU523"/>
      <c r="CV523"/>
      <c r="CW523"/>
      <c r="CX523"/>
      <c r="CY523"/>
    </row>
    <row r="524" spans="50:103" ht="20.100000000000001" customHeight="1" x14ac:dyDescent="0.25">
      <c r="AX524"/>
      <c r="AY524"/>
      <c r="AZ524"/>
      <c r="BA524"/>
      <c r="BB524"/>
      <c r="BC524"/>
      <c r="BD524"/>
      <c r="BE524"/>
      <c r="BF524"/>
      <c r="BG524"/>
      <c r="BH524"/>
      <c r="BI524"/>
      <c r="BJ524"/>
      <c r="BK524"/>
      <c r="BL524"/>
      <c r="BM524"/>
      <c r="BN524"/>
      <c r="BO524"/>
      <c r="BP524"/>
      <c r="BQ524"/>
      <c r="BR524"/>
      <c r="BY524"/>
      <c r="BZ524"/>
      <c r="CA524"/>
      <c r="CB524"/>
      <c r="CC524"/>
      <c r="CD524"/>
      <c r="CE524"/>
      <c r="CF524"/>
      <c r="CG524"/>
      <c r="CH524"/>
      <c r="CI524"/>
      <c r="CJ524"/>
      <c r="CK524"/>
      <c r="CL524"/>
      <c r="CM524"/>
      <c r="CN524"/>
      <c r="CO524"/>
      <c r="CP524"/>
      <c r="CQ524"/>
      <c r="CR524"/>
      <c r="CS524"/>
      <c r="CT524"/>
      <c r="CU524"/>
      <c r="CV524"/>
      <c r="CW524"/>
      <c r="CX524"/>
      <c r="CY524"/>
    </row>
    <row r="525" spans="50:103" ht="20.100000000000001" customHeight="1" x14ac:dyDescent="0.25">
      <c r="AX525"/>
      <c r="AY525"/>
      <c r="AZ525"/>
      <c r="BA525"/>
      <c r="BB525"/>
      <c r="BC525"/>
      <c r="BD525"/>
      <c r="BE525"/>
      <c r="BF525"/>
      <c r="BG525"/>
      <c r="BH525"/>
      <c r="BI525"/>
      <c r="BJ525"/>
      <c r="BK525"/>
      <c r="BL525"/>
      <c r="BM525"/>
      <c r="BN525"/>
      <c r="BO525"/>
      <c r="BP525"/>
      <c r="BQ525"/>
      <c r="BR525"/>
      <c r="BY525"/>
      <c r="BZ525"/>
      <c r="CA525"/>
      <c r="CB525"/>
      <c r="CC525"/>
      <c r="CD525"/>
      <c r="CE525"/>
      <c r="CF525"/>
      <c r="CG525"/>
      <c r="CH525"/>
      <c r="CI525"/>
      <c r="CJ525"/>
      <c r="CK525"/>
      <c r="CL525"/>
      <c r="CM525"/>
      <c r="CN525"/>
      <c r="CO525"/>
      <c r="CP525"/>
      <c r="CQ525"/>
      <c r="CR525"/>
      <c r="CS525"/>
      <c r="CT525"/>
      <c r="CU525"/>
      <c r="CV525"/>
      <c r="CW525"/>
      <c r="CX525"/>
      <c r="CY525"/>
    </row>
    <row r="526" spans="50:103" ht="20.100000000000001" customHeight="1" x14ac:dyDescent="0.25">
      <c r="AX526"/>
      <c r="AY526"/>
      <c r="AZ526"/>
      <c r="BA526"/>
      <c r="BB526"/>
      <c r="BC526"/>
      <c r="BD526"/>
      <c r="BE526"/>
      <c r="BF526"/>
      <c r="BG526"/>
      <c r="BH526"/>
      <c r="BI526"/>
      <c r="BJ526"/>
      <c r="BK526"/>
      <c r="BL526"/>
      <c r="BM526"/>
      <c r="BN526"/>
      <c r="BO526"/>
      <c r="BP526"/>
      <c r="BQ526"/>
      <c r="BR526"/>
      <c r="BY526"/>
      <c r="BZ526"/>
      <c r="CA526"/>
      <c r="CB526"/>
      <c r="CC526"/>
      <c r="CD526"/>
      <c r="CE526"/>
      <c r="CF526"/>
      <c r="CG526"/>
      <c r="CH526"/>
      <c r="CI526"/>
      <c r="CJ526"/>
      <c r="CK526"/>
      <c r="CL526"/>
      <c r="CM526"/>
      <c r="CN526"/>
      <c r="CO526"/>
      <c r="CP526"/>
      <c r="CQ526"/>
      <c r="CR526"/>
      <c r="CS526"/>
      <c r="CT526"/>
      <c r="CU526"/>
      <c r="CV526"/>
      <c r="CW526"/>
      <c r="CX526"/>
      <c r="CY526"/>
    </row>
    <row r="527" spans="50:103" ht="20.100000000000001" customHeight="1" x14ac:dyDescent="0.25">
      <c r="AX527"/>
      <c r="AY527"/>
      <c r="AZ527"/>
      <c r="BA527"/>
      <c r="BB527"/>
      <c r="BC527"/>
      <c r="BD527"/>
      <c r="BE527"/>
      <c r="BF527"/>
      <c r="BG527"/>
      <c r="BH527"/>
      <c r="BI527"/>
      <c r="BJ527"/>
      <c r="BK527"/>
      <c r="BL527"/>
      <c r="BM527"/>
      <c r="BN527"/>
      <c r="BO527"/>
      <c r="BP527"/>
      <c r="BQ527"/>
      <c r="BR527"/>
      <c r="BY527"/>
      <c r="BZ527"/>
      <c r="CA527"/>
      <c r="CB527"/>
      <c r="CC527"/>
      <c r="CD527"/>
      <c r="CE527"/>
      <c r="CF527"/>
      <c r="CG527"/>
      <c r="CH527"/>
      <c r="CI527"/>
      <c r="CJ527"/>
      <c r="CK527"/>
      <c r="CL527"/>
      <c r="CM527"/>
      <c r="CN527"/>
      <c r="CO527"/>
      <c r="CP527"/>
      <c r="CQ527"/>
      <c r="CR527"/>
      <c r="CS527"/>
      <c r="CT527"/>
      <c r="CU527"/>
      <c r="CV527"/>
      <c r="CW527"/>
      <c r="CX527"/>
      <c r="CY527"/>
    </row>
    <row r="528" spans="50:103" ht="20.100000000000001" customHeight="1" x14ac:dyDescent="0.25">
      <c r="AX528"/>
      <c r="AY528"/>
      <c r="AZ528"/>
      <c r="BA528"/>
      <c r="BB528"/>
      <c r="BC528"/>
      <c r="BD528"/>
      <c r="BE528"/>
      <c r="BF528"/>
      <c r="BG528"/>
      <c r="BH528"/>
      <c r="BI528"/>
      <c r="BJ528"/>
      <c r="BK528"/>
      <c r="BL528"/>
      <c r="BM528"/>
      <c r="BN528"/>
      <c r="BO528"/>
      <c r="BP528"/>
      <c r="BQ528"/>
      <c r="BR528"/>
      <c r="BY528"/>
      <c r="BZ528"/>
      <c r="CA528"/>
      <c r="CB528"/>
      <c r="CC528"/>
      <c r="CD528"/>
      <c r="CE528"/>
      <c r="CF528"/>
      <c r="CG528"/>
      <c r="CH528"/>
      <c r="CI528"/>
      <c r="CJ528"/>
      <c r="CK528"/>
      <c r="CL528"/>
      <c r="CM528"/>
      <c r="CN528"/>
      <c r="CO528"/>
      <c r="CP528"/>
      <c r="CQ528"/>
      <c r="CR528"/>
      <c r="CS528"/>
      <c r="CT528"/>
      <c r="CU528"/>
      <c r="CV528"/>
      <c r="CW528"/>
      <c r="CX528"/>
      <c r="CY528"/>
    </row>
    <row r="529" spans="50:103" ht="20.100000000000001" customHeight="1" x14ac:dyDescent="0.25">
      <c r="AX529"/>
      <c r="AY529"/>
      <c r="AZ529"/>
      <c r="BA529"/>
      <c r="BB529"/>
      <c r="BC529"/>
      <c r="BD529"/>
      <c r="BE529"/>
      <c r="BF529"/>
      <c r="BG529"/>
      <c r="BH529"/>
      <c r="BI529"/>
      <c r="BJ529"/>
      <c r="BK529"/>
      <c r="BL529"/>
      <c r="BM529"/>
      <c r="BN529"/>
      <c r="BO529"/>
      <c r="BP529"/>
      <c r="BQ529"/>
      <c r="BR529"/>
      <c r="BY529"/>
      <c r="BZ529"/>
      <c r="CA529"/>
      <c r="CB529"/>
      <c r="CC529"/>
      <c r="CD529"/>
      <c r="CE529"/>
      <c r="CF529"/>
      <c r="CG529"/>
      <c r="CH529"/>
      <c r="CI529"/>
      <c r="CJ529"/>
      <c r="CK529"/>
      <c r="CL529"/>
      <c r="CM529"/>
      <c r="CN529"/>
      <c r="CO529"/>
      <c r="CP529"/>
      <c r="CQ529"/>
      <c r="CR529"/>
      <c r="CS529"/>
      <c r="CT529"/>
      <c r="CU529"/>
      <c r="CV529"/>
      <c r="CW529"/>
      <c r="CX529"/>
      <c r="CY529"/>
    </row>
    <row r="530" spans="50:103" ht="20.100000000000001" customHeight="1" x14ac:dyDescent="0.25">
      <c r="AX530"/>
      <c r="AY530"/>
      <c r="AZ530"/>
      <c r="BA530"/>
      <c r="BB530"/>
      <c r="BC530"/>
      <c r="BD530"/>
      <c r="BE530"/>
      <c r="BF530"/>
      <c r="BG530"/>
      <c r="BH530"/>
      <c r="BI530"/>
      <c r="BJ530"/>
      <c r="BK530"/>
      <c r="BL530"/>
      <c r="BM530"/>
      <c r="BN530"/>
      <c r="BO530"/>
      <c r="BP530"/>
      <c r="BQ530"/>
      <c r="BR530"/>
      <c r="BY530"/>
      <c r="BZ530"/>
      <c r="CA530"/>
      <c r="CB530"/>
      <c r="CC530"/>
      <c r="CD530"/>
      <c r="CE530"/>
      <c r="CF530"/>
      <c r="CG530"/>
      <c r="CH530"/>
      <c r="CI530"/>
      <c r="CJ530"/>
      <c r="CK530"/>
      <c r="CL530"/>
      <c r="CM530"/>
      <c r="CN530"/>
      <c r="CO530"/>
      <c r="CP530"/>
      <c r="CQ530"/>
      <c r="CR530"/>
      <c r="CS530"/>
      <c r="CT530"/>
      <c r="CU530"/>
      <c r="CV530"/>
      <c r="CW530"/>
      <c r="CX530"/>
      <c r="CY530"/>
    </row>
    <row r="531" spans="50:103" ht="20.100000000000001" customHeight="1" x14ac:dyDescent="0.25">
      <c r="AX531"/>
      <c r="AY531"/>
      <c r="AZ531"/>
      <c r="BA531"/>
      <c r="BB531"/>
      <c r="BC531"/>
      <c r="BD531"/>
      <c r="BE531"/>
      <c r="BF531"/>
      <c r="BG531"/>
      <c r="BH531"/>
      <c r="BI531"/>
      <c r="BJ531"/>
      <c r="BK531"/>
      <c r="BL531"/>
      <c r="BM531"/>
      <c r="BN531"/>
      <c r="BO531"/>
      <c r="BP531"/>
      <c r="BQ531"/>
      <c r="BR531"/>
      <c r="BY531"/>
      <c r="BZ531"/>
      <c r="CA531"/>
      <c r="CB531"/>
      <c r="CC531"/>
      <c r="CD531"/>
      <c r="CE531"/>
      <c r="CF531"/>
      <c r="CG531"/>
      <c r="CH531"/>
      <c r="CI531"/>
      <c r="CJ531"/>
      <c r="CK531"/>
      <c r="CL531"/>
      <c r="CM531"/>
      <c r="CN531"/>
      <c r="CO531"/>
      <c r="CP531"/>
      <c r="CQ531"/>
      <c r="CR531"/>
      <c r="CS531"/>
      <c r="CT531"/>
      <c r="CU531"/>
      <c r="CV531"/>
      <c r="CW531"/>
      <c r="CX531"/>
      <c r="CY531"/>
    </row>
    <row r="532" spans="50:103" ht="20.100000000000001" customHeight="1" x14ac:dyDescent="0.25">
      <c r="AX532"/>
      <c r="AY532"/>
      <c r="AZ532"/>
      <c r="BA532"/>
      <c r="BB532"/>
      <c r="BC532"/>
      <c r="BD532"/>
      <c r="BE532"/>
      <c r="BF532"/>
      <c r="BG532"/>
      <c r="BH532"/>
      <c r="BI532"/>
      <c r="BJ532"/>
      <c r="BK532"/>
      <c r="BL532"/>
      <c r="BM532"/>
      <c r="BN532"/>
      <c r="BO532"/>
      <c r="BP532"/>
      <c r="BQ532"/>
      <c r="BR532"/>
      <c r="BY532"/>
      <c r="BZ532"/>
      <c r="CA532"/>
      <c r="CB532"/>
      <c r="CC532"/>
      <c r="CD532"/>
      <c r="CE532"/>
      <c r="CF532"/>
      <c r="CG532"/>
      <c r="CH532"/>
      <c r="CI532"/>
      <c r="CJ532"/>
      <c r="CK532"/>
      <c r="CL532"/>
      <c r="CM532"/>
      <c r="CN532"/>
      <c r="CO532"/>
      <c r="CP532"/>
      <c r="CQ532"/>
      <c r="CR532"/>
      <c r="CS532"/>
      <c r="CT532"/>
      <c r="CU532"/>
      <c r="CV532"/>
      <c r="CW532"/>
      <c r="CX532"/>
      <c r="CY532"/>
    </row>
    <row r="533" spans="50:103" ht="20.100000000000001" customHeight="1" x14ac:dyDescent="0.25">
      <c r="AX533"/>
      <c r="AY533"/>
      <c r="AZ533"/>
      <c r="BA533"/>
      <c r="BB533"/>
      <c r="BC533"/>
      <c r="BD533"/>
      <c r="BE533"/>
      <c r="BF533"/>
      <c r="BG533"/>
      <c r="BH533"/>
      <c r="BI533"/>
      <c r="BJ533"/>
      <c r="BK533"/>
      <c r="BL533"/>
      <c r="BM533"/>
      <c r="BN533"/>
      <c r="BO533"/>
      <c r="BP533"/>
      <c r="BQ533"/>
      <c r="BR533"/>
      <c r="BY533"/>
      <c r="BZ533"/>
      <c r="CA533"/>
      <c r="CB533"/>
      <c r="CC533"/>
      <c r="CD533"/>
      <c r="CE533"/>
      <c r="CF533"/>
      <c r="CG533"/>
      <c r="CH533"/>
      <c r="CI533"/>
      <c r="CJ533"/>
      <c r="CK533"/>
      <c r="CL533"/>
      <c r="CM533"/>
      <c r="CN533"/>
      <c r="CO533"/>
      <c r="CP533"/>
      <c r="CQ533"/>
      <c r="CR533"/>
      <c r="CS533"/>
      <c r="CT533"/>
      <c r="CU533"/>
      <c r="CV533"/>
      <c r="CW533"/>
      <c r="CX533"/>
      <c r="CY533"/>
    </row>
    <row r="534" spans="50:103" ht="20.100000000000001" customHeight="1" x14ac:dyDescent="0.25">
      <c r="AX534"/>
      <c r="AY534"/>
      <c r="AZ534"/>
      <c r="BA534"/>
      <c r="BB534"/>
      <c r="BC534"/>
      <c r="BD534"/>
      <c r="BE534"/>
      <c r="BF534"/>
      <c r="BG534"/>
      <c r="BH534"/>
      <c r="BI534"/>
      <c r="BJ534"/>
      <c r="BK534"/>
      <c r="BL534"/>
      <c r="BM534"/>
      <c r="BN534"/>
      <c r="BO534"/>
      <c r="BP534"/>
      <c r="BQ534"/>
      <c r="BR534"/>
      <c r="BY534"/>
      <c r="BZ534"/>
      <c r="CA534"/>
      <c r="CB534"/>
      <c r="CC534"/>
      <c r="CD534"/>
      <c r="CE534"/>
      <c r="CF534"/>
      <c r="CG534"/>
      <c r="CH534"/>
      <c r="CI534"/>
      <c r="CJ534"/>
      <c r="CK534"/>
      <c r="CL534"/>
      <c r="CM534"/>
      <c r="CN534"/>
      <c r="CO534"/>
      <c r="CP534"/>
      <c r="CQ534"/>
      <c r="CR534"/>
      <c r="CS534"/>
      <c r="CT534"/>
      <c r="CU534"/>
      <c r="CV534"/>
      <c r="CW534"/>
      <c r="CX534"/>
      <c r="CY534"/>
    </row>
    <row r="535" spans="50:103" ht="20.100000000000001" customHeight="1" x14ac:dyDescent="0.25">
      <c r="AX535"/>
      <c r="AY535"/>
      <c r="AZ535"/>
      <c r="BA535"/>
      <c r="BB535"/>
      <c r="BC535"/>
      <c r="BD535"/>
      <c r="BE535"/>
      <c r="BF535"/>
      <c r="BG535"/>
      <c r="BH535"/>
      <c r="BI535"/>
      <c r="BJ535"/>
      <c r="BK535"/>
      <c r="BL535"/>
      <c r="BM535"/>
      <c r="BN535"/>
      <c r="BO535"/>
      <c r="BP535"/>
      <c r="BQ535"/>
      <c r="BR535"/>
      <c r="BY535"/>
      <c r="BZ535"/>
      <c r="CA535"/>
      <c r="CB535"/>
      <c r="CC535"/>
      <c r="CD535"/>
      <c r="CE535"/>
      <c r="CF535"/>
      <c r="CG535"/>
      <c r="CH535"/>
      <c r="CI535"/>
      <c r="CJ535"/>
      <c r="CK535"/>
      <c r="CL535"/>
      <c r="CM535"/>
      <c r="CN535"/>
      <c r="CO535"/>
      <c r="CP535"/>
      <c r="CQ535"/>
      <c r="CR535"/>
      <c r="CS535"/>
      <c r="CT535"/>
      <c r="CU535"/>
      <c r="CV535"/>
      <c r="CW535"/>
      <c r="CX535"/>
      <c r="CY535"/>
    </row>
    <row r="536" spans="50:103" ht="20.100000000000001" customHeight="1" x14ac:dyDescent="0.25">
      <c r="AX536"/>
      <c r="AY536"/>
      <c r="AZ536"/>
      <c r="BA536"/>
      <c r="BB536"/>
      <c r="BC536"/>
      <c r="BD536"/>
      <c r="BE536"/>
      <c r="BF536"/>
      <c r="BG536"/>
      <c r="BH536"/>
      <c r="BI536"/>
      <c r="BJ536"/>
      <c r="BK536"/>
      <c r="BL536"/>
      <c r="BM536"/>
      <c r="BN536"/>
      <c r="BO536"/>
      <c r="BP536"/>
      <c r="BQ536"/>
      <c r="BR536"/>
      <c r="BY536"/>
      <c r="BZ536"/>
      <c r="CA536"/>
      <c r="CB536"/>
      <c r="CC536"/>
      <c r="CD536"/>
      <c r="CE536"/>
      <c r="CF536"/>
      <c r="CG536"/>
      <c r="CH536"/>
      <c r="CI536"/>
      <c r="CJ536"/>
      <c r="CK536"/>
      <c r="CL536"/>
      <c r="CM536"/>
      <c r="CN536"/>
      <c r="CO536"/>
      <c r="CP536"/>
      <c r="CQ536"/>
      <c r="CR536"/>
      <c r="CS536"/>
      <c r="CT536"/>
      <c r="CU536"/>
      <c r="CV536"/>
      <c r="CW536"/>
      <c r="CX536"/>
      <c r="CY536"/>
    </row>
    <row r="537" spans="50:103" ht="20.100000000000001" customHeight="1" x14ac:dyDescent="0.25">
      <c r="AX537"/>
      <c r="AY537"/>
      <c r="AZ537"/>
      <c r="BA537"/>
      <c r="BB537"/>
      <c r="BC537"/>
      <c r="BD537"/>
      <c r="BE537"/>
      <c r="BF537"/>
      <c r="BG537"/>
      <c r="BH537"/>
      <c r="BI537"/>
      <c r="BJ537"/>
      <c r="BK537"/>
      <c r="BL537"/>
      <c r="BM537"/>
      <c r="BN537"/>
      <c r="BO537"/>
      <c r="BP537"/>
      <c r="BQ537"/>
      <c r="BR537"/>
      <c r="BY537"/>
      <c r="BZ537"/>
      <c r="CA537"/>
      <c r="CB537"/>
      <c r="CC537"/>
      <c r="CD537"/>
      <c r="CE537"/>
      <c r="CF537"/>
      <c r="CG537"/>
      <c r="CH537"/>
      <c r="CI537"/>
      <c r="CJ537"/>
      <c r="CK537"/>
      <c r="CL537"/>
      <c r="CM537"/>
      <c r="CN537"/>
      <c r="CO537"/>
      <c r="CP537"/>
      <c r="CQ537"/>
      <c r="CR537"/>
      <c r="CS537"/>
      <c r="CT537"/>
      <c r="CU537"/>
      <c r="CV537"/>
      <c r="CW537"/>
      <c r="CX537"/>
      <c r="CY537"/>
    </row>
    <row r="538" spans="50:103" ht="20.100000000000001" customHeight="1" x14ac:dyDescent="0.25">
      <c r="AX538"/>
      <c r="AY538"/>
      <c r="AZ538"/>
      <c r="BA538"/>
      <c r="BB538"/>
      <c r="BC538"/>
      <c r="BD538"/>
      <c r="BE538"/>
      <c r="BF538"/>
      <c r="BG538"/>
      <c r="BH538"/>
      <c r="BI538"/>
      <c r="BJ538"/>
      <c r="BK538"/>
      <c r="BL538"/>
      <c r="BM538"/>
      <c r="BN538"/>
      <c r="BO538"/>
      <c r="BP538"/>
      <c r="BQ538"/>
      <c r="BR538"/>
      <c r="BY538"/>
      <c r="BZ538"/>
      <c r="CA538"/>
      <c r="CB538"/>
      <c r="CC538"/>
      <c r="CD538"/>
      <c r="CE538"/>
      <c r="CF538"/>
      <c r="CG538"/>
      <c r="CH538"/>
      <c r="CI538"/>
      <c r="CJ538"/>
      <c r="CK538"/>
      <c r="CL538"/>
      <c r="CM538"/>
      <c r="CN538"/>
      <c r="CO538"/>
      <c r="CP538"/>
      <c r="CQ538"/>
      <c r="CR538"/>
      <c r="CS538"/>
      <c r="CT538"/>
      <c r="CU538"/>
      <c r="CV538"/>
      <c r="CW538"/>
      <c r="CX538"/>
      <c r="CY538"/>
    </row>
    <row r="539" spans="50:103" ht="20.100000000000001" customHeight="1" x14ac:dyDescent="0.25">
      <c r="AX539"/>
      <c r="AY539"/>
      <c r="AZ539"/>
      <c r="BA539"/>
      <c r="BB539"/>
      <c r="BC539"/>
      <c r="BD539"/>
      <c r="BE539"/>
      <c r="BF539"/>
      <c r="BG539"/>
      <c r="BH539"/>
      <c r="BI539"/>
      <c r="BJ539"/>
      <c r="BK539"/>
      <c r="BL539"/>
      <c r="BM539"/>
      <c r="BN539"/>
      <c r="BO539"/>
      <c r="BP539"/>
      <c r="BQ539"/>
      <c r="BR539"/>
      <c r="BY539"/>
      <c r="BZ539"/>
      <c r="CA539"/>
      <c r="CB539"/>
      <c r="CC539"/>
      <c r="CD539"/>
      <c r="CE539"/>
      <c r="CF539"/>
      <c r="CG539"/>
      <c r="CH539"/>
      <c r="CI539"/>
      <c r="CJ539"/>
      <c r="CK539"/>
      <c r="CL539"/>
      <c r="CM539"/>
      <c r="CN539"/>
      <c r="CO539"/>
      <c r="CP539"/>
      <c r="CQ539"/>
      <c r="CR539"/>
      <c r="CS539"/>
      <c r="CT539"/>
      <c r="CU539"/>
      <c r="CV539"/>
      <c r="CW539"/>
      <c r="CX539"/>
      <c r="CY539"/>
    </row>
    <row r="540" spans="50:103" ht="20.100000000000001" customHeight="1" x14ac:dyDescent="0.25">
      <c r="AX540"/>
      <c r="AY540"/>
      <c r="AZ540"/>
      <c r="BA540"/>
      <c r="BB540"/>
      <c r="BC540"/>
      <c r="BD540"/>
      <c r="BE540"/>
      <c r="BF540"/>
      <c r="BG540"/>
      <c r="BH540"/>
      <c r="BI540"/>
      <c r="BJ540"/>
      <c r="BK540"/>
      <c r="BL540"/>
      <c r="BM540"/>
      <c r="BN540"/>
      <c r="BO540"/>
      <c r="BP540"/>
      <c r="BQ540"/>
      <c r="BR540"/>
      <c r="BY540"/>
      <c r="BZ540"/>
      <c r="CA540"/>
      <c r="CB540"/>
      <c r="CC540"/>
      <c r="CD540"/>
      <c r="CE540"/>
      <c r="CF540"/>
      <c r="CG540"/>
      <c r="CH540"/>
      <c r="CI540"/>
      <c r="CJ540"/>
      <c r="CK540"/>
      <c r="CL540"/>
      <c r="CM540"/>
      <c r="CN540"/>
      <c r="CO540"/>
      <c r="CP540"/>
      <c r="CQ540"/>
      <c r="CR540"/>
      <c r="CS540"/>
      <c r="CT540"/>
      <c r="CU540"/>
      <c r="CV540"/>
      <c r="CW540"/>
      <c r="CX540"/>
      <c r="CY540"/>
    </row>
    <row r="541" spans="50:103" ht="20.100000000000001" customHeight="1" x14ac:dyDescent="0.25">
      <c r="AX541"/>
      <c r="AY541"/>
      <c r="AZ541"/>
      <c r="BA541"/>
      <c r="BB541"/>
      <c r="BC541"/>
      <c r="BD541"/>
      <c r="BE541"/>
      <c r="BF541"/>
      <c r="BG541"/>
      <c r="BH541"/>
      <c r="BI541"/>
      <c r="BJ541"/>
      <c r="BK541"/>
      <c r="BL541"/>
      <c r="BM541"/>
      <c r="BN541"/>
      <c r="BO541"/>
      <c r="BP541"/>
      <c r="BQ541"/>
      <c r="BR541"/>
      <c r="BY541"/>
      <c r="BZ541"/>
      <c r="CA541"/>
      <c r="CB541"/>
      <c r="CC541"/>
      <c r="CD541"/>
      <c r="CE541"/>
      <c r="CF541"/>
      <c r="CG541"/>
      <c r="CH541"/>
      <c r="CI541"/>
      <c r="CJ541"/>
      <c r="CK541"/>
      <c r="CL541"/>
      <c r="CM541"/>
      <c r="CN541"/>
      <c r="CO541"/>
      <c r="CP541"/>
      <c r="CQ541"/>
      <c r="CR541"/>
      <c r="CS541"/>
      <c r="CT541"/>
      <c r="CU541"/>
      <c r="CV541"/>
      <c r="CW541"/>
      <c r="CX541"/>
      <c r="CY541"/>
    </row>
    <row r="542" spans="50:103" ht="20.100000000000001" customHeight="1" x14ac:dyDescent="0.25">
      <c r="AX542"/>
      <c r="AY542"/>
      <c r="AZ542"/>
      <c r="BA542"/>
      <c r="BB542"/>
      <c r="BC542"/>
      <c r="BD542"/>
      <c r="BE542"/>
      <c r="BF542"/>
      <c r="BG542"/>
      <c r="BH542"/>
      <c r="BI542"/>
      <c r="BJ542"/>
      <c r="BK542"/>
      <c r="BL542"/>
      <c r="BM542"/>
      <c r="BN542"/>
      <c r="BO542"/>
      <c r="BP542"/>
      <c r="BQ542"/>
      <c r="BR542"/>
      <c r="BY542"/>
      <c r="BZ542"/>
      <c r="CA542"/>
      <c r="CB542"/>
      <c r="CC542"/>
      <c r="CD542"/>
      <c r="CE542"/>
      <c r="CF542"/>
      <c r="CG542"/>
      <c r="CH542"/>
      <c r="CI542"/>
      <c r="CJ542"/>
      <c r="CK542"/>
      <c r="CL542"/>
      <c r="CM542"/>
      <c r="CN542"/>
      <c r="CO542"/>
      <c r="CP542"/>
      <c r="CQ542"/>
      <c r="CR542"/>
      <c r="CS542"/>
      <c r="CT542"/>
      <c r="CU542"/>
      <c r="CV542"/>
      <c r="CW542"/>
      <c r="CX542"/>
      <c r="CY542"/>
    </row>
    <row r="543" spans="50:103" ht="20.100000000000001" customHeight="1" x14ac:dyDescent="0.25">
      <c r="AX543"/>
      <c r="AY543"/>
      <c r="AZ543"/>
      <c r="BA543"/>
      <c r="BB543"/>
      <c r="BC543"/>
      <c r="BD543"/>
      <c r="BE543"/>
      <c r="BF543"/>
      <c r="BG543"/>
      <c r="BH543"/>
      <c r="BI543"/>
      <c r="BJ543"/>
      <c r="BK543"/>
      <c r="BL543"/>
      <c r="BM543"/>
      <c r="BN543"/>
      <c r="BO543"/>
      <c r="BP543"/>
      <c r="BQ543"/>
      <c r="BR543"/>
      <c r="BY543"/>
      <c r="BZ543"/>
      <c r="CA543"/>
      <c r="CB543"/>
      <c r="CC543"/>
      <c r="CD543"/>
      <c r="CE543"/>
      <c r="CF543"/>
      <c r="CG543"/>
      <c r="CH543"/>
      <c r="CI543"/>
      <c r="CJ543"/>
      <c r="CK543"/>
      <c r="CL543"/>
      <c r="CM543"/>
      <c r="CN543"/>
      <c r="CO543"/>
      <c r="CP543"/>
      <c r="CQ543"/>
      <c r="CR543"/>
      <c r="CS543"/>
      <c r="CT543"/>
      <c r="CU543"/>
      <c r="CV543"/>
      <c r="CW543"/>
      <c r="CX543"/>
      <c r="CY543"/>
    </row>
    <row r="544" spans="50:103" ht="20.100000000000001" customHeight="1" x14ac:dyDescent="0.25">
      <c r="AX544"/>
      <c r="AY544"/>
      <c r="AZ544"/>
      <c r="BA544"/>
      <c r="BB544"/>
      <c r="BC544"/>
      <c r="BD544"/>
      <c r="BE544"/>
      <c r="BF544"/>
      <c r="BG544"/>
      <c r="BH544"/>
      <c r="BI544"/>
      <c r="BJ544"/>
      <c r="BK544"/>
      <c r="BL544"/>
      <c r="BM544"/>
      <c r="BN544"/>
      <c r="BO544"/>
      <c r="BP544"/>
      <c r="BQ544"/>
      <c r="BR544"/>
      <c r="BY544"/>
      <c r="BZ544"/>
      <c r="CA544"/>
      <c r="CB544"/>
      <c r="CC544"/>
      <c r="CD544"/>
      <c r="CE544"/>
      <c r="CF544"/>
      <c r="CG544"/>
      <c r="CH544"/>
      <c r="CI544"/>
      <c r="CJ544"/>
      <c r="CK544"/>
      <c r="CL544"/>
      <c r="CM544"/>
      <c r="CN544"/>
      <c r="CO544"/>
      <c r="CP544"/>
      <c r="CQ544"/>
      <c r="CR544"/>
      <c r="CS544"/>
      <c r="CT544"/>
      <c r="CU544"/>
      <c r="CV544"/>
      <c r="CW544"/>
      <c r="CX544"/>
      <c r="CY544"/>
    </row>
    <row r="545" spans="50:103" ht="20.100000000000001" customHeight="1" x14ac:dyDescent="0.25">
      <c r="AX545"/>
      <c r="AY545"/>
      <c r="AZ545"/>
      <c r="BA545"/>
      <c r="BB545"/>
      <c r="BC545"/>
      <c r="BD545"/>
      <c r="BE545"/>
      <c r="BF545"/>
      <c r="BG545"/>
      <c r="BH545"/>
      <c r="BI545"/>
      <c r="BJ545"/>
      <c r="BK545"/>
      <c r="BL545"/>
      <c r="BM545"/>
      <c r="BN545"/>
      <c r="BO545"/>
      <c r="BP545"/>
      <c r="BQ545"/>
      <c r="BR545"/>
      <c r="BY545"/>
      <c r="BZ545"/>
      <c r="CA545"/>
      <c r="CB545"/>
      <c r="CC545"/>
      <c r="CD545"/>
      <c r="CE545"/>
      <c r="CF545"/>
      <c r="CG545"/>
      <c r="CH545"/>
      <c r="CI545"/>
      <c r="CJ545"/>
      <c r="CK545"/>
      <c r="CL545"/>
      <c r="CM545"/>
      <c r="CN545"/>
      <c r="CO545"/>
      <c r="CP545"/>
      <c r="CQ545"/>
      <c r="CR545"/>
      <c r="CS545"/>
      <c r="CT545"/>
      <c r="CU545"/>
      <c r="CV545"/>
      <c r="CW545"/>
      <c r="CX545"/>
      <c r="CY545"/>
    </row>
    <row r="546" spans="50:103" ht="20.100000000000001" customHeight="1" x14ac:dyDescent="0.25">
      <c r="AX546"/>
      <c r="AY546"/>
      <c r="AZ546"/>
      <c r="BA546"/>
      <c r="BB546"/>
      <c r="BC546"/>
      <c r="BD546"/>
      <c r="BE546"/>
      <c r="BF546"/>
      <c r="BG546"/>
      <c r="BH546"/>
      <c r="BI546"/>
      <c r="BJ546"/>
      <c r="BK546"/>
      <c r="BL546"/>
      <c r="BM546"/>
      <c r="BN546"/>
      <c r="BO546"/>
      <c r="BP546"/>
      <c r="BQ546"/>
      <c r="BR546"/>
      <c r="BY546"/>
      <c r="BZ546"/>
      <c r="CA546"/>
      <c r="CB546"/>
      <c r="CC546"/>
      <c r="CD546"/>
      <c r="CE546"/>
      <c r="CF546"/>
      <c r="CG546"/>
      <c r="CH546"/>
      <c r="CI546"/>
      <c r="CJ546"/>
      <c r="CK546"/>
      <c r="CL546"/>
      <c r="CM546"/>
      <c r="CN546"/>
      <c r="CO546"/>
      <c r="CP546"/>
      <c r="CQ546"/>
      <c r="CR546"/>
      <c r="CS546"/>
      <c r="CT546"/>
      <c r="CU546"/>
      <c r="CV546"/>
      <c r="CW546"/>
      <c r="CX546"/>
      <c r="CY546"/>
    </row>
    <row r="547" spans="50:103" ht="20.100000000000001" customHeight="1" x14ac:dyDescent="0.25">
      <c r="AX547"/>
      <c r="AY547"/>
      <c r="AZ547"/>
      <c r="BA547"/>
      <c r="BB547"/>
      <c r="BC547"/>
      <c r="BD547"/>
      <c r="BE547"/>
      <c r="BF547"/>
      <c r="BG547"/>
      <c r="BH547"/>
      <c r="BI547"/>
      <c r="BJ547"/>
      <c r="BK547"/>
      <c r="BL547"/>
      <c r="BM547"/>
      <c r="BN547"/>
      <c r="BO547"/>
      <c r="BP547"/>
      <c r="BQ547"/>
      <c r="BR547"/>
      <c r="BY547"/>
      <c r="BZ547"/>
      <c r="CA547"/>
      <c r="CB547"/>
      <c r="CC547"/>
      <c r="CD547"/>
      <c r="CE547"/>
      <c r="CF547"/>
      <c r="CG547"/>
      <c r="CH547"/>
      <c r="CI547"/>
      <c r="CJ547"/>
      <c r="CK547"/>
      <c r="CL547"/>
      <c r="CM547"/>
      <c r="CN547"/>
      <c r="CO547"/>
      <c r="CP547"/>
      <c r="CQ547"/>
      <c r="CR547"/>
      <c r="CS547"/>
      <c r="CT547"/>
      <c r="CU547"/>
      <c r="CV547"/>
      <c r="CW547"/>
      <c r="CX547"/>
      <c r="CY547"/>
    </row>
    <row r="548" spans="50:103" ht="20.100000000000001" customHeight="1" x14ac:dyDescent="0.25">
      <c r="AX548"/>
      <c r="AY548"/>
      <c r="AZ548"/>
      <c r="BA548"/>
      <c r="BB548"/>
      <c r="BC548"/>
      <c r="BD548"/>
      <c r="BE548"/>
      <c r="BF548"/>
      <c r="BG548"/>
      <c r="BH548"/>
      <c r="BI548"/>
      <c r="BJ548"/>
      <c r="BK548"/>
      <c r="BL548"/>
      <c r="BM548"/>
      <c r="BN548"/>
      <c r="BO548"/>
      <c r="BP548"/>
      <c r="BQ548"/>
      <c r="BR548"/>
      <c r="BY548"/>
      <c r="BZ548"/>
      <c r="CA548"/>
      <c r="CB548"/>
      <c r="CC548"/>
      <c r="CD548"/>
      <c r="CE548"/>
      <c r="CF548"/>
      <c r="CG548"/>
      <c r="CH548"/>
      <c r="CI548"/>
      <c r="CJ548"/>
      <c r="CK548"/>
      <c r="CL548"/>
      <c r="CM548"/>
      <c r="CN548"/>
      <c r="CO548"/>
      <c r="CP548"/>
      <c r="CQ548"/>
      <c r="CR548"/>
      <c r="CS548"/>
      <c r="CT548"/>
      <c r="CU548"/>
      <c r="CV548"/>
      <c r="CW548"/>
      <c r="CX548"/>
      <c r="CY548"/>
    </row>
    <row r="549" spans="50:103" ht="20.100000000000001" customHeight="1" x14ac:dyDescent="0.25">
      <c r="AX549"/>
      <c r="AY549"/>
      <c r="AZ549"/>
      <c r="BA549"/>
      <c r="BB549"/>
      <c r="BC549"/>
      <c r="BD549"/>
      <c r="BE549"/>
      <c r="BF549"/>
      <c r="BG549"/>
      <c r="BH549"/>
      <c r="BI549"/>
      <c r="BJ549"/>
      <c r="BK549"/>
      <c r="BL549"/>
      <c r="BM549"/>
      <c r="BN549"/>
      <c r="BO549"/>
      <c r="BP549"/>
      <c r="BQ549"/>
      <c r="BR549"/>
      <c r="BY549"/>
      <c r="BZ549"/>
      <c r="CA549"/>
      <c r="CB549"/>
      <c r="CC549"/>
      <c r="CD549"/>
      <c r="CE549"/>
      <c r="CF549"/>
      <c r="CG549"/>
      <c r="CH549"/>
      <c r="CI549"/>
      <c r="CJ549"/>
      <c r="CK549"/>
      <c r="CL549"/>
      <c r="CM549"/>
      <c r="CN549"/>
      <c r="CO549"/>
      <c r="CP549"/>
      <c r="CQ549"/>
      <c r="CR549"/>
      <c r="CS549"/>
      <c r="CT549"/>
      <c r="CU549"/>
      <c r="CV549"/>
      <c r="CW549"/>
      <c r="CX549"/>
      <c r="CY549"/>
    </row>
    <row r="550" spans="50:103" ht="20.100000000000001" customHeight="1" x14ac:dyDescent="0.25">
      <c r="AX550"/>
      <c r="AY550"/>
      <c r="AZ550"/>
      <c r="BA550"/>
      <c r="BB550"/>
      <c r="BC550"/>
      <c r="BD550"/>
      <c r="BE550"/>
      <c r="BF550"/>
      <c r="BG550"/>
      <c r="BH550"/>
      <c r="BI550"/>
      <c r="BJ550"/>
      <c r="BK550"/>
      <c r="BL550"/>
      <c r="BM550"/>
      <c r="BN550"/>
      <c r="BO550"/>
      <c r="BP550"/>
      <c r="BQ550"/>
      <c r="BR550"/>
      <c r="BY550"/>
      <c r="BZ550"/>
      <c r="CA550"/>
      <c r="CB550"/>
      <c r="CC550"/>
      <c r="CD550"/>
      <c r="CE550"/>
      <c r="CF550"/>
      <c r="CG550"/>
      <c r="CH550"/>
      <c r="CI550"/>
      <c r="CJ550"/>
      <c r="CK550"/>
      <c r="CL550"/>
      <c r="CM550"/>
      <c r="CN550"/>
      <c r="CO550"/>
      <c r="CP550"/>
      <c r="CQ550"/>
      <c r="CR550"/>
      <c r="CS550"/>
      <c r="CT550"/>
      <c r="CU550"/>
      <c r="CV550"/>
      <c r="CW550"/>
      <c r="CX550"/>
      <c r="CY550"/>
    </row>
    <row r="551" spans="50:103" ht="20.100000000000001" customHeight="1" x14ac:dyDescent="0.25">
      <c r="AX551"/>
      <c r="AY551"/>
      <c r="AZ551"/>
      <c r="BA551"/>
      <c r="BB551"/>
      <c r="BC551"/>
      <c r="BD551"/>
      <c r="BE551"/>
      <c r="BF551"/>
      <c r="BG551"/>
      <c r="BH551"/>
      <c r="BI551"/>
      <c r="BJ551"/>
      <c r="BK551"/>
      <c r="BL551"/>
      <c r="BM551"/>
      <c r="BN551"/>
      <c r="BO551"/>
      <c r="BP551"/>
      <c r="BQ551"/>
      <c r="BR551"/>
      <c r="BY551"/>
      <c r="BZ551"/>
      <c r="CA551"/>
      <c r="CB551"/>
      <c r="CC551"/>
      <c r="CD551"/>
      <c r="CE551"/>
      <c r="CF551"/>
      <c r="CG551"/>
      <c r="CH551"/>
      <c r="CI551"/>
      <c r="CJ551"/>
      <c r="CK551"/>
      <c r="CL551"/>
      <c r="CM551"/>
      <c r="CN551"/>
      <c r="CO551"/>
      <c r="CP551"/>
      <c r="CQ551"/>
      <c r="CR551"/>
      <c r="CS551"/>
      <c r="CT551"/>
      <c r="CU551"/>
      <c r="CV551"/>
      <c r="CW551"/>
      <c r="CX551"/>
      <c r="CY551"/>
    </row>
    <row r="552" spans="50:103" ht="20.100000000000001" customHeight="1" x14ac:dyDescent="0.25">
      <c r="AX552"/>
      <c r="AY552"/>
      <c r="AZ552"/>
      <c r="BA552"/>
      <c r="BB552"/>
      <c r="BC552"/>
      <c r="BD552"/>
      <c r="BE552"/>
      <c r="BF552"/>
      <c r="BG552"/>
      <c r="BH552"/>
      <c r="BI552"/>
      <c r="BJ552"/>
      <c r="BK552"/>
      <c r="BL552"/>
      <c r="BM552"/>
      <c r="BN552"/>
      <c r="BO552"/>
      <c r="BP552"/>
      <c r="BQ552"/>
      <c r="BR552"/>
      <c r="BY552"/>
      <c r="BZ552"/>
      <c r="CA552"/>
      <c r="CB552"/>
      <c r="CC552"/>
      <c r="CD552"/>
      <c r="CE552"/>
      <c r="CF552"/>
      <c r="CG552"/>
      <c r="CH552"/>
      <c r="CI552"/>
      <c r="CJ552"/>
      <c r="CK552"/>
      <c r="CL552"/>
      <c r="CM552"/>
      <c r="CN552"/>
      <c r="CO552"/>
      <c r="CP552"/>
      <c r="CQ552"/>
      <c r="CR552"/>
      <c r="CS552"/>
      <c r="CT552"/>
      <c r="CU552"/>
      <c r="CV552"/>
      <c r="CW552"/>
      <c r="CX552"/>
      <c r="CY552"/>
    </row>
    <row r="553" spans="50:103" ht="20.100000000000001" customHeight="1" x14ac:dyDescent="0.25">
      <c r="AX553"/>
      <c r="AY553"/>
      <c r="AZ553"/>
      <c r="BA553"/>
      <c r="BB553"/>
      <c r="BC553"/>
      <c r="BD553"/>
      <c r="BE553"/>
      <c r="BF553"/>
      <c r="BG553"/>
      <c r="BH553"/>
      <c r="BI553"/>
      <c r="BJ553"/>
      <c r="BK553"/>
      <c r="BL553"/>
      <c r="BM553"/>
      <c r="BN553"/>
      <c r="BO553"/>
      <c r="BP553"/>
      <c r="BQ553"/>
      <c r="BR553"/>
      <c r="BY553"/>
      <c r="BZ553"/>
      <c r="CA553"/>
      <c r="CB553"/>
      <c r="CC553"/>
      <c r="CD553"/>
      <c r="CE553"/>
      <c r="CF553"/>
      <c r="CG553"/>
      <c r="CH553"/>
      <c r="CI553"/>
      <c r="CJ553"/>
      <c r="CK553"/>
      <c r="CL553"/>
      <c r="CM553"/>
      <c r="CN553"/>
      <c r="CO553"/>
      <c r="CP553"/>
      <c r="CQ553"/>
      <c r="CR553"/>
      <c r="CS553"/>
      <c r="CT553"/>
      <c r="CU553"/>
      <c r="CV553"/>
      <c r="CW553"/>
      <c r="CX553"/>
      <c r="CY553"/>
    </row>
    <row r="554" spans="50:103" ht="20.100000000000001" customHeight="1" x14ac:dyDescent="0.25">
      <c r="AX554"/>
      <c r="AY554"/>
      <c r="AZ554"/>
      <c r="BA554"/>
      <c r="BB554"/>
      <c r="BC554"/>
      <c r="BD554"/>
      <c r="BE554"/>
      <c r="BF554"/>
      <c r="BG554"/>
      <c r="BH554"/>
      <c r="BI554"/>
      <c r="BJ554"/>
      <c r="BK554"/>
      <c r="BL554"/>
      <c r="BM554"/>
      <c r="BN554"/>
      <c r="BO554"/>
      <c r="BP554"/>
      <c r="BQ554"/>
      <c r="BR554"/>
      <c r="BY554"/>
      <c r="BZ554"/>
      <c r="CA554"/>
      <c r="CB554"/>
      <c r="CC554"/>
      <c r="CD554"/>
      <c r="CE554"/>
      <c r="CF554"/>
      <c r="CG554"/>
      <c r="CH554"/>
      <c r="CI554"/>
      <c r="CJ554"/>
      <c r="CK554"/>
      <c r="CL554"/>
      <c r="CM554"/>
      <c r="CN554"/>
      <c r="CO554"/>
      <c r="CP554"/>
      <c r="CQ554"/>
      <c r="CR554"/>
      <c r="CS554"/>
      <c r="CT554"/>
      <c r="CU554"/>
      <c r="CV554"/>
      <c r="CW554"/>
      <c r="CX554"/>
      <c r="CY554"/>
    </row>
    <row r="555" spans="50:103" ht="20.100000000000001" customHeight="1" x14ac:dyDescent="0.25">
      <c r="AX555"/>
      <c r="AY555"/>
      <c r="AZ555"/>
      <c r="BA555"/>
      <c r="BB555"/>
      <c r="BC555"/>
      <c r="BD555"/>
      <c r="BE555"/>
      <c r="BF555"/>
      <c r="BG555"/>
      <c r="BH555"/>
      <c r="BI555"/>
      <c r="BJ555"/>
      <c r="BK555"/>
      <c r="BL555"/>
      <c r="BM555"/>
      <c r="BN555"/>
      <c r="BO555"/>
      <c r="BP555"/>
      <c r="BQ555"/>
      <c r="BR555"/>
      <c r="BY555"/>
      <c r="BZ555"/>
      <c r="CA555"/>
      <c r="CB555"/>
      <c r="CC555"/>
      <c r="CD555"/>
      <c r="CE555"/>
      <c r="CF555"/>
      <c r="CG555"/>
      <c r="CH555"/>
      <c r="CI555"/>
      <c r="CJ555"/>
      <c r="CK555"/>
      <c r="CL555"/>
      <c r="CM555"/>
      <c r="CN555"/>
      <c r="CO555"/>
      <c r="CP555"/>
      <c r="CQ555"/>
      <c r="CR555"/>
      <c r="CS555"/>
      <c r="CT555"/>
      <c r="CU555"/>
      <c r="CV555"/>
      <c r="CW555"/>
      <c r="CX555"/>
      <c r="CY555"/>
    </row>
    <row r="556" spans="50:103" ht="20.100000000000001" customHeight="1" x14ac:dyDescent="0.25">
      <c r="AX556"/>
      <c r="AY556"/>
      <c r="AZ556"/>
      <c r="BA556"/>
      <c r="BB556"/>
      <c r="BC556"/>
      <c r="BD556"/>
      <c r="BE556"/>
      <c r="BF556"/>
      <c r="BG556"/>
      <c r="BH556"/>
      <c r="BI556"/>
      <c r="BJ556"/>
      <c r="BK556"/>
      <c r="BL556"/>
      <c r="BM556"/>
      <c r="BN556"/>
      <c r="BO556"/>
      <c r="BP556"/>
      <c r="BQ556"/>
      <c r="BR556"/>
      <c r="BY556"/>
      <c r="BZ556"/>
      <c r="CA556"/>
      <c r="CB556"/>
      <c r="CC556"/>
      <c r="CD556"/>
      <c r="CE556"/>
      <c r="CF556"/>
      <c r="CG556"/>
      <c r="CH556"/>
      <c r="CI556"/>
      <c r="CJ556"/>
      <c r="CK556"/>
      <c r="CL556"/>
      <c r="CM556"/>
      <c r="CN556"/>
      <c r="CO556"/>
      <c r="CP556"/>
      <c r="CQ556"/>
      <c r="CR556"/>
      <c r="CS556"/>
      <c r="CT556"/>
      <c r="CU556"/>
      <c r="CV556"/>
      <c r="CW556"/>
      <c r="CX556"/>
      <c r="CY556"/>
    </row>
    <row r="557" spans="50:103" ht="20.100000000000001" customHeight="1" x14ac:dyDescent="0.25">
      <c r="AX557"/>
      <c r="AY557"/>
      <c r="AZ557"/>
      <c r="BA557"/>
      <c r="BB557"/>
      <c r="BC557"/>
      <c r="BD557"/>
      <c r="BE557"/>
      <c r="BF557"/>
      <c r="BG557"/>
      <c r="BH557"/>
      <c r="BI557"/>
      <c r="BJ557"/>
      <c r="BK557"/>
      <c r="BL557"/>
      <c r="BM557"/>
      <c r="BN557"/>
      <c r="BO557"/>
      <c r="BP557"/>
      <c r="BQ557"/>
      <c r="BR557"/>
      <c r="BY557"/>
      <c r="BZ557"/>
      <c r="CA557"/>
      <c r="CB557"/>
      <c r="CC557"/>
      <c r="CD557"/>
      <c r="CE557"/>
      <c r="CF557"/>
      <c r="CG557"/>
      <c r="CH557"/>
      <c r="CI557"/>
      <c r="CJ557"/>
      <c r="CK557"/>
      <c r="CL557"/>
      <c r="CM557"/>
      <c r="CN557"/>
      <c r="CO557"/>
      <c r="CP557"/>
      <c r="CQ557"/>
      <c r="CR557"/>
      <c r="CS557"/>
      <c r="CT557"/>
      <c r="CU557"/>
      <c r="CV557"/>
      <c r="CW557"/>
      <c r="CX557"/>
      <c r="CY557"/>
    </row>
    <row r="558" spans="50:103" ht="20.100000000000001" customHeight="1" x14ac:dyDescent="0.25">
      <c r="AX558"/>
      <c r="AY558"/>
      <c r="AZ558"/>
      <c r="BA558"/>
      <c r="BB558"/>
      <c r="BC558"/>
      <c r="BD558"/>
      <c r="BE558"/>
      <c r="BF558"/>
      <c r="BG558"/>
      <c r="BH558"/>
      <c r="BI558"/>
      <c r="BJ558"/>
      <c r="BK558"/>
      <c r="BL558"/>
      <c r="BM558"/>
      <c r="BN558"/>
      <c r="BO558"/>
      <c r="BP558"/>
      <c r="BQ558"/>
      <c r="BR558"/>
      <c r="BY558"/>
      <c r="BZ558"/>
      <c r="CA558"/>
      <c r="CB558"/>
      <c r="CC558"/>
      <c r="CD558"/>
      <c r="CE558"/>
      <c r="CF558"/>
      <c r="CG558"/>
      <c r="CH558"/>
      <c r="CI558"/>
      <c r="CJ558"/>
      <c r="CK558"/>
      <c r="CL558"/>
      <c r="CM558"/>
      <c r="CN558"/>
      <c r="CO558"/>
      <c r="CP558"/>
      <c r="CQ558"/>
      <c r="CR558"/>
      <c r="CS558"/>
      <c r="CT558"/>
      <c r="CU558"/>
      <c r="CV558"/>
      <c r="CW558"/>
      <c r="CX558"/>
      <c r="CY558"/>
    </row>
    <row r="559" spans="50:103" ht="20.100000000000001" customHeight="1" x14ac:dyDescent="0.25">
      <c r="AX559"/>
      <c r="AY559"/>
      <c r="AZ559"/>
      <c r="BA559"/>
      <c r="BB559"/>
      <c r="BC559"/>
      <c r="BD559"/>
      <c r="BE559"/>
      <c r="BF559"/>
      <c r="BG559"/>
      <c r="BH559"/>
      <c r="BI559"/>
      <c r="BJ559"/>
      <c r="BK559"/>
      <c r="BL559"/>
      <c r="BM559"/>
      <c r="BN559"/>
      <c r="BO559"/>
      <c r="BP559"/>
      <c r="BQ559"/>
      <c r="BR559"/>
      <c r="BY559"/>
      <c r="BZ559"/>
      <c r="CA559"/>
      <c r="CB559"/>
      <c r="CC559"/>
      <c r="CD559"/>
      <c r="CE559"/>
      <c r="CF559"/>
      <c r="CG559"/>
      <c r="CH559"/>
      <c r="CI559"/>
      <c r="CJ559"/>
      <c r="CK559"/>
      <c r="CL559"/>
      <c r="CM559"/>
      <c r="CN559"/>
      <c r="CO559"/>
      <c r="CP559"/>
      <c r="CQ559"/>
      <c r="CR559"/>
      <c r="CS559"/>
      <c r="CT559"/>
      <c r="CU559"/>
      <c r="CV559"/>
      <c r="CW559"/>
      <c r="CX559"/>
      <c r="CY559"/>
    </row>
    <row r="560" spans="50:103" ht="20.100000000000001" customHeight="1" x14ac:dyDescent="0.25">
      <c r="AX560"/>
      <c r="AY560"/>
      <c r="AZ560"/>
      <c r="BA560"/>
      <c r="BB560"/>
      <c r="BC560"/>
      <c r="BD560"/>
      <c r="BE560"/>
      <c r="BF560"/>
      <c r="BG560"/>
      <c r="BH560"/>
      <c r="BI560"/>
      <c r="BJ560"/>
      <c r="BK560"/>
      <c r="BL560"/>
      <c r="BM560"/>
      <c r="BN560"/>
      <c r="BO560"/>
      <c r="BP560"/>
      <c r="BQ560"/>
      <c r="BR560"/>
      <c r="BY560"/>
      <c r="BZ560"/>
      <c r="CA560"/>
      <c r="CB560"/>
      <c r="CC560"/>
      <c r="CD560"/>
      <c r="CE560"/>
      <c r="CF560"/>
      <c r="CG560"/>
      <c r="CH560"/>
      <c r="CI560"/>
      <c r="CJ560"/>
      <c r="CK560"/>
      <c r="CL560"/>
      <c r="CM560"/>
      <c r="CN560"/>
      <c r="CO560"/>
      <c r="CP560"/>
      <c r="CQ560"/>
      <c r="CR560"/>
      <c r="CS560"/>
      <c r="CT560"/>
      <c r="CU560"/>
      <c r="CV560"/>
      <c r="CW560"/>
      <c r="CX560"/>
      <c r="CY560"/>
    </row>
    <row r="561" spans="50:103" ht="20.100000000000001" customHeight="1" x14ac:dyDescent="0.25">
      <c r="AX561"/>
      <c r="AY561"/>
      <c r="AZ561"/>
      <c r="BA561"/>
      <c r="BB561"/>
      <c r="BC561"/>
      <c r="BD561"/>
      <c r="BE561"/>
      <c r="BF561"/>
      <c r="BG561"/>
      <c r="BH561"/>
      <c r="BI561"/>
      <c r="BJ561"/>
      <c r="BK561"/>
      <c r="BL561"/>
      <c r="BM561"/>
      <c r="BN561"/>
      <c r="BO561"/>
      <c r="BP561"/>
      <c r="BQ561"/>
      <c r="BR561"/>
      <c r="BY561"/>
      <c r="BZ561"/>
      <c r="CA561"/>
      <c r="CB561"/>
      <c r="CC561"/>
      <c r="CD561"/>
      <c r="CE561"/>
      <c r="CF561"/>
      <c r="CG561"/>
      <c r="CH561"/>
      <c r="CI561"/>
      <c r="CJ561"/>
      <c r="CK561"/>
      <c r="CL561"/>
      <c r="CM561"/>
      <c r="CN561"/>
      <c r="CO561"/>
      <c r="CP561"/>
      <c r="CQ561"/>
      <c r="CR561"/>
      <c r="CS561"/>
      <c r="CT561"/>
      <c r="CU561"/>
      <c r="CV561"/>
      <c r="CW561"/>
      <c r="CX561"/>
      <c r="CY561"/>
    </row>
    <row r="562" spans="50:103" ht="20.100000000000001" customHeight="1" x14ac:dyDescent="0.25">
      <c r="AX562"/>
      <c r="AY562"/>
      <c r="AZ562"/>
      <c r="BA562"/>
      <c r="BB562"/>
      <c r="BC562"/>
      <c r="BD562"/>
      <c r="BE562"/>
      <c r="BF562"/>
      <c r="BG562"/>
      <c r="BH562"/>
      <c r="BI562"/>
      <c r="BJ562"/>
      <c r="BK562"/>
      <c r="BL562"/>
      <c r="BM562"/>
      <c r="BN562"/>
      <c r="BO562"/>
      <c r="BP562"/>
      <c r="BQ562"/>
      <c r="BR562"/>
      <c r="BY562"/>
      <c r="BZ562"/>
      <c r="CA562"/>
      <c r="CB562"/>
      <c r="CC562"/>
      <c r="CD562"/>
      <c r="CE562"/>
      <c r="CF562"/>
      <c r="CG562"/>
      <c r="CH562"/>
      <c r="CI562"/>
      <c r="CJ562"/>
      <c r="CK562"/>
      <c r="CL562"/>
      <c r="CM562"/>
      <c r="CN562"/>
      <c r="CO562"/>
      <c r="CP562"/>
      <c r="CQ562"/>
      <c r="CR562"/>
      <c r="CS562"/>
      <c r="CT562"/>
      <c r="CU562"/>
      <c r="CV562"/>
      <c r="CW562"/>
      <c r="CX562"/>
      <c r="CY562"/>
    </row>
    <row r="563" spans="50:103" ht="20.100000000000001" customHeight="1" x14ac:dyDescent="0.25">
      <c r="AX563"/>
      <c r="AY563"/>
      <c r="AZ563"/>
      <c r="BA563"/>
      <c r="BB563"/>
      <c r="BC563"/>
      <c r="BD563"/>
      <c r="BE563"/>
      <c r="BF563"/>
      <c r="BG563"/>
      <c r="BH563"/>
      <c r="BI563"/>
      <c r="BJ563"/>
      <c r="BK563"/>
      <c r="BL563"/>
      <c r="BM563"/>
      <c r="BN563"/>
      <c r="BO563"/>
      <c r="BP563"/>
      <c r="BQ563"/>
      <c r="BR563"/>
      <c r="BY563"/>
      <c r="BZ563"/>
      <c r="CA563"/>
      <c r="CB563"/>
      <c r="CC563"/>
      <c r="CD563"/>
      <c r="CE563"/>
      <c r="CF563"/>
      <c r="CG563"/>
      <c r="CH563"/>
      <c r="CI563"/>
      <c r="CJ563"/>
      <c r="CK563"/>
      <c r="CL563"/>
      <c r="CM563"/>
      <c r="CN563"/>
      <c r="CO563"/>
      <c r="CP563"/>
      <c r="CQ563"/>
      <c r="CR563"/>
      <c r="CS563"/>
      <c r="CT563"/>
      <c r="CU563"/>
      <c r="CV563"/>
      <c r="CW563"/>
      <c r="CX563"/>
      <c r="CY563"/>
    </row>
    <row r="564" spans="50:103" ht="20.100000000000001" customHeight="1" x14ac:dyDescent="0.25">
      <c r="AX564"/>
      <c r="AY564"/>
      <c r="AZ564"/>
      <c r="BA564"/>
      <c r="BB564"/>
      <c r="BC564"/>
      <c r="BD564"/>
      <c r="BE564"/>
      <c r="BF564"/>
      <c r="BG564"/>
      <c r="BH564"/>
      <c r="BI564"/>
      <c r="BJ564"/>
      <c r="BK564"/>
      <c r="BL564"/>
      <c r="BM564"/>
      <c r="BN564"/>
      <c r="BO564"/>
      <c r="BP564"/>
      <c r="BQ564"/>
      <c r="BR564"/>
      <c r="BY564"/>
      <c r="BZ564"/>
      <c r="CA564"/>
      <c r="CB564"/>
      <c r="CC564"/>
      <c r="CD564"/>
      <c r="CE564"/>
      <c r="CF564"/>
      <c r="CG564"/>
      <c r="CH564"/>
      <c r="CI564"/>
      <c r="CJ564"/>
      <c r="CK564"/>
      <c r="CL564"/>
      <c r="CM564"/>
      <c r="CN564"/>
      <c r="CO564"/>
      <c r="CP564"/>
      <c r="CQ564"/>
      <c r="CR564"/>
      <c r="CS564"/>
      <c r="CT564"/>
      <c r="CU564"/>
      <c r="CV564"/>
      <c r="CW564"/>
      <c r="CX564"/>
      <c r="CY564"/>
    </row>
    <row r="565" spans="50:103" ht="20.100000000000001" customHeight="1" x14ac:dyDescent="0.25">
      <c r="AX565"/>
      <c r="AY565"/>
      <c r="AZ565"/>
      <c r="BA565"/>
      <c r="BB565"/>
      <c r="BC565"/>
      <c r="BD565"/>
      <c r="BE565"/>
      <c r="BF565"/>
      <c r="BG565"/>
      <c r="BH565"/>
      <c r="BI565"/>
      <c r="BJ565"/>
      <c r="BK565"/>
      <c r="BL565"/>
      <c r="BM565"/>
      <c r="BN565"/>
      <c r="BO565"/>
      <c r="BP565"/>
      <c r="BQ565"/>
      <c r="BR565"/>
      <c r="BY565"/>
      <c r="BZ565"/>
      <c r="CA565"/>
      <c r="CB565"/>
      <c r="CC565"/>
      <c r="CD565"/>
      <c r="CE565"/>
      <c r="CF565"/>
      <c r="CG565"/>
      <c r="CH565"/>
      <c r="CI565"/>
      <c r="CJ565"/>
      <c r="CK565"/>
      <c r="CL565"/>
      <c r="CM565"/>
      <c r="CN565"/>
      <c r="CO565"/>
      <c r="CP565"/>
      <c r="CQ565"/>
      <c r="CR565"/>
      <c r="CS565"/>
      <c r="CT565"/>
      <c r="CU565"/>
      <c r="CV565"/>
      <c r="CW565"/>
      <c r="CX565"/>
      <c r="CY565"/>
    </row>
    <row r="566" spans="50:103" ht="20.100000000000001" customHeight="1" x14ac:dyDescent="0.25">
      <c r="AX566"/>
      <c r="AY566"/>
      <c r="AZ566"/>
      <c r="BA566"/>
      <c r="BB566"/>
      <c r="BC566"/>
      <c r="BD566"/>
      <c r="BE566"/>
      <c r="BF566"/>
      <c r="BG566"/>
      <c r="BH566"/>
      <c r="BI566"/>
      <c r="BJ566"/>
      <c r="BK566"/>
      <c r="BL566"/>
      <c r="BM566"/>
      <c r="BN566"/>
      <c r="BO566"/>
      <c r="BP566"/>
      <c r="BQ566"/>
      <c r="BR566"/>
      <c r="BY566"/>
      <c r="BZ566"/>
      <c r="CA566"/>
      <c r="CB566"/>
      <c r="CC566"/>
      <c r="CD566"/>
      <c r="CE566"/>
      <c r="CF566"/>
      <c r="CG566"/>
      <c r="CH566"/>
      <c r="CI566"/>
      <c r="CJ566"/>
      <c r="CK566"/>
      <c r="CL566"/>
      <c r="CM566"/>
      <c r="CN566"/>
      <c r="CO566"/>
      <c r="CP566"/>
      <c r="CQ566"/>
      <c r="CR566"/>
      <c r="CS566"/>
      <c r="CT566"/>
      <c r="CU566"/>
      <c r="CV566"/>
      <c r="CW566"/>
      <c r="CX566"/>
      <c r="CY566"/>
    </row>
    <row r="567" spans="50:103" ht="20.100000000000001" customHeight="1" x14ac:dyDescent="0.25">
      <c r="AX567"/>
      <c r="AY567"/>
      <c r="AZ567"/>
      <c r="BA567"/>
      <c r="BB567"/>
      <c r="BC567"/>
      <c r="BD567"/>
      <c r="BE567"/>
      <c r="BF567"/>
      <c r="BG567"/>
      <c r="BH567"/>
      <c r="BI567"/>
      <c r="BJ567"/>
      <c r="BK567"/>
      <c r="BL567"/>
      <c r="BM567"/>
      <c r="BN567"/>
      <c r="BO567"/>
      <c r="BP567"/>
      <c r="BQ567"/>
      <c r="BR567"/>
      <c r="BY567"/>
      <c r="BZ567"/>
      <c r="CA567"/>
      <c r="CB567"/>
      <c r="CC567"/>
      <c r="CD567"/>
      <c r="CE567"/>
      <c r="CF567"/>
      <c r="CG567"/>
      <c r="CH567"/>
      <c r="CI567"/>
      <c r="CJ567"/>
      <c r="CK567"/>
      <c r="CL567"/>
      <c r="CM567"/>
      <c r="CN567"/>
      <c r="CO567"/>
      <c r="CP567"/>
      <c r="CQ567"/>
      <c r="CR567"/>
      <c r="CS567"/>
      <c r="CT567"/>
      <c r="CU567"/>
      <c r="CV567"/>
      <c r="CW567"/>
      <c r="CX567"/>
      <c r="CY567"/>
    </row>
    <row r="568" spans="50:103" ht="20.100000000000001" customHeight="1" x14ac:dyDescent="0.25">
      <c r="AX568"/>
      <c r="AY568"/>
      <c r="AZ568"/>
      <c r="BA568"/>
      <c r="BB568"/>
      <c r="BC568"/>
      <c r="BD568"/>
      <c r="BE568"/>
      <c r="BF568"/>
      <c r="BG568"/>
      <c r="BH568"/>
      <c r="BI568"/>
      <c r="BJ568"/>
      <c r="BK568"/>
      <c r="BL568"/>
      <c r="BM568"/>
      <c r="BN568"/>
      <c r="BO568"/>
      <c r="BP568"/>
      <c r="BQ568"/>
      <c r="BR568"/>
      <c r="BY568"/>
      <c r="BZ568"/>
      <c r="CA568"/>
      <c r="CB568"/>
      <c r="CC568"/>
      <c r="CD568"/>
      <c r="CE568"/>
      <c r="CF568"/>
      <c r="CG568"/>
      <c r="CH568"/>
      <c r="CI568"/>
      <c r="CJ568"/>
      <c r="CK568"/>
      <c r="CL568"/>
      <c r="CM568"/>
      <c r="CN568"/>
      <c r="CO568"/>
      <c r="CP568"/>
      <c r="CQ568"/>
      <c r="CR568"/>
      <c r="CS568"/>
      <c r="CT568"/>
      <c r="CU568"/>
      <c r="CV568"/>
      <c r="CW568"/>
      <c r="CX568"/>
      <c r="CY568"/>
    </row>
    <row r="569" spans="50:103" ht="20.100000000000001" customHeight="1" x14ac:dyDescent="0.25">
      <c r="AX569"/>
      <c r="AY569"/>
      <c r="AZ569"/>
      <c r="BA569"/>
      <c r="BB569"/>
      <c r="BC569"/>
      <c r="BD569"/>
      <c r="BE569"/>
      <c r="BF569"/>
      <c r="BG569"/>
      <c r="BH569"/>
      <c r="BI569"/>
      <c r="BJ569"/>
      <c r="BK569"/>
      <c r="BL569"/>
      <c r="BM569"/>
      <c r="BN569"/>
      <c r="BO569"/>
      <c r="BP569"/>
      <c r="BQ569"/>
      <c r="BR569"/>
      <c r="BY569"/>
      <c r="BZ569"/>
      <c r="CA569"/>
      <c r="CB569"/>
      <c r="CC569"/>
      <c r="CD569"/>
      <c r="CE569"/>
      <c r="CF569"/>
      <c r="CG569"/>
      <c r="CH569"/>
      <c r="CI569"/>
      <c r="CJ569"/>
      <c r="CK569"/>
      <c r="CL569"/>
      <c r="CM569"/>
      <c r="CN569"/>
      <c r="CO569"/>
      <c r="CP569"/>
      <c r="CQ569"/>
      <c r="CR569"/>
      <c r="CS569"/>
      <c r="CT569"/>
      <c r="CU569"/>
      <c r="CV569"/>
      <c r="CW569"/>
      <c r="CX569"/>
      <c r="CY569"/>
    </row>
    <row r="570" spans="50:103" ht="20.100000000000001" customHeight="1" x14ac:dyDescent="0.25">
      <c r="AX570"/>
      <c r="AY570"/>
      <c r="AZ570"/>
      <c r="BA570"/>
      <c r="BB570"/>
      <c r="BC570"/>
      <c r="BD570"/>
      <c r="BE570"/>
      <c r="BF570"/>
      <c r="BG570"/>
      <c r="BH570"/>
      <c r="BI570"/>
      <c r="BJ570"/>
      <c r="BK570"/>
      <c r="BL570"/>
      <c r="BM570"/>
      <c r="BN570"/>
      <c r="BO570"/>
      <c r="BP570"/>
      <c r="BQ570"/>
      <c r="BR570"/>
      <c r="BY570"/>
      <c r="BZ570"/>
      <c r="CA570"/>
      <c r="CB570"/>
      <c r="CC570"/>
      <c r="CD570"/>
      <c r="CE570"/>
      <c r="CF570"/>
      <c r="CG570"/>
      <c r="CH570"/>
      <c r="CI570"/>
      <c r="CJ570"/>
      <c r="CK570"/>
      <c r="CL570"/>
      <c r="CM570"/>
      <c r="CN570"/>
      <c r="CO570"/>
      <c r="CP570"/>
      <c r="CQ570"/>
      <c r="CR570"/>
      <c r="CS570"/>
      <c r="CT570"/>
      <c r="CU570"/>
      <c r="CV570"/>
      <c r="CW570"/>
      <c r="CX570"/>
      <c r="CY570"/>
    </row>
    <row r="571" spans="50:103" ht="20.100000000000001" customHeight="1" x14ac:dyDescent="0.25">
      <c r="AX571"/>
      <c r="AY571"/>
      <c r="AZ571"/>
      <c r="BA571"/>
      <c r="BB571"/>
      <c r="BC571"/>
      <c r="BD571"/>
      <c r="BE571"/>
      <c r="BF571"/>
      <c r="BG571"/>
      <c r="BH571"/>
      <c r="BI571"/>
      <c r="BJ571"/>
      <c r="BK571"/>
      <c r="BL571"/>
      <c r="BM571"/>
      <c r="BN571"/>
      <c r="BO571"/>
      <c r="BP571"/>
      <c r="BQ571"/>
      <c r="BR571"/>
      <c r="BY571"/>
      <c r="BZ571"/>
      <c r="CA571"/>
      <c r="CB571"/>
      <c r="CC571"/>
      <c r="CD571"/>
      <c r="CE571"/>
      <c r="CF571"/>
      <c r="CG571"/>
      <c r="CH571"/>
      <c r="CI571"/>
      <c r="CJ571"/>
      <c r="CK571"/>
      <c r="CL571"/>
      <c r="CM571"/>
      <c r="CN571"/>
      <c r="CO571"/>
      <c r="CP571"/>
      <c r="CQ571"/>
      <c r="CR571"/>
      <c r="CS571"/>
      <c r="CT571"/>
      <c r="CU571"/>
      <c r="CV571"/>
      <c r="CW571"/>
      <c r="CX571"/>
      <c r="CY571"/>
    </row>
    <row r="572" spans="50:103" ht="20.100000000000001" customHeight="1" x14ac:dyDescent="0.25">
      <c r="AX572"/>
      <c r="AY572"/>
      <c r="AZ572"/>
      <c r="BA572"/>
      <c r="BB572"/>
      <c r="BC572"/>
      <c r="BD572"/>
      <c r="BE572"/>
      <c r="BF572"/>
      <c r="BG572"/>
      <c r="BH572"/>
      <c r="BI572"/>
      <c r="BJ572"/>
      <c r="BK572"/>
      <c r="BL572"/>
      <c r="BM572"/>
      <c r="BN572"/>
      <c r="BO572"/>
      <c r="BP572"/>
      <c r="BQ572"/>
      <c r="BR572"/>
      <c r="BY572"/>
      <c r="BZ572"/>
      <c r="CA572"/>
      <c r="CB572"/>
      <c r="CC572"/>
      <c r="CD572"/>
      <c r="CE572"/>
      <c r="CF572"/>
      <c r="CG572"/>
      <c r="CH572"/>
      <c r="CI572"/>
      <c r="CJ572"/>
      <c r="CK572"/>
      <c r="CL572"/>
      <c r="CM572"/>
      <c r="CN572"/>
      <c r="CO572"/>
      <c r="CP572"/>
      <c r="CQ572"/>
      <c r="CR572"/>
      <c r="CS572"/>
      <c r="CT572"/>
      <c r="CU572"/>
      <c r="CV572"/>
      <c r="CW572"/>
      <c r="CX572"/>
      <c r="CY572"/>
    </row>
    <row r="573" spans="50:103" ht="20.100000000000001" customHeight="1" x14ac:dyDescent="0.25">
      <c r="AX573"/>
      <c r="AY573"/>
      <c r="AZ573"/>
      <c r="BA573"/>
      <c r="BB573"/>
      <c r="BC573"/>
      <c r="BD573"/>
      <c r="BE573"/>
      <c r="BF573"/>
      <c r="BG573"/>
      <c r="BH573"/>
      <c r="BI573"/>
      <c r="BJ573"/>
      <c r="BK573"/>
      <c r="BL573"/>
      <c r="BM573"/>
      <c r="BN573"/>
      <c r="BO573"/>
      <c r="BP573"/>
      <c r="BQ573"/>
      <c r="BR573"/>
      <c r="BY573"/>
      <c r="BZ573"/>
      <c r="CA573"/>
      <c r="CB573"/>
      <c r="CC573"/>
      <c r="CD573"/>
      <c r="CE573"/>
      <c r="CF573"/>
      <c r="CG573"/>
      <c r="CH573"/>
      <c r="CI573"/>
      <c r="CJ573"/>
      <c r="CK573"/>
      <c r="CL573"/>
      <c r="CM573"/>
      <c r="CN573"/>
      <c r="CO573"/>
      <c r="CP573"/>
      <c r="CQ573"/>
      <c r="CR573"/>
      <c r="CS573"/>
      <c r="CT573"/>
      <c r="CU573"/>
      <c r="CV573"/>
      <c r="CW573"/>
      <c r="CX573"/>
      <c r="CY573"/>
    </row>
    <row r="574" spans="50:103" ht="20.100000000000001" customHeight="1" x14ac:dyDescent="0.25">
      <c r="AX574"/>
      <c r="AY574"/>
      <c r="AZ574"/>
      <c r="BA574"/>
      <c r="BB574"/>
      <c r="BC574"/>
      <c r="BD574"/>
      <c r="BE574"/>
      <c r="BF574"/>
      <c r="BG574"/>
      <c r="BH574"/>
      <c r="BI574"/>
      <c r="BJ574"/>
      <c r="BK574"/>
      <c r="BL574"/>
      <c r="BM574"/>
      <c r="BN574"/>
      <c r="BO574"/>
      <c r="BP574"/>
      <c r="BQ574"/>
      <c r="BR574"/>
      <c r="BY574"/>
      <c r="BZ574"/>
      <c r="CA574"/>
      <c r="CB574"/>
      <c r="CC574"/>
      <c r="CD574"/>
      <c r="CE574"/>
      <c r="CF574"/>
      <c r="CG574"/>
      <c r="CH574"/>
      <c r="CI574"/>
      <c r="CJ574"/>
      <c r="CK574"/>
      <c r="CL574"/>
      <c r="CM574"/>
      <c r="CN574"/>
      <c r="CO574"/>
      <c r="CP574"/>
      <c r="CQ574"/>
      <c r="CR574"/>
      <c r="CS574"/>
      <c r="CT574"/>
      <c r="CU574"/>
      <c r="CV574"/>
      <c r="CW574"/>
      <c r="CX574"/>
      <c r="CY574"/>
    </row>
    <row r="575" spans="50:103" ht="20.100000000000001" customHeight="1" x14ac:dyDescent="0.25">
      <c r="AX575"/>
      <c r="AY575"/>
      <c r="AZ575"/>
      <c r="BA575"/>
      <c r="BB575"/>
      <c r="BC575"/>
      <c r="BD575"/>
      <c r="BE575"/>
      <c r="BF575"/>
      <c r="BG575"/>
      <c r="BH575"/>
      <c r="BI575"/>
      <c r="BJ575"/>
      <c r="BK575"/>
      <c r="BL575"/>
      <c r="BM575"/>
      <c r="BN575"/>
      <c r="BO575"/>
      <c r="BP575"/>
      <c r="BQ575"/>
      <c r="BR575"/>
      <c r="BY575"/>
      <c r="BZ575"/>
      <c r="CA575"/>
      <c r="CB575"/>
      <c r="CC575"/>
      <c r="CD575"/>
      <c r="CE575"/>
      <c r="CF575"/>
      <c r="CG575"/>
      <c r="CH575"/>
      <c r="CI575"/>
      <c r="CJ575"/>
      <c r="CK575"/>
      <c r="CL575"/>
      <c r="CM575"/>
      <c r="CN575"/>
      <c r="CO575"/>
      <c r="CP575"/>
      <c r="CQ575"/>
      <c r="CR575"/>
      <c r="CS575"/>
      <c r="CT575"/>
      <c r="CU575"/>
      <c r="CV575"/>
      <c r="CW575"/>
      <c r="CX575"/>
      <c r="CY575"/>
    </row>
    <row r="576" spans="50:103" ht="20.100000000000001" customHeight="1" x14ac:dyDescent="0.25">
      <c r="AX576"/>
      <c r="AY576"/>
      <c r="AZ576"/>
      <c r="BA576"/>
      <c r="BB576"/>
      <c r="BC576"/>
      <c r="BD576"/>
      <c r="BE576"/>
      <c r="BF576"/>
      <c r="BG576"/>
      <c r="BH576"/>
      <c r="BI576"/>
      <c r="BJ576"/>
      <c r="BK576"/>
      <c r="BL576"/>
      <c r="BM576"/>
      <c r="BN576"/>
      <c r="BO576"/>
      <c r="BP576"/>
      <c r="BQ576"/>
      <c r="BR576"/>
      <c r="BY576"/>
      <c r="BZ576"/>
      <c r="CA576"/>
      <c r="CB576"/>
      <c r="CC576"/>
      <c r="CD576"/>
      <c r="CE576"/>
      <c r="CF576"/>
      <c r="CG576"/>
      <c r="CH576"/>
      <c r="CI576"/>
      <c r="CJ576"/>
      <c r="CK576"/>
      <c r="CL576"/>
      <c r="CM576"/>
      <c r="CN576"/>
      <c r="CO576"/>
      <c r="CP576"/>
      <c r="CQ576"/>
      <c r="CR576"/>
      <c r="CS576"/>
      <c r="CT576"/>
      <c r="CU576"/>
      <c r="CV576"/>
      <c r="CW576"/>
      <c r="CX576"/>
      <c r="CY576"/>
    </row>
    <row r="577" spans="50:103" ht="20.100000000000001" customHeight="1" x14ac:dyDescent="0.25">
      <c r="AX577"/>
      <c r="AY577"/>
      <c r="AZ577"/>
      <c r="BA577"/>
      <c r="BB577"/>
      <c r="BC577"/>
      <c r="BD577"/>
      <c r="BE577"/>
      <c r="BF577"/>
      <c r="BG577"/>
      <c r="BH577"/>
      <c r="BI577"/>
      <c r="BJ577"/>
      <c r="BK577"/>
      <c r="BL577"/>
      <c r="BM577"/>
      <c r="BN577"/>
      <c r="BO577"/>
      <c r="BP577"/>
      <c r="BQ577"/>
      <c r="BR577"/>
      <c r="BY577"/>
      <c r="BZ577"/>
      <c r="CA577"/>
      <c r="CB577"/>
      <c r="CC577"/>
      <c r="CD577"/>
      <c r="CE577"/>
      <c r="CF577"/>
      <c r="CG577"/>
      <c r="CH577"/>
      <c r="CI577"/>
      <c r="CJ577"/>
      <c r="CK577"/>
      <c r="CL577"/>
      <c r="CM577"/>
      <c r="CN577"/>
      <c r="CO577"/>
      <c r="CP577"/>
      <c r="CQ577"/>
      <c r="CR577"/>
      <c r="CS577"/>
      <c r="CT577"/>
      <c r="CU577"/>
      <c r="CV577"/>
      <c r="CW577"/>
      <c r="CX577"/>
      <c r="CY577"/>
    </row>
    <row r="578" spans="50:103" ht="20.100000000000001" customHeight="1" x14ac:dyDescent="0.25">
      <c r="AX578"/>
      <c r="AY578"/>
      <c r="AZ578"/>
      <c r="BA578"/>
      <c r="BB578"/>
      <c r="BC578"/>
      <c r="BD578"/>
      <c r="BE578"/>
      <c r="BF578"/>
      <c r="BG578"/>
      <c r="BH578"/>
      <c r="BI578"/>
      <c r="BJ578"/>
      <c r="BK578"/>
      <c r="BL578"/>
      <c r="BM578"/>
      <c r="BN578"/>
      <c r="BO578"/>
      <c r="BP578"/>
      <c r="BQ578"/>
      <c r="BR578"/>
      <c r="BY578"/>
      <c r="BZ578"/>
      <c r="CA578"/>
      <c r="CB578"/>
      <c r="CC578"/>
      <c r="CD578"/>
      <c r="CE578"/>
      <c r="CF578"/>
      <c r="CG578"/>
      <c r="CH578"/>
      <c r="CI578"/>
      <c r="CJ578"/>
      <c r="CK578"/>
      <c r="CL578"/>
      <c r="CM578"/>
      <c r="CN578"/>
      <c r="CO578"/>
      <c r="CP578"/>
      <c r="CQ578"/>
      <c r="CR578"/>
      <c r="CS578"/>
      <c r="CT578"/>
      <c r="CU578"/>
      <c r="CV578"/>
      <c r="CW578"/>
      <c r="CX578"/>
      <c r="CY578"/>
    </row>
    <row r="579" spans="50:103" ht="20.100000000000001" customHeight="1" x14ac:dyDescent="0.25">
      <c r="AX579"/>
      <c r="AY579"/>
      <c r="AZ579"/>
      <c r="BA579"/>
      <c r="BB579"/>
      <c r="BC579"/>
      <c r="BD579"/>
      <c r="BE579"/>
      <c r="BF579"/>
      <c r="BG579"/>
      <c r="BH579"/>
      <c r="BI579"/>
      <c r="BJ579"/>
      <c r="BK579"/>
      <c r="BL579"/>
      <c r="BM579"/>
      <c r="BN579"/>
      <c r="BO579"/>
      <c r="BP579"/>
      <c r="BQ579"/>
      <c r="BR579"/>
      <c r="BY579"/>
      <c r="BZ579"/>
      <c r="CA579"/>
      <c r="CB579"/>
      <c r="CC579"/>
      <c r="CD579"/>
      <c r="CE579"/>
      <c r="CF579"/>
      <c r="CG579"/>
      <c r="CH579"/>
      <c r="CI579"/>
      <c r="CJ579"/>
      <c r="CK579"/>
      <c r="CL579"/>
      <c r="CM579"/>
      <c r="CN579"/>
      <c r="CO579"/>
      <c r="CP579"/>
      <c r="CQ579"/>
      <c r="CR579"/>
      <c r="CS579"/>
      <c r="CT579"/>
      <c r="CU579"/>
      <c r="CV579"/>
      <c r="CW579"/>
      <c r="CX579"/>
      <c r="CY579"/>
    </row>
    <row r="580" spans="50:103" ht="20.100000000000001" customHeight="1" x14ac:dyDescent="0.25">
      <c r="AX580"/>
      <c r="AY580"/>
      <c r="AZ580"/>
      <c r="BA580"/>
      <c r="BB580"/>
      <c r="BC580"/>
      <c r="BD580"/>
      <c r="BE580"/>
      <c r="BF580"/>
      <c r="BG580"/>
      <c r="BH580"/>
      <c r="BI580"/>
      <c r="BJ580"/>
      <c r="BK580"/>
      <c r="BL580"/>
      <c r="BM580"/>
      <c r="BN580"/>
      <c r="BO580"/>
      <c r="BP580"/>
      <c r="BQ580"/>
      <c r="BR580"/>
      <c r="BY580"/>
      <c r="BZ580"/>
      <c r="CA580"/>
      <c r="CB580"/>
      <c r="CC580"/>
      <c r="CD580"/>
      <c r="CE580"/>
      <c r="CF580"/>
      <c r="CG580"/>
      <c r="CH580"/>
      <c r="CI580"/>
      <c r="CJ580"/>
      <c r="CK580"/>
      <c r="CL580"/>
      <c r="CM580"/>
      <c r="CN580"/>
      <c r="CO580"/>
      <c r="CP580"/>
      <c r="CQ580"/>
      <c r="CR580"/>
      <c r="CS580"/>
      <c r="CT580"/>
      <c r="CU580"/>
      <c r="CV580"/>
      <c r="CW580"/>
      <c r="CX580"/>
      <c r="CY580"/>
    </row>
    <row r="581" spans="50:103" ht="20.100000000000001" customHeight="1" x14ac:dyDescent="0.25">
      <c r="AX581"/>
      <c r="AY581"/>
      <c r="AZ581"/>
      <c r="BA581"/>
      <c r="BB581"/>
      <c r="BC581"/>
      <c r="BD581"/>
      <c r="BE581"/>
      <c r="BF581"/>
      <c r="BG581"/>
      <c r="BH581"/>
      <c r="BI581"/>
      <c r="BJ581"/>
      <c r="BK581"/>
      <c r="BL581"/>
      <c r="BM581"/>
      <c r="BN581"/>
      <c r="BO581"/>
      <c r="BP581"/>
      <c r="BQ581"/>
      <c r="BR581"/>
      <c r="BY581"/>
      <c r="BZ581"/>
      <c r="CA581"/>
      <c r="CB581"/>
      <c r="CC581"/>
      <c r="CD581"/>
      <c r="CE581"/>
      <c r="CF581"/>
      <c r="CG581"/>
      <c r="CH581"/>
      <c r="CI581"/>
      <c r="CJ581"/>
      <c r="CK581"/>
      <c r="CL581"/>
      <c r="CM581"/>
      <c r="CN581"/>
      <c r="CO581"/>
      <c r="CP581"/>
      <c r="CQ581"/>
      <c r="CR581"/>
      <c r="CS581"/>
      <c r="CT581"/>
      <c r="CU581"/>
      <c r="CV581"/>
      <c r="CW581"/>
      <c r="CX581"/>
      <c r="CY581"/>
    </row>
    <row r="582" spans="50:103" ht="20.100000000000001" customHeight="1" x14ac:dyDescent="0.25">
      <c r="AX582"/>
      <c r="AY582"/>
      <c r="AZ582"/>
      <c r="BA582"/>
      <c r="BB582"/>
      <c r="BC582"/>
      <c r="BD582"/>
      <c r="BE582"/>
      <c r="BF582"/>
      <c r="BG582"/>
      <c r="BH582"/>
      <c r="BI582"/>
      <c r="BJ582"/>
      <c r="BK582"/>
      <c r="BL582"/>
      <c r="BM582"/>
      <c r="BN582"/>
      <c r="BO582"/>
      <c r="BP582"/>
      <c r="BQ582"/>
      <c r="BR582"/>
      <c r="BY582"/>
      <c r="BZ582"/>
      <c r="CA582"/>
      <c r="CB582"/>
      <c r="CC582"/>
      <c r="CD582"/>
      <c r="CE582"/>
      <c r="CF582"/>
      <c r="CG582"/>
      <c r="CH582"/>
      <c r="CI582"/>
      <c r="CJ582"/>
      <c r="CK582"/>
      <c r="CL582"/>
      <c r="CM582"/>
      <c r="CN582"/>
      <c r="CO582"/>
      <c r="CP582"/>
      <c r="CQ582"/>
      <c r="CR582"/>
      <c r="CS582"/>
      <c r="CT582"/>
      <c r="CU582"/>
      <c r="CV582"/>
      <c r="CW582"/>
      <c r="CX582"/>
      <c r="CY582"/>
    </row>
    <row r="583" spans="50:103" ht="20.100000000000001" customHeight="1" x14ac:dyDescent="0.25">
      <c r="AX583"/>
      <c r="AY583"/>
      <c r="AZ583"/>
      <c r="BA583"/>
      <c r="BB583"/>
      <c r="BC583"/>
      <c r="BD583"/>
      <c r="BE583"/>
      <c r="BF583"/>
      <c r="BG583"/>
      <c r="BH583"/>
      <c r="BI583"/>
      <c r="BJ583"/>
      <c r="BK583"/>
      <c r="BL583"/>
      <c r="BM583"/>
      <c r="BN583"/>
      <c r="BO583"/>
      <c r="BP583"/>
      <c r="BQ583"/>
      <c r="BR583"/>
      <c r="BY583"/>
      <c r="BZ583"/>
      <c r="CA583"/>
      <c r="CB583"/>
      <c r="CC583"/>
      <c r="CD583"/>
      <c r="CE583"/>
      <c r="CF583"/>
      <c r="CG583"/>
      <c r="CH583"/>
      <c r="CI583"/>
      <c r="CJ583"/>
      <c r="CK583"/>
      <c r="CL583"/>
      <c r="CM583"/>
      <c r="CN583"/>
      <c r="CO583"/>
      <c r="CP583"/>
      <c r="CQ583"/>
      <c r="CR583"/>
      <c r="CS583"/>
      <c r="CT583"/>
      <c r="CU583"/>
      <c r="CV583"/>
      <c r="CW583"/>
      <c r="CX583"/>
      <c r="CY583"/>
    </row>
    <row r="584" spans="50:103" ht="20.100000000000001" customHeight="1" x14ac:dyDescent="0.25">
      <c r="AX584"/>
      <c r="AY584"/>
      <c r="AZ584"/>
      <c r="BA584"/>
      <c r="BB584"/>
      <c r="BC584"/>
      <c r="BD584"/>
      <c r="BE584"/>
      <c r="BF584"/>
      <c r="BG584"/>
      <c r="BH584"/>
      <c r="BI584"/>
      <c r="BJ584"/>
      <c r="BK584"/>
      <c r="BL584"/>
      <c r="BM584"/>
      <c r="BN584"/>
      <c r="BO584"/>
      <c r="BP584"/>
      <c r="BQ584"/>
      <c r="BR584"/>
      <c r="BY584"/>
      <c r="BZ584"/>
      <c r="CA584"/>
      <c r="CB584"/>
      <c r="CC584"/>
      <c r="CD584"/>
      <c r="CE584"/>
      <c r="CF584"/>
      <c r="CG584"/>
      <c r="CH584"/>
      <c r="CI584"/>
      <c r="CJ584"/>
      <c r="CK584"/>
      <c r="CL584"/>
      <c r="CM584"/>
      <c r="CN584"/>
      <c r="CO584"/>
      <c r="CP584"/>
      <c r="CQ584"/>
      <c r="CR584"/>
      <c r="CS584"/>
      <c r="CT584"/>
      <c r="CU584"/>
      <c r="CV584"/>
      <c r="CW584"/>
      <c r="CX584"/>
      <c r="CY584"/>
    </row>
    <row r="585" spans="50:103" ht="20.100000000000001" customHeight="1" x14ac:dyDescent="0.25">
      <c r="AX585"/>
      <c r="AY585"/>
      <c r="AZ585"/>
      <c r="BA585"/>
      <c r="BB585"/>
      <c r="BC585"/>
      <c r="BD585"/>
      <c r="BE585"/>
      <c r="BF585"/>
      <c r="BG585"/>
      <c r="BH585"/>
      <c r="BI585"/>
      <c r="BJ585"/>
      <c r="BK585"/>
      <c r="BL585"/>
      <c r="BM585"/>
      <c r="BN585"/>
      <c r="BO585"/>
      <c r="BP585"/>
      <c r="BQ585"/>
      <c r="BR585"/>
      <c r="BY585"/>
      <c r="BZ585"/>
      <c r="CA585"/>
      <c r="CB585"/>
      <c r="CC585"/>
      <c r="CD585"/>
      <c r="CE585"/>
      <c r="CF585"/>
      <c r="CG585"/>
      <c r="CH585"/>
      <c r="CI585"/>
      <c r="CJ585"/>
      <c r="CK585"/>
      <c r="CL585"/>
      <c r="CM585"/>
      <c r="CN585"/>
      <c r="CO585"/>
      <c r="CP585"/>
      <c r="CQ585"/>
      <c r="CR585"/>
      <c r="CS585"/>
      <c r="CT585"/>
      <c r="CU585"/>
      <c r="CV585"/>
      <c r="CW585"/>
      <c r="CX585"/>
      <c r="CY585"/>
    </row>
    <row r="586" spans="50:103" ht="20.100000000000001" customHeight="1" x14ac:dyDescent="0.25">
      <c r="AX586"/>
      <c r="AY586"/>
      <c r="AZ586"/>
      <c r="BA586"/>
      <c r="BB586"/>
      <c r="BC586"/>
      <c r="BD586"/>
      <c r="BE586"/>
      <c r="BF586"/>
      <c r="BG586"/>
      <c r="BH586"/>
      <c r="BI586"/>
      <c r="BJ586"/>
      <c r="BK586"/>
      <c r="BL586"/>
      <c r="BM586"/>
      <c r="BN586"/>
      <c r="BO586"/>
      <c r="BP586"/>
      <c r="BQ586"/>
      <c r="BR586"/>
      <c r="BY586"/>
      <c r="BZ586"/>
      <c r="CA586"/>
      <c r="CB586"/>
      <c r="CC586"/>
      <c r="CD586"/>
      <c r="CE586"/>
      <c r="CF586"/>
      <c r="CG586"/>
      <c r="CH586"/>
      <c r="CI586"/>
      <c r="CJ586"/>
      <c r="CK586"/>
      <c r="CL586"/>
      <c r="CM586"/>
      <c r="CN586"/>
      <c r="CO586"/>
      <c r="CP586"/>
      <c r="CQ586"/>
      <c r="CR586"/>
      <c r="CS586"/>
      <c r="CT586"/>
      <c r="CU586"/>
      <c r="CV586"/>
      <c r="CW586"/>
      <c r="CX586"/>
      <c r="CY586"/>
    </row>
    <row r="587" spans="50:103" ht="20.100000000000001" customHeight="1" x14ac:dyDescent="0.25">
      <c r="AX587"/>
      <c r="AY587"/>
      <c r="AZ587"/>
      <c r="BA587"/>
      <c r="BB587"/>
      <c r="BC587"/>
      <c r="BD587"/>
      <c r="BE587"/>
      <c r="BF587"/>
      <c r="BG587"/>
      <c r="BH587"/>
      <c r="BI587"/>
      <c r="BJ587"/>
      <c r="BK587"/>
      <c r="BL587"/>
      <c r="BM587"/>
      <c r="BN587"/>
      <c r="BO587"/>
      <c r="BP587"/>
      <c r="BQ587"/>
      <c r="BR587"/>
      <c r="BY587"/>
      <c r="BZ587"/>
      <c r="CA587"/>
      <c r="CB587"/>
      <c r="CC587"/>
      <c r="CD587"/>
      <c r="CE587"/>
      <c r="CF587"/>
      <c r="CG587"/>
      <c r="CH587"/>
      <c r="CI587"/>
      <c r="CJ587"/>
      <c r="CK587"/>
      <c r="CL587"/>
      <c r="CM587"/>
      <c r="CN587"/>
      <c r="CO587"/>
      <c r="CP587"/>
      <c r="CQ587"/>
      <c r="CR587"/>
      <c r="CS587"/>
      <c r="CT587"/>
      <c r="CU587"/>
      <c r="CV587"/>
      <c r="CW587"/>
      <c r="CX587"/>
      <c r="CY587"/>
    </row>
    <row r="588" spans="50:103" ht="20.100000000000001" customHeight="1" x14ac:dyDescent="0.25">
      <c r="AX588"/>
      <c r="AY588"/>
      <c r="AZ588"/>
      <c r="BA588"/>
      <c r="BB588"/>
      <c r="BC588"/>
      <c r="BD588"/>
      <c r="BE588"/>
      <c r="BF588"/>
      <c r="BG588"/>
      <c r="BH588"/>
      <c r="BI588"/>
      <c r="BJ588"/>
      <c r="BK588"/>
      <c r="BL588"/>
      <c r="BM588"/>
      <c r="BN588"/>
      <c r="BO588"/>
      <c r="BP588"/>
      <c r="BQ588"/>
      <c r="BR588"/>
      <c r="BY588"/>
      <c r="BZ588"/>
      <c r="CA588"/>
      <c r="CB588"/>
      <c r="CC588"/>
      <c r="CD588"/>
      <c r="CE588"/>
      <c r="CF588"/>
      <c r="CG588"/>
      <c r="CH588"/>
      <c r="CI588"/>
      <c r="CJ588"/>
      <c r="CK588"/>
      <c r="CL588"/>
      <c r="CM588"/>
      <c r="CN588"/>
      <c r="CO588"/>
      <c r="CP588"/>
      <c r="CQ588"/>
      <c r="CR588"/>
      <c r="CS588"/>
      <c r="CT588"/>
      <c r="CU588"/>
      <c r="CV588"/>
      <c r="CW588"/>
      <c r="CX588"/>
      <c r="CY588"/>
    </row>
    <row r="589" spans="50:103" ht="20.100000000000001" customHeight="1" x14ac:dyDescent="0.25">
      <c r="AX589"/>
      <c r="AY589"/>
      <c r="AZ589"/>
      <c r="BA589"/>
      <c r="BB589"/>
      <c r="BC589"/>
      <c r="BD589"/>
      <c r="BE589"/>
      <c r="BF589"/>
      <c r="BG589"/>
      <c r="BH589"/>
      <c r="BI589"/>
      <c r="BJ589"/>
      <c r="BK589"/>
      <c r="BL589"/>
      <c r="BM589"/>
      <c r="BN589"/>
      <c r="BO589"/>
      <c r="BP589"/>
      <c r="BQ589"/>
      <c r="BR589"/>
      <c r="BY589"/>
      <c r="BZ589"/>
      <c r="CA589"/>
      <c r="CB589"/>
      <c r="CC589"/>
      <c r="CD589"/>
      <c r="CE589"/>
      <c r="CF589"/>
      <c r="CG589"/>
      <c r="CH589"/>
      <c r="CI589"/>
      <c r="CJ589"/>
      <c r="CK589"/>
      <c r="CL589"/>
      <c r="CM589"/>
      <c r="CN589"/>
      <c r="CO589"/>
      <c r="CP589"/>
      <c r="CQ589"/>
      <c r="CR589"/>
      <c r="CS589"/>
      <c r="CT589"/>
      <c r="CU589"/>
      <c r="CV589"/>
      <c r="CW589"/>
      <c r="CX589"/>
      <c r="CY589"/>
    </row>
    <row r="590" spans="50:103" ht="20.100000000000001" customHeight="1" x14ac:dyDescent="0.25">
      <c r="AX590"/>
      <c r="AY590"/>
      <c r="AZ590"/>
      <c r="BA590"/>
      <c r="BB590"/>
      <c r="BC590"/>
      <c r="BD590"/>
      <c r="BE590"/>
      <c r="BF590"/>
      <c r="BG590"/>
      <c r="BH590"/>
      <c r="BI590"/>
      <c r="BJ590"/>
      <c r="BK590"/>
      <c r="BL590"/>
      <c r="BM590"/>
      <c r="BN590"/>
      <c r="BO590"/>
      <c r="BP590"/>
      <c r="BQ590"/>
      <c r="BR590"/>
      <c r="BY590"/>
      <c r="BZ590"/>
      <c r="CA590"/>
      <c r="CB590"/>
      <c r="CC590"/>
      <c r="CD590"/>
      <c r="CE590"/>
      <c r="CF590"/>
      <c r="CG590"/>
      <c r="CH590"/>
      <c r="CI590"/>
      <c r="CJ590"/>
      <c r="CK590"/>
      <c r="CL590"/>
      <c r="CM590"/>
      <c r="CN590"/>
      <c r="CO590"/>
      <c r="CP590"/>
      <c r="CQ590"/>
      <c r="CR590"/>
      <c r="CS590"/>
      <c r="CT590"/>
      <c r="CU590"/>
      <c r="CV590"/>
      <c r="CW590"/>
      <c r="CX590"/>
      <c r="CY590"/>
    </row>
    <row r="591" spans="50:103" ht="20.100000000000001" customHeight="1" x14ac:dyDescent="0.25">
      <c r="AX591"/>
      <c r="AY591"/>
      <c r="AZ591"/>
      <c r="BA591"/>
      <c r="BB591"/>
      <c r="BC591"/>
      <c r="BD591"/>
      <c r="BE591"/>
      <c r="BF591"/>
      <c r="BG591"/>
      <c r="BH591"/>
      <c r="BI591"/>
      <c r="BJ591"/>
      <c r="BK591"/>
      <c r="BL591"/>
      <c r="BM591"/>
      <c r="BN591"/>
      <c r="BO591"/>
      <c r="BP591"/>
      <c r="BQ591"/>
      <c r="BR591"/>
      <c r="BY591"/>
      <c r="BZ591"/>
      <c r="CA591"/>
      <c r="CB591"/>
      <c r="CC591"/>
      <c r="CD591"/>
      <c r="CE591"/>
      <c r="CF591"/>
      <c r="CG591"/>
      <c r="CH591"/>
      <c r="CI591"/>
      <c r="CJ591"/>
      <c r="CK591"/>
      <c r="CL591"/>
      <c r="CM591"/>
      <c r="CN591"/>
      <c r="CO591"/>
      <c r="CP591"/>
      <c r="CQ591"/>
      <c r="CR591"/>
      <c r="CS591"/>
      <c r="CT591"/>
      <c r="CU591"/>
      <c r="CV591"/>
      <c r="CW591"/>
      <c r="CX591"/>
      <c r="CY591"/>
    </row>
    <row r="592" spans="50:103" ht="20.100000000000001" customHeight="1" x14ac:dyDescent="0.25">
      <c r="AX592"/>
      <c r="AY592"/>
      <c r="AZ592"/>
      <c r="BA592"/>
      <c r="BB592"/>
      <c r="BC592"/>
      <c r="BD592"/>
      <c r="BE592"/>
      <c r="BF592"/>
      <c r="BG592"/>
      <c r="BH592"/>
      <c r="BI592"/>
      <c r="BJ592"/>
      <c r="BK592"/>
      <c r="BL592"/>
      <c r="BM592"/>
      <c r="BN592"/>
      <c r="BO592"/>
      <c r="BP592"/>
      <c r="BQ592"/>
      <c r="BR592"/>
      <c r="BY592"/>
      <c r="BZ592"/>
      <c r="CA592"/>
      <c r="CB592"/>
      <c r="CC592"/>
      <c r="CD592"/>
      <c r="CE592"/>
      <c r="CF592"/>
      <c r="CG592"/>
      <c r="CH592"/>
      <c r="CI592"/>
      <c r="CJ592"/>
      <c r="CK592"/>
      <c r="CL592"/>
      <c r="CM592"/>
      <c r="CN592"/>
      <c r="CO592"/>
      <c r="CP592"/>
      <c r="CQ592"/>
      <c r="CR592"/>
      <c r="CS592"/>
      <c r="CT592"/>
      <c r="CU592"/>
      <c r="CV592"/>
      <c r="CW592"/>
      <c r="CX592"/>
      <c r="CY592"/>
    </row>
    <row r="593" spans="50:103" ht="20.100000000000001" customHeight="1" x14ac:dyDescent="0.25">
      <c r="AX593"/>
      <c r="AY593"/>
      <c r="AZ593"/>
      <c r="BA593"/>
      <c r="BB593"/>
      <c r="BC593"/>
      <c r="BD593"/>
      <c r="BE593"/>
      <c r="BF593"/>
      <c r="BG593"/>
      <c r="BH593"/>
      <c r="BI593"/>
      <c r="BJ593"/>
      <c r="BK593"/>
      <c r="BL593"/>
      <c r="BM593"/>
      <c r="BN593"/>
      <c r="BO593"/>
      <c r="BP593"/>
      <c r="BQ593"/>
      <c r="BR593"/>
      <c r="BY593"/>
      <c r="BZ593"/>
      <c r="CA593"/>
      <c r="CB593"/>
      <c r="CC593"/>
      <c r="CD593"/>
      <c r="CE593"/>
      <c r="CF593"/>
      <c r="CG593"/>
      <c r="CH593"/>
      <c r="CI593"/>
      <c r="CJ593"/>
      <c r="CK593"/>
      <c r="CL593"/>
      <c r="CM593"/>
      <c r="CN593"/>
      <c r="CO593"/>
      <c r="CP593"/>
      <c r="CQ593"/>
      <c r="CR593"/>
      <c r="CS593"/>
      <c r="CT593"/>
      <c r="CU593"/>
      <c r="CV593"/>
      <c r="CW593"/>
      <c r="CX593"/>
      <c r="CY593"/>
    </row>
    <row r="594" spans="50:103" ht="20.100000000000001" customHeight="1" x14ac:dyDescent="0.25">
      <c r="AX594"/>
      <c r="AY594"/>
      <c r="AZ594"/>
      <c r="BA594"/>
      <c r="BB594"/>
      <c r="BC594"/>
      <c r="BD594"/>
      <c r="BE594"/>
      <c r="BF594"/>
      <c r="BG594"/>
      <c r="BH594"/>
      <c r="BI594"/>
      <c r="BJ594"/>
      <c r="BK594"/>
      <c r="BL594"/>
      <c r="BM594"/>
      <c r="BN594"/>
      <c r="BO594"/>
      <c r="BP594"/>
      <c r="BQ594"/>
      <c r="BR594"/>
      <c r="BY594"/>
      <c r="BZ594"/>
      <c r="CA594"/>
      <c r="CB594"/>
      <c r="CC594"/>
      <c r="CD594"/>
      <c r="CE594"/>
      <c r="CF594"/>
      <c r="CG594"/>
      <c r="CH594"/>
      <c r="CI594"/>
      <c r="CJ594"/>
      <c r="CK594"/>
      <c r="CL594"/>
      <c r="CM594"/>
      <c r="CN594"/>
      <c r="CO594"/>
      <c r="CP594"/>
      <c r="CQ594"/>
      <c r="CR594"/>
      <c r="CS594"/>
      <c r="CT594"/>
      <c r="CU594"/>
      <c r="CV594"/>
      <c r="CW594"/>
      <c r="CX594"/>
      <c r="CY594"/>
    </row>
    <row r="595" spans="50:103" ht="20.100000000000001" customHeight="1" x14ac:dyDescent="0.25">
      <c r="AX595"/>
      <c r="AY595"/>
      <c r="AZ595"/>
      <c r="BA595"/>
      <c r="BB595"/>
      <c r="BC595"/>
      <c r="BD595"/>
      <c r="BE595"/>
      <c r="BF595"/>
      <c r="BG595"/>
      <c r="BH595"/>
      <c r="BI595"/>
      <c r="BJ595"/>
      <c r="BK595"/>
      <c r="BL595"/>
      <c r="BM595"/>
      <c r="BN595"/>
      <c r="BO595"/>
      <c r="BP595"/>
      <c r="BQ595"/>
      <c r="BR595"/>
      <c r="BY595"/>
      <c r="BZ595"/>
      <c r="CA595"/>
      <c r="CB595"/>
      <c r="CC595"/>
      <c r="CD595"/>
      <c r="CE595"/>
      <c r="CF595"/>
      <c r="CG595"/>
      <c r="CH595"/>
      <c r="CI595"/>
      <c r="CJ595"/>
      <c r="CK595"/>
      <c r="CL595"/>
      <c r="CM595"/>
      <c r="CN595"/>
      <c r="CO595"/>
      <c r="CP595"/>
      <c r="CQ595"/>
      <c r="CR595"/>
      <c r="CS595"/>
      <c r="CT595"/>
      <c r="CU595"/>
      <c r="CV595"/>
      <c r="CW595"/>
      <c r="CX595"/>
      <c r="CY595"/>
    </row>
    <row r="596" spans="50:103" ht="20.100000000000001" customHeight="1" x14ac:dyDescent="0.25">
      <c r="AX596"/>
      <c r="AY596"/>
      <c r="AZ596"/>
      <c r="BA596"/>
      <c r="BB596"/>
      <c r="BC596"/>
      <c r="BD596"/>
      <c r="BE596"/>
      <c r="BF596"/>
      <c r="BG596"/>
      <c r="BH596"/>
      <c r="BI596"/>
      <c r="BJ596"/>
      <c r="BK596"/>
      <c r="BL596"/>
      <c r="BM596"/>
      <c r="BN596"/>
      <c r="BO596"/>
      <c r="BP596"/>
      <c r="BQ596"/>
      <c r="BR596"/>
      <c r="BY596"/>
      <c r="BZ596"/>
      <c r="CA596"/>
      <c r="CB596"/>
      <c r="CC596"/>
      <c r="CD596"/>
      <c r="CE596"/>
      <c r="CF596"/>
      <c r="CG596"/>
      <c r="CH596"/>
      <c r="CI596"/>
      <c r="CJ596"/>
      <c r="CK596"/>
      <c r="CL596"/>
      <c r="CM596"/>
      <c r="CN596"/>
      <c r="CO596"/>
      <c r="CP596"/>
      <c r="CQ596"/>
      <c r="CR596"/>
      <c r="CS596"/>
      <c r="CT596"/>
      <c r="CU596"/>
      <c r="CV596"/>
      <c r="CW596"/>
      <c r="CX596"/>
      <c r="CY596"/>
    </row>
    <row r="597" spans="50:103" ht="20.100000000000001" customHeight="1" x14ac:dyDescent="0.25">
      <c r="AX597"/>
      <c r="AY597"/>
      <c r="AZ597"/>
      <c r="BA597"/>
      <c r="BB597"/>
      <c r="BC597"/>
      <c r="BD597"/>
      <c r="BE597"/>
      <c r="BF597"/>
      <c r="BG597"/>
      <c r="BH597"/>
      <c r="BI597"/>
      <c r="BJ597"/>
      <c r="BK597"/>
      <c r="BL597"/>
      <c r="BM597"/>
      <c r="BN597"/>
      <c r="BO597"/>
      <c r="BP597"/>
      <c r="BQ597"/>
      <c r="BR597"/>
      <c r="BY597"/>
      <c r="BZ597"/>
      <c r="CA597"/>
      <c r="CB597"/>
      <c r="CC597"/>
      <c r="CD597"/>
      <c r="CE597"/>
      <c r="CF597"/>
      <c r="CG597"/>
      <c r="CH597"/>
      <c r="CI597"/>
      <c r="CJ597"/>
      <c r="CK597"/>
      <c r="CL597"/>
      <c r="CM597"/>
      <c r="CN597"/>
      <c r="CO597"/>
      <c r="CP597"/>
      <c r="CQ597"/>
      <c r="CR597"/>
      <c r="CS597"/>
      <c r="CT597"/>
      <c r="CU597"/>
      <c r="CV597"/>
      <c r="CW597"/>
      <c r="CX597"/>
      <c r="CY597"/>
    </row>
    <row r="598" spans="50:103" ht="20.100000000000001" customHeight="1" x14ac:dyDescent="0.25">
      <c r="AX598"/>
      <c r="AY598"/>
      <c r="AZ598"/>
      <c r="BA598"/>
      <c r="BB598"/>
      <c r="BC598"/>
      <c r="BD598"/>
      <c r="BE598"/>
      <c r="BF598"/>
      <c r="BG598"/>
      <c r="BH598"/>
      <c r="BI598"/>
      <c r="BJ598"/>
      <c r="BK598"/>
      <c r="BL598"/>
      <c r="BM598"/>
      <c r="BN598"/>
      <c r="BO598"/>
      <c r="BP598"/>
      <c r="BQ598"/>
      <c r="BR598"/>
      <c r="BY598"/>
      <c r="BZ598"/>
      <c r="CA598"/>
      <c r="CB598"/>
      <c r="CC598"/>
      <c r="CD598"/>
      <c r="CE598"/>
      <c r="CF598"/>
      <c r="CG598"/>
      <c r="CH598"/>
      <c r="CI598"/>
      <c r="CJ598"/>
      <c r="CK598"/>
      <c r="CL598"/>
      <c r="CM598"/>
      <c r="CN598"/>
      <c r="CO598"/>
      <c r="CP598"/>
      <c r="CQ598"/>
      <c r="CR598"/>
      <c r="CS598"/>
      <c r="CT598"/>
      <c r="CU598"/>
      <c r="CV598"/>
      <c r="CW598"/>
      <c r="CX598"/>
      <c r="CY598"/>
    </row>
    <row r="599" spans="50:103" ht="20.100000000000001" customHeight="1" x14ac:dyDescent="0.25">
      <c r="AX599"/>
      <c r="AY599"/>
      <c r="AZ599"/>
      <c r="BA599"/>
      <c r="BB599"/>
      <c r="BC599"/>
      <c r="BD599"/>
      <c r="BE599"/>
      <c r="BF599"/>
      <c r="BG599"/>
      <c r="BH599"/>
      <c r="BI599"/>
      <c r="BJ599"/>
      <c r="BK599"/>
      <c r="BL599"/>
      <c r="BM599"/>
      <c r="BN599"/>
      <c r="BO599"/>
      <c r="BP599"/>
      <c r="BQ599"/>
      <c r="BR599"/>
      <c r="BY599"/>
      <c r="BZ599"/>
      <c r="CA599"/>
      <c r="CB599"/>
      <c r="CC599"/>
      <c r="CD599"/>
      <c r="CE599"/>
      <c r="CF599"/>
      <c r="CG599"/>
      <c r="CH599"/>
      <c r="CI599"/>
      <c r="CJ599"/>
      <c r="CK599"/>
      <c r="CL599"/>
      <c r="CM599"/>
      <c r="CN599"/>
      <c r="CO599"/>
      <c r="CP599"/>
      <c r="CQ599"/>
      <c r="CR599"/>
      <c r="CS599"/>
      <c r="CT599"/>
      <c r="CU599"/>
      <c r="CV599"/>
      <c r="CW599"/>
      <c r="CX599"/>
      <c r="CY599"/>
    </row>
    <row r="600" spans="50:103" ht="20.100000000000001" customHeight="1" x14ac:dyDescent="0.25">
      <c r="AX600"/>
      <c r="AY600"/>
      <c r="AZ600"/>
      <c r="BA600"/>
      <c r="BB600"/>
      <c r="BC600"/>
      <c r="BD600"/>
      <c r="BE600"/>
      <c r="BF600"/>
      <c r="BG600"/>
      <c r="BH600"/>
      <c r="BI600"/>
      <c r="BJ600"/>
      <c r="BK600"/>
      <c r="BL600"/>
      <c r="BM600"/>
      <c r="BN600"/>
      <c r="BO600"/>
      <c r="BP600"/>
      <c r="BQ600"/>
      <c r="BR600"/>
      <c r="BY600"/>
      <c r="BZ600"/>
      <c r="CA600"/>
      <c r="CB600"/>
      <c r="CC600"/>
      <c r="CD600"/>
      <c r="CE600"/>
      <c r="CF600"/>
      <c r="CG600"/>
      <c r="CH600"/>
      <c r="CI600"/>
      <c r="CJ600"/>
      <c r="CK600"/>
      <c r="CL600"/>
      <c r="CM600"/>
      <c r="CN600"/>
      <c r="CO600"/>
      <c r="CP600"/>
      <c r="CQ600"/>
      <c r="CR600"/>
      <c r="CS600"/>
      <c r="CT600"/>
      <c r="CU600"/>
      <c r="CV600"/>
      <c r="CW600"/>
      <c r="CX600"/>
      <c r="CY600"/>
    </row>
    <row r="601" spans="50:103" ht="20.100000000000001" customHeight="1" x14ac:dyDescent="0.25">
      <c r="AX601"/>
      <c r="AY601"/>
      <c r="AZ601"/>
      <c r="BA601"/>
      <c r="BB601"/>
      <c r="BC601"/>
      <c r="BD601"/>
      <c r="BE601"/>
      <c r="BF601"/>
      <c r="BG601"/>
      <c r="BH601"/>
      <c r="BI601"/>
      <c r="BJ601"/>
      <c r="BK601"/>
      <c r="BL601"/>
      <c r="BM601"/>
      <c r="BN601"/>
      <c r="BO601"/>
      <c r="BP601"/>
      <c r="BQ601"/>
      <c r="BR601"/>
      <c r="BY601"/>
      <c r="BZ601"/>
      <c r="CA601"/>
      <c r="CB601"/>
      <c r="CC601"/>
      <c r="CD601"/>
      <c r="CE601"/>
      <c r="CF601"/>
      <c r="CG601"/>
      <c r="CH601"/>
      <c r="CI601"/>
      <c r="CJ601"/>
      <c r="CK601"/>
      <c r="CL601"/>
      <c r="CM601"/>
      <c r="CN601"/>
      <c r="CO601"/>
      <c r="CP601"/>
      <c r="CQ601"/>
      <c r="CR601"/>
      <c r="CS601"/>
      <c r="CT601"/>
      <c r="CU601"/>
      <c r="CV601"/>
      <c r="CW601"/>
      <c r="CX601"/>
      <c r="CY601"/>
    </row>
    <row r="602" spans="50:103" ht="20.100000000000001" customHeight="1" x14ac:dyDescent="0.25">
      <c r="AX602"/>
      <c r="AY602"/>
      <c r="AZ602"/>
      <c r="BA602"/>
      <c r="BB602"/>
      <c r="BC602"/>
      <c r="BD602"/>
      <c r="BE602"/>
      <c r="BF602"/>
      <c r="BG602"/>
      <c r="BH602"/>
      <c r="BI602"/>
      <c r="BJ602"/>
      <c r="BK602"/>
      <c r="BL602"/>
      <c r="BM602"/>
      <c r="BN602"/>
      <c r="BO602"/>
      <c r="BP602"/>
      <c r="BQ602"/>
      <c r="BR602"/>
      <c r="BY602"/>
      <c r="BZ602"/>
      <c r="CA602"/>
      <c r="CB602"/>
      <c r="CC602"/>
      <c r="CD602"/>
      <c r="CE602"/>
      <c r="CF602"/>
      <c r="CG602"/>
      <c r="CH602"/>
      <c r="CI602"/>
      <c r="CJ602"/>
      <c r="CK602"/>
      <c r="CL602"/>
      <c r="CM602"/>
      <c r="CN602"/>
      <c r="CO602"/>
      <c r="CP602"/>
      <c r="CQ602"/>
      <c r="CR602"/>
      <c r="CS602"/>
      <c r="CT602"/>
      <c r="CU602"/>
      <c r="CV602"/>
      <c r="CW602"/>
      <c r="CX602"/>
      <c r="CY602"/>
    </row>
    <row r="603" spans="50:103" ht="20.100000000000001" customHeight="1" x14ac:dyDescent="0.25">
      <c r="AX603"/>
      <c r="AY603"/>
      <c r="AZ603"/>
      <c r="BA603"/>
      <c r="BB603"/>
      <c r="BC603"/>
      <c r="BD603"/>
      <c r="BE603"/>
      <c r="BF603"/>
      <c r="BG603"/>
      <c r="BH603"/>
      <c r="BI603"/>
      <c r="BJ603"/>
      <c r="BK603"/>
      <c r="BL603"/>
      <c r="BM603"/>
      <c r="BN603"/>
      <c r="BO603"/>
      <c r="BP603"/>
      <c r="BQ603"/>
      <c r="BR603"/>
      <c r="BY603"/>
      <c r="BZ603"/>
      <c r="CA603"/>
      <c r="CB603"/>
      <c r="CC603"/>
      <c r="CD603"/>
      <c r="CE603"/>
      <c r="CF603"/>
      <c r="CG603"/>
      <c r="CH603"/>
      <c r="CI603"/>
      <c r="CJ603"/>
      <c r="CK603"/>
      <c r="CL603"/>
      <c r="CM603"/>
      <c r="CN603"/>
      <c r="CO603"/>
      <c r="CP603"/>
      <c r="CQ603"/>
      <c r="CR603"/>
      <c r="CS603"/>
      <c r="CT603"/>
      <c r="CU603"/>
      <c r="CV603"/>
      <c r="CW603"/>
      <c r="CX603"/>
      <c r="CY603"/>
    </row>
    <row r="604" spans="50:103" ht="20.100000000000001" customHeight="1" x14ac:dyDescent="0.25">
      <c r="AX604"/>
      <c r="AY604"/>
      <c r="AZ604"/>
      <c r="BA604"/>
      <c r="BB604"/>
      <c r="BC604"/>
      <c r="BD604"/>
      <c r="BE604"/>
      <c r="BF604"/>
      <c r="BG604"/>
      <c r="BH604"/>
      <c r="BI604"/>
      <c r="BJ604"/>
      <c r="BK604"/>
      <c r="BL604"/>
      <c r="BM604"/>
      <c r="BN604"/>
      <c r="BO604"/>
      <c r="BP604"/>
      <c r="BQ604"/>
      <c r="BR604"/>
      <c r="BY604"/>
      <c r="BZ604"/>
      <c r="CA604"/>
      <c r="CB604"/>
      <c r="CC604"/>
      <c r="CD604"/>
      <c r="CE604"/>
      <c r="CF604"/>
      <c r="CG604"/>
      <c r="CH604"/>
      <c r="CI604"/>
      <c r="CJ604"/>
      <c r="CK604"/>
      <c r="CL604"/>
      <c r="CM604"/>
      <c r="CN604"/>
      <c r="CO604"/>
      <c r="CP604"/>
      <c r="CQ604"/>
      <c r="CR604"/>
      <c r="CS604"/>
      <c r="CT604"/>
      <c r="CU604"/>
      <c r="CV604"/>
      <c r="CW604"/>
      <c r="CX604"/>
      <c r="CY604"/>
    </row>
    <row r="605" spans="50:103" ht="20.100000000000001" customHeight="1" x14ac:dyDescent="0.25">
      <c r="AX605"/>
      <c r="AY605"/>
      <c r="AZ605"/>
      <c r="BA605"/>
      <c r="BB605"/>
      <c r="BC605"/>
      <c r="BD605"/>
      <c r="BE605"/>
      <c r="BF605"/>
      <c r="BG605"/>
      <c r="BH605"/>
      <c r="BI605"/>
      <c r="BJ605"/>
      <c r="BK605"/>
      <c r="BL605"/>
      <c r="BM605"/>
      <c r="BN605"/>
      <c r="BO605"/>
      <c r="BP605"/>
      <c r="BQ605"/>
      <c r="BR605"/>
      <c r="BY605"/>
      <c r="BZ605"/>
      <c r="CA605"/>
      <c r="CB605"/>
      <c r="CC605"/>
      <c r="CD605"/>
      <c r="CE605"/>
      <c r="CF605"/>
      <c r="CG605"/>
      <c r="CH605"/>
      <c r="CI605"/>
      <c r="CJ605"/>
      <c r="CK605"/>
      <c r="CL605"/>
      <c r="CM605"/>
      <c r="CN605"/>
      <c r="CO605"/>
      <c r="CP605"/>
      <c r="CQ605"/>
      <c r="CR605"/>
      <c r="CS605"/>
      <c r="CT605"/>
      <c r="CU605"/>
      <c r="CV605"/>
      <c r="CW605"/>
      <c r="CX605"/>
      <c r="CY605"/>
    </row>
    <row r="606" spans="50:103" ht="20.100000000000001" customHeight="1" x14ac:dyDescent="0.25">
      <c r="AX606"/>
      <c r="AY606"/>
      <c r="AZ606"/>
      <c r="BA606"/>
      <c r="BB606"/>
      <c r="BC606"/>
      <c r="BD606"/>
      <c r="BE606"/>
      <c r="BF606"/>
      <c r="BG606"/>
      <c r="BH606"/>
      <c r="BI606"/>
      <c r="BJ606"/>
      <c r="BK606"/>
      <c r="BL606"/>
      <c r="BM606"/>
      <c r="BN606"/>
      <c r="BO606"/>
      <c r="BP606"/>
      <c r="BQ606"/>
      <c r="BR606"/>
      <c r="BY606"/>
      <c r="BZ606"/>
      <c r="CA606"/>
      <c r="CB606"/>
      <c r="CC606"/>
      <c r="CD606"/>
      <c r="CE606"/>
      <c r="CF606"/>
      <c r="CG606"/>
      <c r="CH606"/>
      <c r="CI606"/>
      <c r="CJ606"/>
      <c r="CK606"/>
      <c r="CL606"/>
      <c r="CM606"/>
      <c r="CN606"/>
      <c r="CO606"/>
      <c r="CP606"/>
      <c r="CQ606"/>
      <c r="CR606"/>
      <c r="CS606"/>
      <c r="CT606"/>
      <c r="CU606"/>
      <c r="CV606"/>
      <c r="CW606"/>
      <c r="CX606"/>
      <c r="CY606"/>
    </row>
    <row r="607" spans="50:103" ht="20.100000000000001" customHeight="1" x14ac:dyDescent="0.25">
      <c r="AX607"/>
      <c r="AY607"/>
      <c r="AZ607"/>
      <c r="BA607"/>
      <c r="BB607"/>
      <c r="BC607"/>
      <c r="BD607"/>
      <c r="BE607"/>
      <c r="BF607"/>
      <c r="BG607"/>
      <c r="BH607"/>
      <c r="BI607"/>
      <c r="BJ607"/>
      <c r="BK607"/>
      <c r="BL607"/>
      <c r="BM607"/>
      <c r="BN607"/>
      <c r="BO607"/>
      <c r="BP607"/>
      <c r="BQ607"/>
      <c r="BR607"/>
      <c r="BY607"/>
      <c r="BZ607"/>
      <c r="CA607"/>
      <c r="CB607"/>
      <c r="CC607"/>
      <c r="CD607"/>
      <c r="CE607"/>
      <c r="CF607"/>
      <c r="CG607"/>
      <c r="CH607"/>
      <c r="CI607"/>
      <c r="CJ607"/>
      <c r="CK607"/>
      <c r="CL607"/>
      <c r="CM607"/>
      <c r="CN607"/>
      <c r="CO607"/>
      <c r="CP607"/>
      <c r="CQ607"/>
      <c r="CR607"/>
      <c r="CS607"/>
      <c r="CT607"/>
      <c r="CU607"/>
      <c r="CV607"/>
      <c r="CW607"/>
      <c r="CX607"/>
      <c r="CY607"/>
    </row>
    <row r="608" spans="50:103" ht="20.100000000000001" customHeight="1" x14ac:dyDescent="0.25">
      <c r="AX608"/>
      <c r="AY608"/>
      <c r="AZ608"/>
      <c r="BA608"/>
      <c r="BB608"/>
      <c r="BC608"/>
      <c r="BD608"/>
      <c r="BE608"/>
      <c r="BF608"/>
      <c r="BG608"/>
      <c r="BH608"/>
      <c r="BI608"/>
      <c r="BJ608"/>
      <c r="BK608"/>
      <c r="BL608"/>
      <c r="BM608"/>
      <c r="BN608"/>
      <c r="BO608"/>
      <c r="BP608"/>
      <c r="BQ608"/>
      <c r="BR608"/>
      <c r="BY608"/>
      <c r="BZ608"/>
      <c r="CA608"/>
      <c r="CB608"/>
      <c r="CC608"/>
      <c r="CD608"/>
      <c r="CE608"/>
      <c r="CF608"/>
      <c r="CG608"/>
      <c r="CH608"/>
      <c r="CI608"/>
      <c r="CJ608"/>
      <c r="CK608"/>
      <c r="CL608"/>
      <c r="CM608"/>
      <c r="CN608"/>
      <c r="CO608"/>
      <c r="CP608"/>
      <c r="CQ608"/>
      <c r="CR608"/>
      <c r="CS608"/>
      <c r="CT608"/>
      <c r="CU608"/>
      <c r="CV608"/>
      <c r="CW608"/>
      <c r="CX608"/>
      <c r="CY608"/>
    </row>
    <row r="609" spans="50:103" ht="20.100000000000001" customHeight="1" x14ac:dyDescent="0.25">
      <c r="AX609"/>
      <c r="AY609"/>
      <c r="AZ609"/>
      <c r="BA609"/>
      <c r="BB609"/>
      <c r="BC609"/>
      <c r="BD609"/>
      <c r="BE609"/>
      <c r="BF609"/>
      <c r="BG609"/>
      <c r="BH609"/>
      <c r="BI609"/>
      <c r="BJ609"/>
      <c r="BK609"/>
      <c r="BL609"/>
      <c r="BM609"/>
      <c r="BN609"/>
      <c r="BO609"/>
      <c r="BP609"/>
      <c r="BQ609"/>
      <c r="BR609"/>
      <c r="BY609"/>
      <c r="BZ609"/>
      <c r="CA609"/>
      <c r="CB609"/>
      <c r="CC609"/>
      <c r="CD609"/>
      <c r="CE609"/>
      <c r="CF609"/>
      <c r="CG609"/>
      <c r="CH609"/>
      <c r="CI609"/>
      <c r="CJ609"/>
      <c r="CK609"/>
      <c r="CL609"/>
      <c r="CM609"/>
      <c r="CN609"/>
      <c r="CO609"/>
      <c r="CP609"/>
      <c r="CQ609"/>
      <c r="CR609"/>
      <c r="CS609"/>
      <c r="CT609"/>
      <c r="CU609"/>
      <c r="CV609"/>
      <c r="CW609"/>
      <c r="CX609"/>
      <c r="CY609"/>
    </row>
    <row r="610" spans="50:103" ht="20.100000000000001" customHeight="1" x14ac:dyDescent="0.25">
      <c r="AX610"/>
      <c r="AY610"/>
      <c r="AZ610"/>
      <c r="BA610"/>
      <c r="BB610"/>
      <c r="BC610"/>
      <c r="BD610"/>
      <c r="BE610"/>
      <c r="BF610"/>
      <c r="BG610"/>
      <c r="BH610"/>
      <c r="BI610"/>
      <c r="BJ610"/>
      <c r="BK610"/>
      <c r="BL610"/>
      <c r="BM610"/>
      <c r="BN610"/>
      <c r="BO610"/>
      <c r="BP610"/>
      <c r="BQ610"/>
      <c r="BR610"/>
      <c r="BY610"/>
      <c r="BZ610"/>
      <c r="CA610"/>
      <c r="CB610"/>
      <c r="CC610"/>
      <c r="CD610"/>
      <c r="CE610"/>
      <c r="CF610"/>
      <c r="CG610"/>
      <c r="CH610"/>
      <c r="CI610"/>
      <c r="CJ610"/>
      <c r="CK610"/>
      <c r="CL610"/>
      <c r="CM610"/>
      <c r="CN610"/>
      <c r="CO610"/>
      <c r="CP610"/>
      <c r="CQ610"/>
      <c r="CR610"/>
      <c r="CS610"/>
      <c r="CT610"/>
      <c r="CU610"/>
      <c r="CV610"/>
      <c r="CW610"/>
      <c r="CX610"/>
      <c r="CY610"/>
    </row>
    <row r="611" spans="50:103" ht="20.100000000000001" customHeight="1" x14ac:dyDescent="0.25">
      <c r="AX611"/>
      <c r="AY611"/>
      <c r="AZ611"/>
      <c r="BA611"/>
      <c r="BB611"/>
      <c r="BC611"/>
      <c r="BD611"/>
      <c r="BE611"/>
      <c r="BF611"/>
      <c r="BG611"/>
      <c r="BH611"/>
      <c r="BI611"/>
      <c r="BJ611"/>
      <c r="BK611"/>
      <c r="BL611"/>
      <c r="BM611"/>
      <c r="BN611"/>
      <c r="BO611"/>
      <c r="BP611"/>
      <c r="BQ611"/>
      <c r="BR611"/>
      <c r="BY611"/>
      <c r="BZ611"/>
      <c r="CA611"/>
      <c r="CB611"/>
      <c r="CC611"/>
      <c r="CD611"/>
      <c r="CE611"/>
      <c r="CF611"/>
      <c r="CG611"/>
      <c r="CH611"/>
      <c r="CI611"/>
      <c r="CJ611"/>
      <c r="CK611"/>
      <c r="CL611"/>
      <c r="CM611"/>
      <c r="CN611"/>
      <c r="CO611"/>
      <c r="CP611"/>
      <c r="CQ611"/>
      <c r="CR611"/>
      <c r="CS611"/>
      <c r="CT611"/>
      <c r="CU611"/>
      <c r="CV611"/>
      <c r="CW611"/>
      <c r="CX611"/>
      <c r="CY611"/>
    </row>
    <row r="612" spans="50:103" ht="20.100000000000001" customHeight="1" x14ac:dyDescent="0.25">
      <c r="AX612"/>
      <c r="AY612"/>
      <c r="AZ612"/>
      <c r="BA612"/>
      <c r="BB612"/>
      <c r="BC612"/>
      <c r="BD612"/>
      <c r="BE612"/>
      <c r="BF612"/>
      <c r="BG612"/>
      <c r="BH612"/>
      <c r="BI612"/>
      <c r="BJ612"/>
      <c r="BK612"/>
      <c r="BL612"/>
      <c r="BM612"/>
      <c r="BN612"/>
      <c r="BO612"/>
      <c r="BP612"/>
      <c r="BQ612"/>
      <c r="BR612"/>
      <c r="BY612"/>
      <c r="BZ612"/>
      <c r="CA612"/>
      <c r="CB612"/>
      <c r="CC612"/>
      <c r="CD612"/>
      <c r="CE612"/>
      <c r="CF612"/>
      <c r="CG612"/>
      <c r="CH612"/>
      <c r="CI612"/>
      <c r="CJ612"/>
      <c r="CK612"/>
      <c r="CL612"/>
      <c r="CM612"/>
      <c r="CN612"/>
      <c r="CO612"/>
      <c r="CP612"/>
      <c r="CQ612"/>
      <c r="CR612"/>
      <c r="CS612"/>
      <c r="CT612"/>
      <c r="CU612"/>
      <c r="CV612"/>
      <c r="CW612"/>
      <c r="CX612"/>
      <c r="CY612"/>
    </row>
    <row r="613" spans="50:103" ht="20.100000000000001" customHeight="1" x14ac:dyDescent="0.25">
      <c r="AX613"/>
      <c r="AY613"/>
      <c r="AZ613"/>
      <c r="BA613"/>
      <c r="BB613"/>
      <c r="BC613"/>
      <c r="BD613"/>
      <c r="BE613"/>
      <c r="BF613"/>
      <c r="BG613"/>
      <c r="BH613"/>
      <c r="BI613"/>
      <c r="BJ613"/>
      <c r="BK613"/>
      <c r="BL613"/>
      <c r="BM613"/>
      <c r="BN613"/>
      <c r="BO613"/>
      <c r="BP613"/>
      <c r="BQ613"/>
      <c r="BR613"/>
      <c r="BY613"/>
      <c r="BZ613"/>
      <c r="CA613"/>
      <c r="CB613"/>
      <c r="CC613"/>
      <c r="CD613"/>
      <c r="CE613"/>
      <c r="CF613"/>
      <c r="CG613"/>
      <c r="CH613"/>
      <c r="CI613"/>
      <c r="CJ613"/>
      <c r="CK613"/>
      <c r="CL613"/>
      <c r="CM613"/>
      <c r="CN613"/>
      <c r="CO613"/>
      <c r="CP613"/>
      <c r="CQ613"/>
      <c r="CR613"/>
      <c r="CS613"/>
      <c r="CT613"/>
      <c r="CU613"/>
      <c r="CV613"/>
      <c r="CW613"/>
      <c r="CX613"/>
      <c r="CY613"/>
    </row>
    <row r="614" spans="50:103" ht="20.100000000000001" customHeight="1" x14ac:dyDescent="0.25">
      <c r="AX614"/>
      <c r="AY614"/>
      <c r="AZ614"/>
      <c r="BA614"/>
      <c r="BB614"/>
      <c r="BC614"/>
      <c r="BD614"/>
      <c r="BE614"/>
      <c r="BF614"/>
      <c r="BG614"/>
      <c r="BH614"/>
      <c r="BI614"/>
      <c r="BJ614"/>
      <c r="BK614"/>
      <c r="BL614"/>
      <c r="BM614"/>
      <c r="BN614"/>
      <c r="BO614"/>
      <c r="BP614"/>
      <c r="BQ614"/>
      <c r="BR614"/>
      <c r="BY614"/>
      <c r="BZ614"/>
      <c r="CA614"/>
      <c r="CB614"/>
      <c r="CC614"/>
      <c r="CD614"/>
      <c r="CE614"/>
      <c r="CF614"/>
      <c r="CG614"/>
      <c r="CH614"/>
      <c r="CI614"/>
      <c r="CJ614"/>
      <c r="CK614"/>
      <c r="CL614"/>
      <c r="CM614"/>
      <c r="CN614"/>
      <c r="CO614"/>
      <c r="CP614"/>
      <c r="CQ614"/>
      <c r="CR614"/>
      <c r="CS614"/>
      <c r="CT614"/>
      <c r="CU614"/>
      <c r="CV614"/>
      <c r="CW614"/>
      <c r="CX614"/>
      <c r="CY614"/>
    </row>
    <row r="615" spans="50:103" ht="20.100000000000001" customHeight="1" x14ac:dyDescent="0.25">
      <c r="AX615"/>
      <c r="AY615"/>
      <c r="AZ615"/>
      <c r="BA615"/>
      <c r="BB615"/>
      <c r="BC615"/>
      <c r="BD615"/>
      <c r="BE615"/>
      <c r="BF615"/>
      <c r="BG615"/>
      <c r="BH615"/>
      <c r="BI615"/>
      <c r="BJ615"/>
      <c r="BK615"/>
      <c r="BL615"/>
      <c r="BM615"/>
      <c r="BN615"/>
      <c r="BO615"/>
      <c r="BP615"/>
      <c r="BQ615"/>
      <c r="BR615"/>
      <c r="BY615"/>
      <c r="BZ615"/>
      <c r="CA615"/>
      <c r="CB615"/>
      <c r="CC615"/>
      <c r="CD615"/>
      <c r="CE615"/>
      <c r="CF615"/>
      <c r="CG615"/>
      <c r="CH615"/>
      <c r="CI615"/>
      <c r="CJ615"/>
      <c r="CK615"/>
      <c r="CL615"/>
      <c r="CM615"/>
      <c r="CN615"/>
      <c r="CO615"/>
      <c r="CP615"/>
      <c r="CQ615"/>
      <c r="CR615"/>
      <c r="CS615"/>
      <c r="CT615"/>
      <c r="CU615"/>
      <c r="CV615"/>
      <c r="CW615"/>
      <c r="CX615"/>
      <c r="CY615"/>
    </row>
    <row r="616" spans="50:103" ht="20.100000000000001" customHeight="1" x14ac:dyDescent="0.25">
      <c r="AX616"/>
      <c r="AY616"/>
      <c r="AZ616"/>
      <c r="BA616"/>
      <c r="BB616"/>
      <c r="BC616"/>
      <c r="BD616"/>
      <c r="BE616"/>
      <c r="BF616"/>
      <c r="BG616"/>
      <c r="BH616"/>
      <c r="BI616"/>
      <c r="BJ616"/>
      <c r="BK616"/>
      <c r="BL616"/>
      <c r="BM616"/>
      <c r="BN616"/>
      <c r="BO616"/>
      <c r="BP616"/>
      <c r="BQ616"/>
      <c r="BR616"/>
      <c r="BY616"/>
      <c r="BZ616"/>
      <c r="CA616"/>
      <c r="CB616"/>
      <c r="CC616"/>
      <c r="CD616"/>
      <c r="CE616"/>
      <c r="CF616"/>
      <c r="CG616"/>
      <c r="CH616"/>
      <c r="CI616"/>
      <c r="CJ616"/>
      <c r="CK616"/>
      <c r="CL616"/>
      <c r="CM616"/>
      <c r="CN616"/>
      <c r="CO616"/>
      <c r="CP616"/>
      <c r="CQ616"/>
      <c r="CR616"/>
      <c r="CS616"/>
      <c r="CT616"/>
      <c r="CU616"/>
      <c r="CV616"/>
      <c r="CW616"/>
      <c r="CX616"/>
      <c r="CY616"/>
    </row>
    <row r="617" spans="50:103" ht="20.100000000000001" customHeight="1" x14ac:dyDescent="0.25">
      <c r="AX617"/>
      <c r="AY617"/>
      <c r="AZ617"/>
      <c r="BA617"/>
      <c r="BB617"/>
      <c r="BC617"/>
      <c r="BD617"/>
      <c r="BE617"/>
      <c r="BF617"/>
      <c r="BG617"/>
      <c r="BH617"/>
      <c r="BI617"/>
      <c r="BJ617"/>
      <c r="BK617"/>
      <c r="BL617"/>
      <c r="BM617"/>
      <c r="BN617"/>
      <c r="BO617"/>
      <c r="BP617"/>
      <c r="BQ617"/>
      <c r="BR617"/>
      <c r="BY617"/>
      <c r="BZ617"/>
      <c r="CA617"/>
      <c r="CB617"/>
      <c r="CC617"/>
      <c r="CD617"/>
      <c r="CE617"/>
      <c r="CF617"/>
      <c r="CG617"/>
      <c r="CH617"/>
      <c r="CI617"/>
      <c r="CJ617"/>
      <c r="CK617"/>
      <c r="CL617"/>
      <c r="CM617"/>
      <c r="CN617"/>
      <c r="CO617"/>
      <c r="CP617"/>
      <c r="CQ617"/>
      <c r="CR617"/>
      <c r="CS617"/>
      <c r="CT617"/>
      <c r="CU617"/>
      <c r="CV617"/>
      <c r="CW617"/>
      <c r="CX617"/>
      <c r="CY617"/>
    </row>
    <row r="618" spans="50:103" ht="20.100000000000001" customHeight="1" x14ac:dyDescent="0.25">
      <c r="AX618"/>
      <c r="AY618"/>
      <c r="AZ618"/>
      <c r="BA618"/>
      <c r="BB618"/>
      <c r="BC618"/>
      <c r="BD618"/>
      <c r="BE618"/>
      <c r="BF618"/>
      <c r="BG618"/>
      <c r="BH618"/>
      <c r="BI618"/>
      <c r="BJ618"/>
      <c r="BK618"/>
      <c r="BL618"/>
      <c r="BM618"/>
      <c r="BN618"/>
      <c r="BO618"/>
      <c r="BP618"/>
      <c r="BQ618"/>
      <c r="BR618"/>
      <c r="BY618"/>
      <c r="BZ618"/>
      <c r="CA618"/>
      <c r="CB618"/>
      <c r="CC618"/>
      <c r="CD618"/>
      <c r="CE618"/>
      <c r="CF618"/>
      <c r="CG618"/>
      <c r="CH618"/>
      <c r="CI618"/>
      <c r="CJ618"/>
      <c r="CK618"/>
      <c r="CL618"/>
      <c r="CM618"/>
      <c r="CN618"/>
      <c r="CO618"/>
      <c r="CP618"/>
      <c r="CQ618"/>
      <c r="CR618"/>
      <c r="CS618"/>
      <c r="CT618"/>
      <c r="CU618"/>
      <c r="CV618"/>
      <c r="CW618"/>
      <c r="CX618"/>
      <c r="CY618"/>
    </row>
    <row r="619" spans="50:103" ht="20.100000000000001" customHeight="1" x14ac:dyDescent="0.25">
      <c r="AX619"/>
      <c r="AY619"/>
      <c r="AZ619"/>
      <c r="BA619"/>
      <c r="BB619"/>
      <c r="BC619"/>
      <c r="BD619"/>
      <c r="BE619"/>
      <c r="BF619"/>
      <c r="BG619"/>
      <c r="BH619"/>
      <c r="BI619"/>
      <c r="BJ619"/>
      <c r="BK619"/>
      <c r="BL619"/>
      <c r="BM619"/>
      <c r="BN619"/>
      <c r="BO619"/>
      <c r="BP619"/>
      <c r="BQ619"/>
      <c r="BR619"/>
      <c r="BY619"/>
      <c r="BZ619"/>
      <c r="CA619"/>
      <c r="CB619"/>
      <c r="CC619"/>
      <c r="CD619"/>
      <c r="CE619"/>
      <c r="CF619"/>
      <c r="CG619"/>
      <c r="CH619"/>
      <c r="CI619"/>
      <c r="CJ619"/>
      <c r="CK619"/>
      <c r="CL619"/>
      <c r="CM619"/>
      <c r="CN619"/>
      <c r="CO619"/>
      <c r="CP619"/>
      <c r="CQ619"/>
      <c r="CR619"/>
      <c r="CS619"/>
      <c r="CT619"/>
      <c r="CU619"/>
      <c r="CV619"/>
      <c r="CW619"/>
      <c r="CX619"/>
      <c r="CY619"/>
    </row>
    <row r="620" spans="50:103" ht="20.100000000000001" customHeight="1" x14ac:dyDescent="0.25">
      <c r="AX620"/>
      <c r="AY620"/>
      <c r="AZ620"/>
      <c r="BA620"/>
      <c r="BB620"/>
      <c r="BC620"/>
      <c r="BD620"/>
      <c r="BE620"/>
      <c r="BF620"/>
      <c r="BG620"/>
      <c r="BH620"/>
      <c r="BI620"/>
      <c r="BJ620"/>
      <c r="BK620"/>
      <c r="BL620"/>
      <c r="BM620"/>
      <c r="BN620"/>
      <c r="BO620"/>
      <c r="BP620"/>
      <c r="BQ620"/>
      <c r="BR620"/>
      <c r="BY620"/>
      <c r="BZ620"/>
      <c r="CA620"/>
      <c r="CB620"/>
      <c r="CC620"/>
      <c r="CD620"/>
      <c r="CE620"/>
      <c r="CF620"/>
      <c r="CG620"/>
      <c r="CH620"/>
      <c r="CI620"/>
      <c r="CJ620"/>
      <c r="CK620"/>
      <c r="CL620"/>
      <c r="CM620"/>
      <c r="CN620"/>
      <c r="CO620"/>
      <c r="CP620"/>
      <c r="CQ620"/>
      <c r="CR620"/>
      <c r="CS620"/>
      <c r="CT620"/>
      <c r="CU620"/>
      <c r="CV620"/>
      <c r="CW620"/>
      <c r="CX620"/>
      <c r="CY620"/>
    </row>
    <row r="621" spans="50:103" ht="20.100000000000001" customHeight="1" x14ac:dyDescent="0.25">
      <c r="AX621"/>
      <c r="AY621"/>
      <c r="AZ621"/>
      <c r="BA621"/>
      <c r="BB621"/>
      <c r="BC621"/>
      <c r="BD621"/>
      <c r="BE621"/>
      <c r="BF621"/>
      <c r="BG621"/>
      <c r="BH621"/>
      <c r="BI621"/>
      <c r="BJ621"/>
      <c r="BK621"/>
      <c r="BL621"/>
      <c r="BM621"/>
      <c r="BN621"/>
      <c r="BO621"/>
      <c r="BP621"/>
      <c r="BQ621"/>
      <c r="BR621"/>
      <c r="BY621"/>
      <c r="BZ621"/>
      <c r="CA621"/>
      <c r="CB621"/>
      <c r="CC621"/>
      <c r="CD621"/>
      <c r="CE621"/>
      <c r="CF621"/>
      <c r="CG621"/>
      <c r="CH621"/>
      <c r="CI621"/>
      <c r="CJ621"/>
      <c r="CK621"/>
      <c r="CL621"/>
      <c r="CM621"/>
      <c r="CN621"/>
      <c r="CO621"/>
      <c r="CP621"/>
      <c r="CQ621"/>
      <c r="CR621"/>
      <c r="CS621"/>
      <c r="CT621"/>
      <c r="CU621"/>
      <c r="CV621"/>
      <c r="CW621"/>
      <c r="CX621"/>
      <c r="CY621"/>
    </row>
    <row r="622" spans="50:103" ht="20.100000000000001" customHeight="1" x14ac:dyDescent="0.25">
      <c r="AX622"/>
      <c r="AY622"/>
      <c r="AZ622"/>
      <c r="BA622"/>
      <c r="BB622"/>
      <c r="BC622"/>
      <c r="BD622"/>
      <c r="BE622"/>
      <c r="BF622"/>
      <c r="BG622"/>
      <c r="BH622"/>
      <c r="BI622"/>
      <c r="BJ622"/>
      <c r="BK622"/>
      <c r="BL622"/>
      <c r="BM622"/>
      <c r="BN622"/>
      <c r="BO622"/>
      <c r="BP622"/>
      <c r="BQ622"/>
      <c r="BR622"/>
      <c r="BY622"/>
      <c r="BZ622"/>
      <c r="CA622"/>
      <c r="CB622"/>
      <c r="CC622"/>
      <c r="CD622"/>
      <c r="CE622"/>
      <c r="CF622"/>
      <c r="CG622"/>
      <c r="CH622"/>
      <c r="CI622"/>
      <c r="CJ622"/>
      <c r="CK622"/>
      <c r="CL622"/>
      <c r="CM622"/>
      <c r="CN622"/>
      <c r="CO622"/>
      <c r="CP622"/>
      <c r="CQ622"/>
      <c r="CR622"/>
      <c r="CS622"/>
      <c r="CT622"/>
      <c r="CU622"/>
      <c r="CV622"/>
      <c r="CW622"/>
      <c r="CX622"/>
      <c r="CY622"/>
    </row>
    <row r="623" spans="50:103" ht="20.100000000000001" customHeight="1" x14ac:dyDescent="0.25">
      <c r="AX623"/>
      <c r="AY623"/>
      <c r="AZ623"/>
      <c r="BA623"/>
      <c r="BB623"/>
      <c r="BC623"/>
      <c r="BD623"/>
      <c r="BE623"/>
      <c r="BF623"/>
      <c r="BG623"/>
      <c r="BH623"/>
      <c r="BI623"/>
      <c r="BJ623"/>
      <c r="BK623"/>
      <c r="BL623"/>
      <c r="BM623"/>
      <c r="BN623"/>
      <c r="BO623"/>
      <c r="BP623"/>
      <c r="BQ623"/>
      <c r="BR623"/>
      <c r="BY623"/>
      <c r="BZ623"/>
      <c r="CA623"/>
      <c r="CB623"/>
      <c r="CC623"/>
      <c r="CD623"/>
      <c r="CE623"/>
      <c r="CF623"/>
      <c r="CG623"/>
      <c r="CH623"/>
      <c r="CI623"/>
      <c r="CJ623"/>
      <c r="CK623"/>
      <c r="CL623"/>
      <c r="CM623"/>
      <c r="CN623"/>
      <c r="CO623"/>
      <c r="CP623"/>
      <c r="CQ623"/>
      <c r="CR623"/>
      <c r="CS623"/>
      <c r="CT623"/>
      <c r="CU623"/>
      <c r="CV623"/>
      <c r="CW623"/>
      <c r="CX623"/>
      <c r="CY623"/>
    </row>
    <row r="624" spans="50:103" ht="20.100000000000001" customHeight="1" x14ac:dyDescent="0.25">
      <c r="AX624"/>
      <c r="AY624"/>
      <c r="AZ624"/>
      <c r="BA624"/>
      <c r="BB624"/>
      <c r="BC624"/>
      <c r="BD624"/>
      <c r="BE624"/>
      <c r="BF624"/>
      <c r="BG624"/>
      <c r="BH624"/>
      <c r="BI624"/>
      <c r="BJ624"/>
      <c r="BK624"/>
      <c r="BL624"/>
      <c r="BM624"/>
      <c r="BN624"/>
      <c r="BO624"/>
      <c r="BP624"/>
      <c r="BQ624"/>
      <c r="BR624"/>
      <c r="BY624"/>
      <c r="BZ624"/>
      <c r="CA624"/>
      <c r="CB624"/>
      <c r="CC624"/>
      <c r="CD624"/>
      <c r="CE624"/>
      <c r="CF624"/>
      <c r="CG624"/>
      <c r="CH624"/>
      <c r="CI624"/>
      <c r="CJ624"/>
      <c r="CK624"/>
      <c r="CL624"/>
      <c r="CM624"/>
      <c r="CN624"/>
      <c r="CO624"/>
      <c r="CP624"/>
      <c r="CQ624"/>
      <c r="CR624"/>
      <c r="CS624"/>
      <c r="CT624"/>
      <c r="CU624"/>
      <c r="CV624"/>
      <c r="CW624"/>
      <c r="CX624"/>
      <c r="CY624"/>
    </row>
    <row r="625" spans="50:103" ht="20.100000000000001" customHeight="1" x14ac:dyDescent="0.25">
      <c r="AX625"/>
      <c r="AY625"/>
      <c r="AZ625"/>
      <c r="BA625"/>
      <c r="BB625"/>
      <c r="BC625"/>
      <c r="BD625"/>
      <c r="BE625"/>
      <c r="BF625"/>
      <c r="BG625"/>
      <c r="BH625"/>
      <c r="BI625"/>
      <c r="BJ625"/>
      <c r="BK625"/>
      <c r="BL625"/>
      <c r="BM625"/>
      <c r="BN625"/>
      <c r="BO625"/>
      <c r="BP625"/>
      <c r="BQ625"/>
      <c r="BR625"/>
      <c r="BY625"/>
      <c r="BZ625"/>
      <c r="CA625"/>
      <c r="CB625"/>
      <c r="CC625"/>
      <c r="CD625"/>
      <c r="CE625"/>
      <c r="CF625"/>
      <c r="CG625"/>
      <c r="CH625"/>
      <c r="CI625"/>
      <c r="CJ625"/>
      <c r="CK625"/>
      <c r="CL625"/>
      <c r="CM625"/>
      <c r="CN625"/>
      <c r="CO625"/>
      <c r="CP625"/>
      <c r="CQ625"/>
      <c r="CR625"/>
      <c r="CS625"/>
      <c r="CT625"/>
      <c r="CU625"/>
      <c r="CV625"/>
      <c r="CW625"/>
      <c r="CX625"/>
      <c r="CY625"/>
    </row>
    <row r="626" spans="50:103" ht="20.100000000000001" customHeight="1" x14ac:dyDescent="0.25">
      <c r="AX626"/>
      <c r="AY626"/>
      <c r="AZ626"/>
      <c r="BA626"/>
      <c r="BB626"/>
      <c r="BC626"/>
      <c r="BD626"/>
      <c r="BE626"/>
      <c r="BF626"/>
      <c r="BG626"/>
      <c r="BH626"/>
      <c r="BI626"/>
      <c r="BJ626"/>
      <c r="BK626"/>
      <c r="BL626"/>
      <c r="BM626"/>
      <c r="BN626"/>
      <c r="BO626"/>
      <c r="BP626"/>
      <c r="BQ626"/>
      <c r="BR626"/>
      <c r="BY626"/>
      <c r="BZ626"/>
      <c r="CA626"/>
      <c r="CB626"/>
      <c r="CC626"/>
      <c r="CD626"/>
      <c r="CE626"/>
      <c r="CF626"/>
      <c r="CG626"/>
      <c r="CH626"/>
      <c r="CI626"/>
      <c r="CJ626"/>
      <c r="CK626"/>
      <c r="CL626"/>
      <c r="CM626"/>
      <c r="CN626"/>
      <c r="CO626"/>
      <c r="CP626"/>
      <c r="CQ626"/>
      <c r="CR626"/>
      <c r="CS626"/>
      <c r="CT626"/>
      <c r="CU626"/>
      <c r="CV626"/>
      <c r="CW626"/>
      <c r="CX626"/>
      <c r="CY626"/>
    </row>
    <row r="627" spans="50:103" ht="20.100000000000001" customHeight="1" x14ac:dyDescent="0.25">
      <c r="AX627"/>
      <c r="AY627"/>
      <c r="AZ627"/>
      <c r="BA627"/>
      <c r="BB627"/>
      <c r="BC627"/>
      <c r="BD627"/>
      <c r="BE627"/>
      <c r="BF627"/>
      <c r="BG627"/>
      <c r="BH627"/>
      <c r="BI627"/>
      <c r="BJ627"/>
      <c r="BK627"/>
      <c r="BL627"/>
      <c r="BM627"/>
      <c r="BN627"/>
      <c r="BO627"/>
      <c r="BP627"/>
      <c r="BQ627"/>
      <c r="BR627"/>
      <c r="BY627"/>
      <c r="BZ627"/>
      <c r="CA627"/>
      <c r="CB627"/>
      <c r="CC627"/>
      <c r="CD627"/>
      <c r="CE627"/>
      <c r="CF627"/>
      <c r="CG627"/>
      <c r="CH627"/>
      <c r="CI627"/>
      <c r="CJ627"/>
      <c r="CK627"/>
      <c r="CL627"/>
      <c r="CM627"/>
      <c r="CN627"/>
      <c r="CO627"/>
      <c r="CP627"/>
      <c r="CQ627"/>
      <c r="CR627"/>
      <c r="CS627"/>
      <c r="CT627"/>
      <c r="CU627"/>
      <c r="CV627"/>
      <c r="CW627"/>
      <c r="CX627"/>
      <c r="CY627"/>
    </row>
    <row r="628" spans="50:103" ht="20.100000000000001" customHeight="1" x14ac:dyDescent="0.25">
      <c r="AX628"/>
      <c r="AY628"/>
      <c r="AZ628"/>
      <c r="BA628"/>
      <c r="BB628"/>
      <c r="BC628"/>
      <c r="BD628"/>
      <c r="BE628"/>
      <c r="BF628"/>
      <c r="BG628"/>
      <c r="BH628"/>
      <c r="BI628"/>
      <c r="BJ628"/>
      <c r="BK628"/>
      <c r="BL628"/>
      <c r="BM628"/>
      <c r="BN628"/>
      <c r="BO628"/>
      <c r="BP628"/>
      <c r="BQ628"/>
      <c r="BR628"/>
      <c r="BY628"/>
      <c r="BZ628"/>
      <c r="CA628"/>
      <c r="CB628"/>
      <c r="CC628"/>
      <c r="CD628"/>
      <c r="CE628"/>
      <c r="CF628"/>
      <c r="CG628"/>
      <c r="CH628"/>
      <c r="CI628"/>
      <c r="CJ628"/>
      <c r="CK628"/>
      <c r="CL628"/>
      <c r="CM628"/>
      <c r="CN628"/>
      <c r="CO628"/>
      <c r="CP628"/>
      <c r="CQ628"/>
      <c r="CR628"/>
      <c r="CS628"/>
      <c r="CT628"/>
      <c r="CU628"/>
      <c r="CV628"/>
      <c r="CW628"/>
      <c r="CX628"/>
      <c r="CY628"/>
    </row>
    <row r="629" spans="50:103" ht="20.100000000000001" customHeight="1" x14ac:dyDescent="0.25">
      <c r="AX629"/>
      <c r="AY629"/>
      <c r="AZ629"/>
      <c r="BA629"/>
      <c r="BB629"/>
      <c r="BC629"/>
      <c r="BD629"/>
      <c r="BE629"/>
      <c r="BF629"/>
      <c r="BG629"/>
      <c r="BH629"/>
      <c r="BI629"/>
      <c r="BJ629"/>
      <c r="BK629"/>
      <c r="BL629"/>
      <c r="BM629"/>
      <c r="BN629"/>
      <c r="BO629"/>
      <c r="BP629"/>
      <c r="BQ629"/>
      <c r="BR629"/>
      <c r="BY629"/>
      <c r="BZ629"/>
      <c r="CA629"/>
      <c r="CB629"/>
      <c r="CC629"/>
      <c r="CD629"/>
      <c r="CE629"/>
      <c r="CF629"/>
      <c r="CG629"/>
      <c r="CH629"/>
      <c r="CI629"/>
      <c r="CJ629"/>
      <c r="CK629"/>
      <c r="CL629"/>
      <c r="CM629"/>
      <c r="CN629"/>
      <c r="CO629"/>
      <c r="CP629"/>
      <c r="CQ629"/>
      <c r="CR629"/>
      <c r="CS629"/>
      <c r="CT629"/>
      <c r="CU629"/>
      <c r="CV629"/>
      <c r="CW629"/>
      <c r="CX629"/>
      <c r="CY629"/>
    </row>
    <row r="630" spans="50:103" ht="20.100000000000001" customHeight="1" x14ac:dyDescent="0.25">
      <c r="AX630"/>
      <c r="AY630"/>
      <c r="AZ630"/>
      <c r="BA630"/>
      <c r="BB630"/>
      <c r="BC630"/>
      <c r="BD630"/>
      <c r="BE630"/>
      <c r="BF630"/>
      <c r="BG630"/>
      <c r="BH630"/>
      <c r="BI630"/>
      <c r="BJ630"/>
      <c r="BK630"/>
      <c r="BL630"/>
      <c r="BM630"/>
      <c r="BN630"/>
      <c r="BO630"/>
      <c r="BP630"/>
      <c r="BQ630"/>
      <c r="BR630"/>
      <c r="BY630"/>
      <c r="BZ630"/>
      <c r="CA630"/>
      <c r="CB630"/>
      <c r="CC630"/>
      <c r="CD630"/>
      <c r="CE630"/>
      <c r="CF630"/>
      <c r="CG630"/>
      <c r="CH630"/>
      <c r="CI630"/>
      <c r="CJ630"/>
      <c r="CK630"/>
      <c r="CL630"/>
      <c r="CM630"/>
      <c r="CN630"/>
      <c r="CO630"/>
      <c r="CP630"/>
      <c r="CQ630"/>
      <c r="CR630"/>
      <c r="CS630"/>
      <c r="CT630"/>
      <c r="CU630"/>
      <c r="CV630"/>
      <c r="CW630"/>
      <c r="CX630"/>
      <c r="CY630"/>
    </row>
    <row r="631" spans="50:103" ht="20.100000000000001" customHeight="1" x14ac:dyDescent="0.25">
      <c r="AX631"/>
      <c r="AY631"/>
      <c r="AZ631"/>
      <c r="BA631"/>
      <c r="BB631"/>
      <c r="BC631"/>
      <c r="BD631"/>
      <c r="BE631"/>
      <c r="BF631"/>
      <c r="BG631"/>
      <c r="BH631"/>
      <c r="BI631"/>
      <c r="BJ631"/>
      <c r="BK631"/>
      <c r="BL631"/>
      <c r="BM631"/>
      <c r="BN631"/>
      <c r="BO631"/>
      <c r="BP631"/>
      <c r="BQ631"/>
      <c r="BR631"/>
      <c r="BY631"/>
      <c r="BZ631"/>
      <c r="CA631"/>
      <c r="CB631"/>
      <c r="CC631"/>
      <c r="CD631"/>
      <c r="CE631"/>
      <c r="CF631"/>
      <c r="CG631"/>
      <c r="CH631"/>
      <c r="CI631"/>
      <c r="CJ631"/>
      <c r="CK631"/>
      <c r="CL631"/>
      <c r="CM631"/>
      <c r="CN631"/>
      <c r="CO631"/>
      <c r="CP631"/>
      <c r="CQ631"/>
      <c r="CR631"/>
      <c r="CS631"/>
      <c r="CT631"/>
      <c r="CU631"/>
      <c r="CV631"/>
      <c r="CW631"/>
      <c r="CX631"/>
      <c r="CY631"/>
    </row>
    <row r="632" spans="50:103" ht="20.100000000000001" customHeight="1" x14ac:dyDescent="0.25">
      <c r="AX632"/>
      <c r="AY632"/>
      <c r="AZ632"/>
      <c r="BA632"/>
      <c r="BB632"/>
      <c r="BC632"/>
      <c r="BD632"/>
      <c r="BE632"/>
      <c r="BF632"/>
      <c r="BG632"/>
      <c r="BH632"/>
      <c r="BI632"/>
      <c r="BJ632"/>
      <c r="BK632"/>
      <c r="BL632"/>
      <c r="BM632"/>
      <c r="BN632"/>
      <c r="BO632"/>
      <c r="BP632"/>
      <c r="BQ632"/>
      <c r="BR632"/>
      <c r="BY632"/>
      <c r="BZ632"/>
      <c r="CA632"/>
      <c r="CB632"/>
      <c r="CC632"/>
      <c r="CD632"/>
      <c r="CE632"/>
      <c r="CF632"/>
      <c r="CG632"/>
      <c r="CH632"/>
      <c r="CI632"/>
      <c r="CJ632"/>
      <c r="CK632"/>
      <c r="CL632"/>
      <c r="CM632"/>
      <c r="CN632"/>
      <c r="CO632"/>
      <c r="CP632"/>
      <c r="CQ632"/>
      <c r="CR632"/>
      <c r="CS632"/>
      <c r="CT632"/>
      <c r="CU632"/>
      <c r="CV632"/>
      <c r="CW632"/>
      <c r="CX632"/>
      <c r="CY632"/>
    </row>
    <row r="633" spans="50:103" ht="20.100000000000001" customHeight="1" x14ac:dyDescent="0.25">
      <c r="AX633"/>
      <c r="AY633"/>
      <c r="AZ633"/>
      <c r="BA633"/>
      <c r="BB633"/>
      <c r="BC633"/>
      <c r="BD633"/>
      <c r="BE633"/>
      <c r="BF633"/>
      <c r="BG633"/>
      <c r="BH633"/>
      <c r="BI633"/>
      <c r="BJ633"/>
      <c r="BK633"/>
      <c r="BL633"/>
      <c r="BM633"/>
      <c r="BN633"/>
      <c r="BO633"/>
      <c r="BP633"/>
      <c r="BQ633"/>
      <c r="BR633"/>
      <c r="BY633"/>
      <c r="BZ633"/>
      <c r="CA633"/>
      <c r="CB633"/>
      <c r="CC633"/>
      <c r="CD633"/>
      <c r="CE633"/>
      <c r="CF633"/>
      <c r="CG633"/>
      <c r="CH633"/>
      <c r="CI633"/>
      <c r="CJ633"/>
      <c r="CK633"/>
      <c r="CL633"/>
      <c r="CM633"/>
      <c r="CN633"/>
      <c r="CO633"/>
      <c r="CP633"/>
      <c r="CQ633"/>
      <c r="CR633"/>
      <c r="CS633"/>
      <c r="CT633"/>
      <c r="CU633"/>
      <c r="CV633"/>
      <c r="CW633"/>
      <c r="CX633"/>
      <c r="CY633"/>
    </row>
    <row r="634" spans="50:103" ht="20.100000000000001" customHeight="1" x14ac:dyDescent="0.25">
      <c r="AX634"/>
      <c r="AY634"/>
      <c r="AZ634"/>
      <c r="BA634"/>
      <c r="BB634"/>
      <c r="BC634"/>
      <c r="BD634"/>
      <c r="BE634"/>
      <c r="BF634"/>
      <c r="BG634"/>
      <c r="BH634"/>
      <c r="BI634"/>
      <c r="BJ634"/>
      <c r="BK634"/>
      <c r="BL634"/>
      <c r="BM634"/>
      <c r="BN634"/>
      <c r="BO634"/>
      <c r="BP634"/>
      <c r="BQ634"/>
      <c r="BR634"/>
      <c r="BY634"/>
      <c r="BZ634"/>
      <c r="CA634"/>
      <c r="CB634"/>
      <c r="CC634"/>
      <c r="CD634"/>
      <c r="CE634"/>
      <c r="CF634"/>
      <c r="CG634"/>
      <c r="CH634"/>
      <c r="CI634"/>
      <c r="CJ634"/>
      <c r="CK634"/>
      <c r="CL634"/>
      <c r="CM634"/>
      <c r="CN634"/>
      <c r="CO634"/>
      <c r="CP634"/>
      <c r="CQ634"/>
      <c r="CR634"/>
      <c r="CS634"/>
      <c r="CT634"/>
      <c r="CU634"/>
      <c r="CV634"/>
      <c r="CW634"/>
      <c r="CX634"/>
      <c r="CY634"/>
    </row>
    <row r="635" spans="50:103" ht="20.100000000000001" customHeight="1" x14ac:dyDescent="0.25">
      <c r="AX635"/>
      <c r="AY635"/>
      <c r="AZ635"/>
      <c r="BA635"/>
      <c r="BB635"/>
      <c r="BC635"/>
      <c r="BD635"/>
      <c r="BE635"/>
      <c r="BF635"/>
      <c r="BG635"/>
      <c r="BH635"/>
      <c r="BI635"/>
      <c r="BJ635"/>
      <c r="BK635"/>
      <c r="BL635"/>
      <c r="BM635"/>
      <c r="BN635"/>
      <c r="BO635"/>
      <c r="BP635"/>
      <c r="BQ635"/>
      <c r="BR635"/>
      <c r="BY635"/>
      <c r="BZ635"/>
      <c r="CA635"/>
      <c r="CB635"/>
      <c r="CC635"/>
      <c r="CD635"/>
      <c r="CE635"/>
      <c r="CF635"/>
      <c r="CG635"/>
      <c r="CH635"/>
      <c r="CI635"/>
      <c r="CJ635"/>
      <c r="CK635"/>
      <c r="CL635"/>
      <c r="CM635"/>
      <c r="CN635"/>
      <c r="CO635"/>
      <c r="CP635"/>
      <c r="CQ635"/>
      <c r="CR635"/>
      <c r="CS635"/>
      <c r="CT635"/>
      <c r="CU635"/>
      <c r="CV635"/>
      <c r="CW635"/>
      <c r="CX635"/>
      <c r="CY635"/>
    </row>
    <row r="636" spans="50:103" ht="20.100000000000001" customHeight="1" x14ac:dyDescent="0.25">
      <c r="AX636"/>
      <c r="AY636"/>
      <c r="AZ636"/>
      <c r="BA636"/>
      <c r="BB636"/>
      <c r="BC636"/>
      <c r="BD636"/>
      <c r="BE636"/>
      <c r="BF636"/>
      <c r="BG636"/>
      <c r="BH636"/>
      <c r="BI636"/>
      <c r="BJ636"/>
      <c r="BK636"/>
      <c r="BL636"/>
      <c r="BM636"/>
      <c r="BN636"/>
      <c r="BO636"/>
      <c r="BP636"/>
      <c r="BQ636"/>
      <c r="BR636"/>
      <c r="BY636"/>
      <c r="BZ636"/>
      <c r="CA636"/>
      <c r="CB636"/>
      <c r="CC636"/>
      <c r="CD636"/>
      <c r="CE636"/>
      <c r="CF636"/>
      <c r="CG636"/>
      <c r="CH636"/>
      <c r="CI636"/>
      <c r="CJ636"/>
      <c r="CK636"/>
      <c r="CL636"/>
      <c r="CM636"/>
      <c r="CN636"/>
      <c r="CO636"/>
      <c r="CP636"/>
      <c r="CQ636"/>
      <c r="CR636"/>
      <c r="CS636"/>
      <c r="CT636"/>
      <c r="CU636"/>
      <c r="CV636"/>
      <c r="CW636"/>
      <c r="CX636"/>
      <c r="CY636"/>
    </row>
    <row r="637" spans="50:103" ht="20.100000000000001" customHeight="1" x14ac:dyDescent="0.25">
      <c r="AX637"/>
      <c r="AY637"/>
      <c r="AZ637"/>
      <c r="BA637"/>
      <c r="BB637"/>
      <c r="BC637"/>
      <c r="BD637"/>
      <c r="BE637"/>
      <c r="BF637"/>
      <c r="BG637"/>
      <c r="BH637"/>
      <c r="BI637"/>
      <c r="BJ637"/>
      <c r="BK637"/>
      <c r="BL637"/>
      <c r="BM637"/>
      <c r="BN637"/>
      <c r="BO637"/>
      <c r="BP637"/>
      <c r="BQ637"/>
      <c r="BR637"/>
      <c r="BY637"/>
      <c r="BZ637"/>
      <c r="CA637"/>
      <c r="CB637"/>
      <c r="CC637"/>
      <c r="CD637"/>
      <c r="CE637"/>
      <c r="CF637"/>
      <c r="CG637"/>
      <c r="CH637"/>
      <c r="CI637"/>
      <c r="CJ637"/>
      <c r="CK637"/>
      <c r="CL637"/>
      <c r="CM637"/>
      <c r="CN637"/>
      <c r="CO637"/>
      <c r="CP637"/>
      <c r="CQ637"/>
      <c r="CR637"/>
      <c r="CS637"/>
      <c r="CT637"/>
      <c r="CU637"/>
      <c r="CV637"/>
      <c r="CW637"/>
      <c r="CX637"/>
      <c r="CY637"/>
    </row>
    <row r="638" spans="50:103" ht="20.100000000000001" customHeight="1" x14ac:dyDescent="0.25">
      <c r="AX638"/>
      <c r="AY638"/>
      <c r="AZ638"/>
      <c r="BA638"/>
      <c r="BB638"/>
      <c r="BC638"/>
      <c r="BD638"/>
      <c r="BE638"/>
      <c r="BF638"/>
      <c r="BG638"/>
      <c r="BH638"/>
      <c r="BI638"/>
      <c r="BJ638"/>
      <c r="BK638"/>
      <c r="BL638"/>
      <c r="BM638"/>
      <c r="BN638"/>
      <c r="BO638"/>
      <c r="BP638"/>
      <c r="BQ638"/>
      <c r="BR638"/>
      <c r="BY638"/>
      <c r="BZ638"/>
      <c r="CA638"/>
      <c r="CB638"/>
      <c r="CC638"/>
      <c r="CD638"/>
      <c r="CE638"/>
      <c r="CF638"/>
      <c r="CG638"/>
      <c r="CH638"/>
      <c r="CI638"/>
      <c r="CJ638"/>
      <c r="CK638"/>
      <c r="CL638"/>
      <c r="CM638"/>
      <c r="CN638"/>
      <c r="CO638"/>
      <c r="CP638"/>
      <c r="CQ638"/>
      <c r="CR638"/>
      <c r="CS638"/>
      <c r="CT638"/>
      <c r="CU638"/>
      <c r="CV638"/>
      <c r="CW638"/>
      <c r="CX638"/>
      <c r="CY638"/>
    </row>
    <row r="639" spans="50:103" ht="20.100000000000001" customHeight="1" x14ac:dyDescent="0.25">
      <c r="AX639"/>
      <c r="AY639"/>
      <c r="AZ639"/>
      <c r="BA639"/>
      <c r="BB639"/>
      <c r="BC639"/>
      <c r="BD639"/>
      <c r="BE639"/>
      <c r="BF639"/>
      <c r="BG639"/>
      <c r="BH639"/>
      <c r="BI639"/>
      <c r="BJ639"/>
      <c r="BK639"/>
      <c r="BL639"/>
      <c r="BM639"/>
      <c r="BN639"/>
      <c r="BO639"/>
      <c r="BP639"/>
      <c r="BQ639"/>
      <c r="BR639"/>
      <c r="BY639"/>
      <c r="BZ639"/>
      <c r="CA639"/>
      <c r="CB639"/>
      <c r="CC639"/>
      <c r="CD639"/>
      <c r="CE639"/>
      <c r="CF639"/>
      <c r="CG639"/>
      <c r="CH639"/>
      <c r="CI639"/>
      <c r="CJ639"/>
      <c r="CK639"/>
      <c r="CL639"/>
      <c r="CM639"/>
      <c r="CN639"/>
      <c r="CO639"/>
      <c r="CP639"/>
      <c r="CQ639"/>
      <c r="CR639"/>
      <c r="CS639"/>
      <c r="CT639"/>
      <c r="CU639"/>
      <c r="CV639"/>
      <c r="CW639"/>
      <c r="CX639"/>
      <c r="CY639"/>
    </row>
    <row r="640" spans="50:103" ht="20.100000000000001" customHeight="1" x14ac:dyDescent="0.25">
      <c r="AX640"/>
      <c r="AY640"/>
      <c r="AZ640"/>
      <c r="BA640"/>
      <c r="BB640"/>
      <c r="BC640"/>
      <c r="BD640"/>
      <c r="BE640"/>
      <c r="BF640"/>
      <c r="BG640"/>
      <c r="BH640"/>
      <c r="BI640"/>
      <c r="BJ640"/>
      <c r="BK640"/>
      <c r="BL640"/>
      <c r="BM640"/>
      <c r="BN640"/>
      <c r="BO640"/>
      <c r="BP640"/>
      <c r="BQ640"/>
      <c r="BR640"/>
      <c r="BY640"/>
      <c r="BZ640"/>
      <c r="CA640"/>
      <c r="CB640"/>
      <c r="CC640"/>
      <c r="CD640"/>
      <c r="CE640"/>
      <c r="CF640"/>
      <c r="CG640"/>
      <c r="CH640"/>
      <c r="CI640"/>
      <c r="CJ640"/>
      <c r="CK640"/>
      <c r="CL640"/>
      <c r="CM640"/>
      <c r="CN640"/>
      <c r="CO640"/>
      <c r="CP640"/>
      <c r="CQ640"/>
      <c r="CR640"/>
      <c r="CS640"/>
      <c r="CT640"/>
      <c r="CU640"/>
      <c r="CV640"/>
      <c r="CW640"/>
      <c r="CX640"/>
      <c r="CY640"/>
    </row>
    <row r="641" spans="50:103" ht="20.100000000000001" customHeight="1" x14ac:dyDescent="0.25">
      <c r="AX641"/>
      <c r="AY641"/>
      <c r="AZ641"/>
      <c r="BA641"/>
      <c r="BB641"/>
      <c r="BC641"/>
      <c r="BD641"/>
      <c r="BE641"/>
      <c r="BF641"/>
      <c r="BG641"/>
      <c r="BH641"/>
      <c r="BI641"/>
      <c r="BJ641"/>
      <c r="BK641"/>
      <c r="BL641"/>
      <c r="BM641"/>
      <c r="BN641"/>
      <c r="BO641"/>
      <c r="BP641"/>
      <c r="BQ641"/>
      <c r="BR641"/>
      <c r="BY641"/>
      <c r="BZ641"/>
      <c r="CA641"/>
      <c r="CB641"/>
      <c r="CC641"/>
      <c r="CD641"/>
      <c r="CE641"/>
      <c r="CF641"/>
      <c r="CG641"/>
      <c r="CH641"/>
      <c r="CI641"/>
      <c r="CJ641"/>
      <c r="CK641"/>
      <c r="CL641"/>
      <c r="CM641"/>
      <c r="CN641"/>
      <c r="CO641"/>
      <c r="CP641"/>
      <c r="CQ641"/>
      <c r="CR641"/>
      <c r="CS641"/>
      <c r="CT641"/>
      <c r="CU641"/>
      <c r="CV641"/>
      <c r="CW641"/>
      <c r="CX641"/>
      <c r="CY641"/>
    </row>
    <row r="642" spans="50:103" ht="20.100000000000001" customHeight="1" x14ac:dyDescent="0.25">
      <c r="AX642"/>
      <c r="AY642"/>
      <c r="AZ642"/>
      <c r="BA642"/>
      <c r="BB642"/>
      <c r="BC642"/>
      <c r="BD642"/>
      <c r="BE642"/>
      <c r="BF642"/>
      <c r="BG642"/>
      <c r="BH642"/>
      <c r="BI642"/>
      <c r="BJ642"/>
      <c r="BK642"/>
      <c r="BL642"/>
      <c r="BM642"/>
      <c r="BN642"/>
      <c r="BO642"/>
      <c r="BP642"/>
      <c r="BQ642"/>
      <c r="BR642"/>
      <c r="BY642"/>
      <c r="BZ642"/>
      <c r="CA642"/>
      <c r="CB642"/>
      <c r="CC642"/>
      <c r="CD642"/>
      <c r="CE642"/>
      <c r="CF642"/>
      <c r="CG642"/>
      <c r="CH642"/>
      <c r="CI642"/>
      <c r="CJ642"/>
      <c r="CK642"/>
      <c r="CL642"/>
      <c r="CM642"/>
      <c r="CN642"/>
      <c r="CO642"/>
      <c r="CP642"/>
      <c r="CQ642"/>
      <c r="CR642"/>
      <c r="CS642"/>
      <c r="CT642"/>
      <c r="CU642"/>
      <c r="CV642"/>
      <c r="CW642"/>
      <c r="CX642"/>
      <c r="CY642"/>
    </row>
    <row r="643" spans="50:103" ht="20.100000000000001" customHeight="1" x14ac:dyDescent="0.25">
      <c r="AX643"/>
      <c r="AY643"/>
      <c r="AZ643"/>
      <c r="BA643"/>
      <c r="BB643"/>
      <c r="BC643"/>
      <c r="BD643"/>
      <c r="BE643"/>
      <c r="BF643"/>
      <c r="BG643"/>
      <c r="BH643"/>
      <c r="BI643"/>
      <c r="BJ643"/>
      <c r="BK643"/>
      <c r="BL643"/>
      <c r="BM643"/>
      <c r="BN643"/>
      <c r="BO643"/>
      <c r="BP643"/>
      <c r="BQ643"/>
      <c r="BR643"/>
      <c r="BY643"/>
      <c r="BZ643"/>
      <c r="CA643"/>
      <c r="CB643"/>
      <c r="CC643"/>
      <c r="CD643"/>
      <c r="CE643"/>
      <c r="CF643"/>
      <c r="CG643"/>
      <c r="CH643"/>
      <c r="CI643"/>
      <c r="CJ643"/>
      <c r="CK643"/>
      <c r="CL643"/>
      <c r="CM643"/>
      <c r="CN643"/>
      <c r="CO643"/>
      <c r="CP643"/>
      <c r="CQ643"/>
      <c r="CR643"/>
      <c r="CS643"/>
      <c r="CT643"/>
      <c r="CU643"/>
      <c r="CV643"/>
      <c r="CW643"/>
      <c r="CX643"/>
      <c r="CY643"/>
    </row>
    <row r="644" spans="50:103" ht="20.100000000000001" customHeight="1" x14ac:dyDescent="0.25">
      <c r="AX644"/>
      <c r="AY644"/>
      <c r="AZ644"/>
      <c r="BA644"/>
      <c r="BB644"/>
      <c r="BC644"/>
      <c r="BD644"/>
      <c r="BE644"/>
      <c r="BF644"/>
      <c r="BG644"/>
      <c r="BH644"/>
      <c r="BI644"/>
      <c r="BJ644"/>
      <c r="BK644"/>
      <c r="BL644"/>
      <c r="BM644"/>
      <c r="BN644"/>
      <c r="BO644"/>
      <c r="BP644"/>
      <c r="BQ644"/>
      <c r="BR644"/>
      <c r="BY644"/>
      <c r="BZ644"/>
      <c r="CA644"/>
      <c r="CB644"/>
      <c r="CC644"/>
      <c r="CD644"/>
      <c r="CE644"/>
      <c r="CF644"/>
      <c r="CG644"/>
      <c r="CH644"/>
      <c r="CI644"/>
      <c r="CJ644"/>
      <c r="CK644"/>
      <c r="CL644"/>
      <c r="CM644"/>
      <c r="CN644"/>
      <c r="CO644"/>
      <c r="CP644"/>
      <c r="CQ644"/>
      <c r="CR644"/>
      <c r="CS644"/>
      <c r="CT644"/>
      <c r="CU644"/>
      <c r="CV644"/>
      <c r="CW644"/>
      <c r="CX644"/>
      <c r="CY644"/>
    </row>
    <row r="645" spans="50:103" ht="20.100000000000001" customHeight="1" x14ac:dyDescent="0.25">
      <c r="AX645"/>
      <c r="AY645"/>
      <c r="AZ645"/>
      <c r="BA645"/>
      <c r="BB645"/>
      <c r="BC645"/>
      <c r="BD645"/>
      <c r="BE645"/>
      <c r="BF645"/>
      <c r="BG645"/>
      <c r="BH645"/>
      <c r="BI645"/>
      <c r="BJ645"/>
      <c r="BK645"/>
      <c r="BL645"/>
      <c r="BM645"/>
      <c r="BN645"/>
      <c r="BO645"/>
      <c r="BP645"/>
      <c r="BQ645"/>
      <c r="BR645"/>
      <c r="BY645"/>
      <c r="BZ645"/>
      <c r="CA645"/>
      <c r="CB645"/>
      <c r="CC645"/>
      <c r="CD645"/>
      <c r="CE645"/>
      <c r="CF645"/>
      <c r="CG645"/>
      <c r="CH645"/>
      <c r="CI645"/>
      <c r="CJ645"/>
      <c r="CK645"/>
      <c r="CL645"/>
      <c r="CM645"/>
      <c r="CN645"/>
      <c r="CO645"/>
      <c r="CP645"/>
      <c r="CQ645"/>
      <c r="CR645"/>
      <c r="CS645"/>
      <c r="CT645"/>
      <c r="CU645"/>
      <c r="CV645"/>
      <c r="CW645"/>
      <c r="CX645"/>
      <c r="CY645"/>
    </row>
    <row r="646" spans="50:103" ht="20.100000000000001" customHeight="1" x14ac:dyDescent="0.25">
      <c r="AX646"/>
      <c r="AY646"/>
      <c r="AZ646"/>
      <c r="BA646"/>
      <c r="BB646"/>
      <c r="BC646"/>
      <c r="BD646"/>
      <c r="BE646"/>
      <c r="BF646"/>
      <c r="BG646"/>
      <c r="BH646"/>
      <c r="BI646"/>
      <c r="BJ646"/>
      <c r="BK646"/>
      <c r="BL646"/>
      <c r="BM646"/>
      <c r="BN646"/>
      <c r="BO646"/>
      <c r="BP646"/>
      <c r="BQ646"/>
      <c r="BR646"/>
      <c r="BY646"/>
      <c r="BZ646"/>
      <c r="CA646"/>
      <c r="CB646"/>
      <c r="CC646"/>
      <c r="CD646"/>
      <c r="CE646"/>
      <c r="CF646"/>
      <c r="CG646"/>
      <c r="CH646"/>
      <c r="CI646"/>
      <c r="CJ646"/>
      <c r="CK646"/>
      <c r="CL646"/>
      <c r="CM646"/>
      <c r="CN646"/>
      <c r="CO646"/>
      <c r="CP646"/>
      <c r="CQ646"/>
      <c r="CR646"/>
      <c r="CS646"/>
      <c r="CT646"/>
      <c r="CU646"/>
      <c r="CV646"/>
      <c r="CW646"/>
      <c r="CX646"/>
      <c r="CY646"/>
    </row>
    <row r="647" spans="50:103" ht="20.100000000000001" customHeight="1" x14ac:dyDescent="0.25">
      <c r="AX647"/>
      <c r="AY647"/>
      <c r="AZ647"/>
      <c r="BA647"/>
      <c r="BB647"/>
      <c r="BC647"/>
      <c r="BD647"/>
      <c r="BE647"/>
      <c r="BF647"/>
      <c r="BG647"/>
      <c r="BH647"/>
      <c r="BI647"/>
      <c r="BJ647"/>
      <c r="BK647"/>
      <c r="BL647"/>
      <c r="BM647"/>
      <c r="BN647"/>
      <c r="BO647"/>
      <c r="BP647"/>
      <c r="BQ647"/>
      <c r="BR647"/>
      <c r="BY647"/>
      <c r="BZ647"/>
      <c r="CA647"/>
      <c r="CB647"/>
      <c r="CC647"/>
      <c r="CD647"/>
      <c r="CE647"/>
      <c r="CF647"/>
      <c r="CG647"/>
      <c r="CH647"/>
      <c r="CI647"/>
      <c r="CJ647"/>
      <c r="CK647"/>
      <c r="CL647"/>
      <c r="CM647"/>
      <c r="CN647"/>
      <c r="CO647"/>
      <c r="CP647"/>
      <c r="CQ647"/>
      <c r="CR647"/>
      <c r="CS647"/>
      <c r="CT647"/>
      <c r="CU647"/>
      <c r="CV647"/>
      <c r="CW647"/>
      <c r="CX647"/>
      <c r="CY647"/>
    </row>
    <row r="648" spans="50:103" ht="20.100000000000001" customHeight="1" x14ac:dyDescent="0.25">
      <c r="AX648"/>
      <c r="AY648"/>
      <c r="AZ648"/>
      <c r="BA648"/>
      <c r="BB648"/>
      <c r="BC648"/>
      <c r="BD648"/>
      <c r="BE648"/>
      <c r="BF648"/>
      <c r="BG648"/>
      <c r="BH648"/>
      <c r="BI648"/>
      <c r="BJ648"/>
      <c r="BK648"/>
      <c r="BL648"/>
      <c r="BM648"/>
      <c r="BN648"/>
      <c r="BO648"/>
      <c r="BP648"/>
      <c r="BQ648"/>
      <c r="BR648"/>
      <c r="BY648"/>
      <c r="BZ648"/>
      <c r="CA648"/>
      <c r="CB648"/>
      <c r="CC648"/>
      <c r="CD648"/>
      <c r="CE648"/>
      <c r="CF648"/>
      <c r="CG648"/>
      <c r="CH648"/>
      <c r="CI648"/>
      <c r="CJ648"/>
      <c r="CK648"/>
      <c r="CL648"/>
      <c r="CM648"/>
      <c r="CN648"/>
      <c r="CO648"/>
      <c r="CP648"/>
      <c r="CQ648"/>
      <c r="CR648"/>
      <c r="CS648"/>
      <c r="CT648"/>
      <c r="CU648"/>
      <c r="CV648"/>
      <c r="CW648"/>
      <c r="CX648"/>
      <c r="CY648"/>
    </row>
    <row r="649" spans="50:103" ht="20.100000000000001" customHeight="1" x14ac:dyDescent="0.25">
      <c r="AX649"/>
      <c r="AY649"/>
      <c r="AZ649"/>
      <c r="BA649"/>
      <c r="BB649"/>
      <c r="BC649"/>
      <c r="BD649"/>
      <c r="BE649"/>
      <c r="BF649"/>
      <c r="BG649"/>
      <c r="BH649"/>
      <c r="BI649"/>
      <c r="BJ649"/>
      <c r="BK649"/>
      <c r="BL649"/>
      <c r="BM649"/>
      <c r="BN649"/>
      <c r="BO649"/>
      <c r="BP649"/>
      <c r="BQ649"/>
      <c r="BR649"/>
      <c r="BY649"/>
      <c r="BZ649"/>
      <c r="CA649"/>
      <c r="CB649"/>
      <c r="CC649"/>
      <c r="CD649"/>
      <c r="CE649"/>
      <c r="CF649"/>
      <c r="CG649"/>
      <c r="CH649"/>
      <c r="CI649"/>
      <c r="CJ649"/>
      <c r="CK649"/>
      <c r="CL649"/>
      <c r="CM649"/>
      <c r="CN649"/>
      <c r="CO649"/>
      <c r="CP649"/>
      <c r="CQ649"/>
      <c r="CR649"/>
      <c r="CS649"/>
      <c r="CT649"/>
      <c r="CU649"/>
      <c r="CV649"/>
      <c r="CW649"/>
      <c r="CX649"/>
      <c r="CY649"/>
    </row>
    <row r="650" spans="50:103" ht="20.100000000000001" customHeight="1" x14ac:dyDescent="0.25">
      <c r="AX650"/>
      <c r="AY650"/>
      <c r="AZ650"/>
      <c r="BA650"/>
      <c r="BB650"/>
      <c r="BC650"/>
      <c r="BD650"/>
      <c r="BE650"/>
      <c r="BF650"/>
      <c r="BG650"/>
      <c r="BH650"/>
      <c r="BI650"/>
      <c r="BJ650"/>
      <c r="BK650"/>
      <c r="BL650"/>
      <c r="BM650"/>
      <c r="BN650"/>
      <c r="BO650"/>
      <c r="BP650"/>
      <c r="BQ650"/>
      <c r="BR650"/>
      <c r="BY650"/>
      <c r="BZ650"/>
      <c r="CA650"/>
      <c r="CB650"/>
      <c r="CC650"/>
      <c r="CD650"/>
      <c r="CE650"/>
      <c r="CF650"/>
      <c r="CG650"/>
      <c r="CH650"/>
      <c r="CI650"/>
      <c r="CJ650"/>
      <c r="CK650"/>
      <c r="CL650"/>
      <c r="CM650"/>
      <c r="CN650"/>
      <c r="CO650"/>
      <c r="CP650"/>
      <c r="CQ650"/>
      <c r="CR650"/>
      <c r="CS650"/>
      <c r="CT650"/>
      <c r="CU650"/>
      <c r="CV650"/>
      <c r="CW650"/>
      <c r="CX650"/>
      <c r="CY650"/>
    </row>
    <row r="651" spans="50:103" ht="20.100000000000001" customHeight="1" x14ac:dyDescent="0.25">
      <c r="AX651"/>
      <c r="AY651"/>
      <c r="AZ651"/>
      <c r="BA651"/>
      <c r="BB651"/>
      <c r="BC651"/>
      <c r="BD651"/>
      <c r="BE651"/>
      <c r="BF651"/>
      <c r="BG651"/>
      <c r="BH651"/>
      <c r="BI651"/>
      <c r="BJ651"/>
      <c r="BK651"/>
      <c r="BL651"/>
      <c r="BM651"/>
      <c r="BN651"/>
      <c r="BO651"/>
      <c r="BP651"/>
      <c r="BQ651"/>
      <c r="BR651"/>
      <c r="BY651"/>
      <c r="BZ651"/>
      <c r="CA651"/>
      <c r="CB651"/>
      <c r="CC651"/>
      <c r="CD651"/>
      <c r="CE651"/>
      <c r="CF651"/>
      <c r="CG651"/>
      <c r="CH651"/>
      <c r="CI651"/>
      <c r="CJ651"/>
      <c r="CK651"/>
      <c r="CL651"/>
      <c r="CM651"/>
      <c r="CN651"/>
      <c r="CO651"/>
      <c r="CP651"/>
      <c r="CQ651"/>
      <c r="CR651"/>
      <c r="CS651"/>
      <c r="CT651"/>
      <c r="CU651"/>
      <c r="CV651"/>
      <c r="CW651"/>
      <c r="CX651"/>
      <c r="CY651"/>
    </row>
    <row r="652" spans="50:103" ht="20.100000000000001" customHeight="1" x14ac:dyDescent="0.25">
      <c r="AX652"/>
      <c r="AY652"/>
      <c r="AZ652"/>
      <c r="BA652"/>
      <c r="BB652"/>
      <c r="BC652"/>
      <c r="BD652"/>
      <c r="BE652"/>
      <c r="BF652"/>
      <c r="BG652"/>
      <c r="BH652"/>
      <c r="BI652"/>
      <c r="BJ652"/>
      <c r="BK652"/>
      <c r="BL652"/>
      <c r="BM652"/>
      <c r="BN652"/>
      <c r="BO652"/>
      <c r="BP652"/>
      <c r="BQ652"/>
      <c r="BR652"/>
      <c r="BY652"/>
      <c r="BZ652"/>
      <c r="CA652"/>
      <c r="CB652"/>
      <c r="CC652"/>
      <c r="CD652"/>
      <c r="CE652"/>
      <c r="CF652"/>
      <c r="CG652"/>
      <c r="CH652"/>
      <c r="CI652"/>
      <c r="CJ652"/>
      <c r="CK652"/>
      <c r="CL652"/>
      <c r="CM652"/>
      <c r="CN652"/>
      <c r="CO652"/>
      <c r="CP652"/>
      <c r="CQ652"/>
      <c r="CR652"/>
      <c r="CS652"/>
      <c r="CT652"/>
      <c r="CU652"/>
      <c r="CV652"/>
      <c r="CW652"/>
      <c r="CX652"/>
      <c r="CY652"/>
    </row>
    <row r="653" spans="50:103" ht="20.100000000000001" customHeight="1" x14ac:dyDescent="0.25">
      <c r="AX653"/>
      <c r="AY653"/>
      <c r="AZ653"/>
      <c r="BA653"/>
      <c r="BB653"/>
      <c r="BC653"/>
      <c r="BD653"/>
      <c r="BE653"/>
      <c r="BF653"/>
      <c r="BG653"/>
      <c r="BH653"/>
      <c r="BI653"/>
      <c r="BJ653"/>
      <c r="BK653"/>
      <c r="BL653"/>
      <c r="BM653"/>
      <c r="BN653"/>
      <c r="BO653"/>
      <c r="BP653"/>
      <c r="BQ653"/>
      <c r="BR653"/>
      <c r="BY653"/>
      <c r="BZ653"/>
      <c r="CA653"/>
      <c r="CB653"/>
      <c r="CC653"/>
      <c r="CD653"/>
      <c r="CE653"/>
      <c r="CF653"/>
      <c r="CG653"/>
      <c r="CH653"/>
      <c r="CI653"/>
      <c r="CJ653"/>
      <c r="CK653"/>
      <c r="CL653"/>
      <c r="CM653"/>
      <c r="CN653"/>
      <c r="CO653"/>
      <c r="CP653"/>
      <c r="CQ653"/>
      <c r="CR653"/>
      <c r="CS653"/>
      <c r="CT653"/>
      <c r="CU653"/>
      <c r="CV653"/>
      <c r="CW653"/>
      <c r="CX653"/>
      <c r="CY653"/>
    </row>
    <row r="654" spans="50:103" ht="20.100000000000001" customHeight="1" x14ac:dyDescent="0.25">
      <c r="AX654"/>
      <c r="AY654"/>
      <c r="AZ654"/>
      <c r="BA654"/>
      <c r="BB654"/>
      <c r="BC654"/>
      <c r="BD654"/>
      <c r="BE654"/>
      <c r="BF654"/>
      <c r="BG654"/>
      <c r="BH654"/>
      <c r="BI654"/>
      <c r="BJ654"/>
      <c r="BK654"/>
      <c r="BL654"/>
      <c r="BM654"/>
      <c r="BN654"/>
      <c r="BO654"/>
      <c r="BP654"/>
      <c r="BQ654"/>
      <c r="BR654"/>
      <c r="BY654"/>
      <c r="BZ654"/>
      <c r="CA654"/>
      <c r="CB654"/>
      <c r="CC654"/>
      <c r="CD654"/>
      <c r="CE654"/>
      <c r="CF654"/>
      <c r="CG654"/>
      <c r="CH654"/>
      <c r="CI654"/>
      <c r="CJ654"/>
      <c r="CK654"/>
      <c r="CL654"/>
      <c r="CM654"/>
      <c r="CN654"/>
      <c r="CO654"/>
      <c r="CP654"/>
      <c r="CQ654"/>
      <c r="CR654"/>
      <c r="CS654"/>
      <c r="CT654"/>
      <c r="CU654"/>
      <c r="CV654"/>
      <c r="CW654"/>
      <c r="CX654"/>
      <c r="CY654"/>
    </row>
    <row r="655" spans="50:103" ht="20.100000000000001" customHeight="1" x14ac:dyDescent="0.25">
      <c r="AX655"/>
      <c r="AY655"/>
      <c r="AZ655"/>
      <c r="BA655"/>
      <c r="BB655"/>
      <c r="BC655"/>
      <c r="BD655"/>
      <c r="BE655"/>
      <c r="BF655"/>
      <c r="BG655"/>
      <c r="BH655"/>
      <c r="BI655"/>
      <c r="BJ655"/>
      <c r="BK655"/>
      <c r="BL655"/>
      <c r="BM655"/>
      <c r="BN655"/>
      <c r="BO655"/>
      <c r="BP655"/>
      <c r="BQ655"/>
      <c r="BR655"/>
      <c r="BY655"/>
      <c r="BZ655"/>
      <c r="CA655"/>
      <c r="CB655"/>
      <c r="CC655"/>
      <c r="CD655"/>
      <c r="CE655"/>
      <c r="CF655"/>
      <c r="CG655"/>
      <c r="CH655"/>
      <c r="CI655"/>
      <c r="CJ655"/>
      <c r="CK655"/>
      <c r="CL655"/>
      <c r="CM655"/>
      <c r="CN655"/>
      <c r="CO655"/>
      <c r="CP655"/>
      <c r="CQ655"/>
      <c r="CR655"/>
      <c r="CS655"/>
      <c r="CT655"/>
      <c r="CU655"/>
      <c r="CV655"/>
      <c r="CW655"/>
      <c r="CX655"/>
      <c r="CY655"/>
    </row>
    <row r="656" spans="50:103" ht="20.100000000000001" customHeight="1" x14ac:dyDescent="0.25">
      <c r="AX656"/>
      <c r="AY656"/>
      <c r="AZ656"/>
      <c r="BA656"/>
      <c r="BB656"/>
      <c r="BC656"/>
      <c r="BD656"/>
      <c r="BE656"/>
      <c r="BF656"/>
      <c r="BG656"/>
      <c r="BH656"/>
      <c r="BI656"/>
      <c r="BJ656"/>
      <c r="BK656"/>
      <c r="BL656"/>
      <c r="BM656"/>
      <c r="BN656"/>
      <c r="BO656"/>
      <c r="BP656"/>
      <c r="BQ656"/>
      <c r="BR656"/>
      <c r="BY656"/>
      <c r="BZ656"/>
      <c r="CA656"/>
      <c r="CB656"/>
      <c r="CC656"/>
      <c r="CD656"/>
      <c r="CE656"/>
      <c r="CF656"/>
      <c r="CG656"/>
      <c r="CH656"/>
      <c r="CI656"/>
      <c r="CJ656"/>
      <c r="CK656"/>
      <c r="CL656"/>
      <c r="CM656"/>
      <c r="CN656"/>
      <c r="CO656"/>
      <c r="CP656"/>
      <c r="CQ656"/>
      <c r="CR656"/>
      <c r="CS656"/>
      <c r="CT656"/>
      <c r="CU656"/>
      <c r="CV656"/>
      <c r="CW656"/>
      <c r="CX656"/>
      <c r="CY656"/>
    </row>
    <row r="657" spans="50:103" ht="20.100000000000001" customHeight="1" x14ac:dyDescent="0.25">
      <c r="AX657"/>
      <c r="AY657"/>
      <c r="AZ657"/>
      <c r="BA657"/>
      <c r="BB657"/>
      <c r="BC657"/>
      <c r="BD657"/>
      <c r="BE657"/>
      <c r="BF657"/>
      <c r="BG657"/>
      <c r="BH657"/>
      <c r="BI657"/>
      <c r="BJ657"/>
      <c r="BK657"/>
      <c r="BL657"/>
      <c r="BM657"/>
      <c r="BN657"/>
      <c r="BO657"/>
      <c r="BP657"/>
      <c r="BQ657"/>
      <c r="BR657"/>
      <c r="BY657"/>
      <c r="BZ657"/>
      <c r="CA657"/>
      <c r="CB657"/>
      <c r="CC657"/>
      <c r="CD657"/>
      <c r="CE657"/>
      <c r="CF657"/>
      <c r="CG657"/>
      <c r="CH657"/>
      <c r="CI657"/>
      <c r="CJ657"/>
      <c r="CK657"/>
      <c r="CL657"/>
      <c r="CM657"/>
      <c r="CN657"/>
      <c r="CO657"/>
      <c r="CP657"/>
      <c r="CQ657"/>
      <c r="CR657"/>
      <c r="CS657"/>
      <c r="CT657"/>
      <c r="CU657"/>
      <c r="CV657"/>
      <c r="CW657"/>
      <c r="CX657"/>
      <c r="CY657"/>
    </row>
    <row r="658" spans="50:103" ht="20.100000000000001" customHeight="1" x14ac:dyDescent="0.25">
      <c r="AX658"/>
      <c r="AY658"/>
      <c r="AZ658"/>
      <c r="BA658"/>
      <c r="BB658"/>
      <c r="BC658"/>
      <c r="BD658"/>
      <c r="BE658"/>
      <c r="BF658"/>
      <c r="BG658"/>
      <c r="BH658"/>
      <c r="BI658"/>
      <c r="BJ658"/>
      <c r="BK658"/>
      <c r="BL658"/>
      <c r="BM658"/>
      <c r="BN658"/>
      <c r="BO658"/>
      <c r="BP658"/>
      <c r="BQ658"/>
      <c r="BR658"/>
      <c r="BY658"/>
      <c r="BZ658"/>
      <c r="CA658"/>
      <c r="CB658"/>
      <c r="CC658"/>
      <c r="CD658"/>
      <c r="CE658"/>
      <c r="CF658"/>
      <c r="CG658"/>
      <c r="CH658"/>
      <c r="CI658"/>
      <c r="CJ658"/>
      <c r="CK658"/>
      <c r="CL658"/>
      <c r="CM658"/>
      <c r="CN658"/>
      <c r="CO658"/>
      <c r="CP658"/>
      <c r="CQ658"/>
      <c r="CR658"/>
      <c r="CS658"/>
      <c r="CT658"/>
      <c r="CU658"/>
      <c r="CV658"/>
      <c r="CW658"/>
      <c r="CX658"/>
      <c r="CY658"/>
    </row>
    <row r="659" spans="50:103" ht="20.100000000000001" customHeight="1" x14ac:dyDescent="0.25">
      <c r="AX659"/>
      <c r="AY659"/>
      <c r="AZ659"/>
      <c r="BA659"/>
      <c r="BB659"/>
      <c r="BC659"/>
      <c r="BD659"/>
      <c r="BE659"/>
      <c r="BF659"/>
      <c r="BG659"/>
      <c r="BH659"/>
      <c r="BI659"/>
      <c r="BJ659"/>
      <c r="BK659"/>
      <c r="BL659"/>
      <c r="BM659"/>
      <c r="BN659"/>
      <c r="BO659"/>
      <c r="BP659"/>
      <c r="BQ659"/>
      <c r="BR659"/>
      <c r="BY659"/>
      <c r="BZ659"/>
      <c r="CA659"/>
      <c r="CB659"/>
      <c r="CC659"/>
      <c r="CD659"/>
      <c r="CE659"/>
      <c r="CF659"/>
      <c r="CG659"/>
      <c r="CH659"/>
      <c r="CI659"/>
      <c r="CJ659"/>
      <c r="CK659"/>
      <c r="CL659"/>
      <c r="CM659"/>
      <c r="CN659"/>
      <c r="CO659"/>
      <c r="CP659"/>
      <c r="CQ659"/>
      <c r="CR659"/>
      <c r="CS659"/>
      <c r="CT659"/>
      <c r="CU659"/>
      <c r="CV659"/>
      <c r="CW659"/>
      <c r="CX659"/>
      <c r="CY659"/>
    </row>
    <row r="660" spans="50:103" ht="20.100000000000001" customHeight="1" x14ac:dyDescent="0.25">
      <c r="AX660"/>
      <c r="AY660"/>
      <c r="AZ660"/>
      <c r="BA660"/>
      <c r="BB660"/>
      <c r="BC660"/>
      <c r="BD660"/>
      <c r="BE660"/>
      <c r="BF660"/>
      <c r="BG660"/>
      <c r="BH660"/>
      <c r="BI660"/>
      <c r="BJ660"/>
      <c r="BK660"/>
      <c r="BL660"/>
      <c r="BM660"/>
      <c r="BN660"/>
      <c r="BO660"/>
      <c r="BP660"/>
      <c r="BQ660"/>
      <c r="BR660"/>
      <c r="BY660"/>
      <c r="BZ660"/>
      <c r="CA660"/>
      <c r="CB660"/>
      <c r="CC660"/>
      <c r="CD660"/>
      <c r="CE660"/>
      <c r="CF660"/>
      <c r="CG660"/>
      <c r="CH660"/>
      <c r="CI660"/>
      <c r="CJ660"/>
      <c r="CK660"/>
      <c r="CL660"/>
      <c r="CM660"/>
      <c r="CN660"/>
      <c r="CO660"/>
      <c r="CP660"/>
      <c r="CQ660"/>
      <c r="CR660"/>
      <c r="CS660"/>
      <c r="CT660"/>
      <c r="CU660"/>
      <c r="CV660"/>
      <c r="CW660"/>
      <c r="CX660"/>
      <c r="CY660"/>
    </row>
    <row r="661" spans="50:103" ht="20.100000000000001" customHeight="1" x14ac:dyDescent="0.25">
      <c r="AX661"/>
      <c r="AY661"/>
      <c r="AZ661"/>
      <c r="BA661"/>
      <c r="BB661"/>
      <c r="BC661"/>
      <c r="BD661"/>
      <c r="BE661"/>
      <c r="BF661"/>
      <c r="BG661"/>
      <c r="BH661"/>
      <c r="BI661"/>
      <c r="BJ661"/>
      <c r="BK661"/>
      <c r="BL661"/>
      <c r="BM661"/>
      <c r="BN661"/>
      <c r="BO661"/>
      <c r="BP661"/>
      <c r="BQ661"/>
      <c r="BR661"/>
      <c r="BY661"/>
      <c r="BZ661"/>
      <c r="CA661"/>
      <c r="CB661"/>
      <c r="CC661"/>
      <c r="CD661"/>
      <c r="CE661"/>
      <c r="CF661"/>
      <c r="CG661"/>
      <c r="CH661"/>
      <c r="CI661"/>
      <c r="CJ661"/>
      <c r="CK661"/>
      <c r="CL661"/>
      <c r="CM661"/>
      <c r="CN661"/>
      <c r="CO661"/>
      <c r="CP661"/>
      <c r="CQ661"/>
      <c r="CR661"/>
      <c r="CS661"/>
      <c r="CT661"/>
      <c r="CU661"/>
      <c r="CV661"/>
      <c r="CW661"/>
      <c r="CX661"/>
      <c r="CY661"/>
    </row>
    <row r="662" spans="50:103" ht="20.100000000000001" customHeight="1" x14ac:dyDescent="0.25">
      <c r="AX662"/>
      <c r="AY662"/>
      <c r="AZ662"/>
      <c r="BA662"/>
      <c r="BB662"/>
      <c r="BC662"/>
      <c r="BD662"/>
      <c r="BE662"/>
      <c r="BF662"/>
      <c r="BG662"/>
      <c r="BH662"/>
      <c r="BI662"/>
      <c r="BJ662"/>
      <c r="BK662"/>
      <c r="BL662"/>
      <c r="BM662"/>
      <c r="BN662"/>
      <c r="BO662"/>
      <c r="BP662"/>
      <c r="BQ662"/>
      <c r="BR662"/>
      <c r="BY662"/>
      <c r="BZ662"/>
      <c r="CA662"/>
      <c r="CB662"/>
      <c r="CC662"/>
      <c r="CD662"/>
      <c r="CE662"/>
      <c r="CF662"/>
      <c r="CG662"/>
      <c r="CH662"/>
      <c r="CI662"/>
      <c r="CJ662"/>
      <c r="CK662"/>
      <c r="CL662"/>
      <c r="CM662"/>
      <c r="CN662"/>
      <c r="CO662"/>
      <c r="CP662"/>
      <c r="CQ662"/>
      <c r="CR662"/>
      <c r="CS662"/>
      <c r="CT662"/>
      <c r="CU662"/>
      <c r="CV662"/>
      <c r="CW662"/>
      <c r="CX662"/>
      <c r="CY662"/>
    </row>
    <row r="663" spans="50:103" ht="20.100000000000001" customHeight="1" x14ac:dyDescent="0.25">
      <c r="AX663"/>
      <c r="AY663"/>
      <c r="AZ663"/>
      <c r="BA663"/>
      <c r="BB663"/>
      <c r="BC663"/>
      <c r="BD663"/>
      <c r="BE663"/>
      <c r="BF663"/>
      <c r="BG663"/>
      <c r="BH663"/>
      <c r="BI663"/>
      <c r="BJ663"/>
      <c r="BK663"/>
      <c r="BL663"/>
      <c r="BM663"/>
      <c r="BN663"/>
      <c r="BO663"/>
      <c r="BP663"/>
      <c r="BQ663"/>
      <c r="BR663"/>
      <c r="BY663"/>
      <c r="BZ663"/>
      <c r="CA663"/>
      <c r="CB663"/>
      <c r="CC663"/>
      <c r="CD663"/>
      <c r="CE663"/>
      <c r="CF663"/>
      <c r="CG663"/>
      <c r="CH663"/>
      <c r="CI663"/>
      <c r="CJ663"/>
      <c r="CK663"/>
      <c r="CL663"/>
      <c r="CM663"/>
      <c r="CN663"/>
      <c r="CO663"/>
      <c r="CP663"/>
      <c r="CQ663"/>
      <c r="CR663"/>
      <c r="CS663"/>
      <c r="CT663"/>
      <c r="CU663"/>
      <c r="CV663"/>
      <c r="CW663"/>
      <c r="CX663"/>
      <c r="CY663"/>
    </row>
    <row r="664" spans="50:103" ht="20.100000000000001" customHeight="1" x14ac:dyDescent="0.25">
      <c r="AX664"/>
      <c r="AY664"/>
      <c r="AZ664"/>
      <c r="BA664"/>
      <c r="BB664"/>
      <c r="BC664"/>
      <c r="BD664"/>
      <c r="BE664"/>
      <c r="BF664"/>
      <c r="BG664"/>
      <c r="BH664"/>
      <c r="BI664"/>
      <c r="BJ664"/>
      <c r="BK664"/>
      <c r="BL664"/>
      <c r="BM664"/>
      <c r="BN664"/>
      <c r="BO664"/>
      <c r="BP664"/>
      <c r="BQ664"/>
      <c r="BR664"/>
      <c r="BY664"/>
      <c r="BZ664"/>
      <c r="CA664"/>
      <c r="CB664"/>
      <c r="CC664"/>
      <c r="CD664"/>
      <c r="CE664"/>
      <c r="CF664"/>
      <c r="CG664"/>
      <c r="CH664"/>
      <c r="CI664"/>
      <c r="CJ664"/>
      <c r="CK664"/>
      <c r="CL664"/>
      <c r="CM664"/>
      <c r="CN664"/>
      <c r="CO664"/>
      <c r="CP664"/>
      <c r="CQ664"/>
      <c r="CR664"/>
      <c r="CS664"/>
      <c r="CT664"/>
      <c r="CU664"/>
      <c r="CV664"/>
      <c r="CW664"/>
      <c r="CX664"/>
      <c r="CY664"/>
    </row>
    <row r="665" spans="50:103" ht="20.100000000000001" customHeight="1" x14ac:dyDescent="0.25">
      <c r="AX665"/>
      <c r="AY665"/>
      <c r="AZ665"/>
      <c r="BA665"/>
      <c r="BB665"/>
      <c r="BC665"/>
      <c r="BD665"/>
      <c r="BE665"/>
      <c r="BF665"/>
      <c r="BG665"/>
      <c r="BH665"/>
      <c r="BI665"/>
      <c r="BJ665"/>
      <c r="BK665"/>
      <c r="BL665"/>
      <c r="BM665"/>
      <c r="BN665"/>
      <c r="BO665"/>
      <c r="BP665"/>
      <c r="BQ665"/>
      <c r="BR665"/>
      <c r="BY665"/>
      <c r="BZ665"/>
      <c r="CA665"/>
      <c r="CB665"/>
      <c r="CC665"/>
      <c r="CD665"/>
      <c r="CE665"/>
      <c r="CF665"/>
      <c r="CG665"/>
      <c r="CH665"/>
      <c r="CI665"/>
      <c r="CJ665"/>
      <c r="CK665"/>
      <c r="CL665"/>
      <c r="CM665"/>
      <c r="CN665"/>
      <c r="CO665"/>
      <c r="CP665"/>
      <c r="CQ665"/>
      <c r="CR665"/>
      <c r="CS665"/>
      <c r="CT665"/>
      <c r="CU665"/>
      <c r="CV665"/>
      <c r="CW665"/>
      <c r="CX665"/>
      <c r="CY665"/>
    </row>
    <row r="666" spans="50:103" ht="20.100000000000001" customHeight="1" x14ac:dyDescent="0.25">
      <c r="AX666"/>
      <c r="AY666"/>
      <c r="AZ666"/>
      <c r="BA666"/>
      <c r="BB666"/>
      <c r="BC666"/>
      <c r="BD666"/>
      <c r="BE666"/>
      <c r="BF666"/>
      <c r="BG666"/>
      <c r="BH666"/>
      <c r="BI666"/>
      <c r="BJ666"/>
      <c r="BK666"/>
      <c r="BL666"/>
      <c r="BM666"/>
      <c r="BN666"/>
      <c r="BO666"/>
      <c r="BP666"/>
      <c r="BQ666"/>
      <c r="BR666"/>
      <c r="BY666"/>
      <c r="BZ666"/>
      <c r="CA666"/>
      <c r="CB666"/>
      <c r="CC666"/>
      <c r="CD666"/>
      <c r="CE666"/>
      <c r="CF666"/>
      <c r="CG666"/>
      <c r="CH666"/>
      <c r="CI666"/>
      <c r="CJ666"/>
      <c r="CK666"/>
      <c r="CL666"/>
      <c r="CM666"/>
      <c r="CN666"/>
      <c r="CO666"/>
      <c r="CP666"/>
      <c r="CQ666"/>
      <c r="CR666"/>
      <c r="CS666"/>
      <c r="CT666"/>
      <c r="CU666"/>
      <c r="CV666"/>
      <c r="CW666"/>
      <c r="CX666"/>
      <c r="CY666"/>
    </row>
    <row r="667" spans="50:103" ht="20.100000000000001" customHeight="1" x14ac:dyDescent="0.25">
      <c r="AX667"/>
      <c r="AY667"/>
      <c r="AZ667"/>
      <c r="BA667"/>
      <c r="BB667"/>
      <c r="BC667"/>
      <c r="BD667"/>
      <c r="BE667"/>
      <c r="BF667"/>
      <c r="BG667"/>
      <c r="BH667"/>
      <c r="BI667"/>
      <c r="BJ667"/>
      <c r="BK667"/>
      <c r="BL667"/>
      <c r="BM667"/>
      <c r="BN667"/>
      <c r="BO667"/>
      <c r="BP667"/>
      <c r="BQ667"/>
      <c r="BR667"/>
      <c r="BY667"/>
      <c r="BZ667"/>
      <c r="CA667"/>
      <c r="CB667"/>
      <c r="CC667"/>
      <c r="CD667"/>
      <c r="CE667"/>
      <c r="CF667"/>
      <c r="CG667"/>
      <c r="CH667"/>
      <c r="CI667"/>
      <c r="CJ667"/>
      <c r="CK667"/>
      <c r="CL667"/>
      <c r="CM667"/>
      <c r="CN667"/>
      <c r="CO667"/>
      <c r="CP667"/>
      <c r="CQ667"/>
      <c r="CR667"/>
      <c r="CS667"/>
      <c r="CT667"/>
      <c r="CU667"/>
      <c r="CV667"/>
      <c r="CW667"/>
      <c r="CX667"/>
      <c r="CY667"/>
    </row>
    <row r="668" spans="50:103" ht="20.100000000000001" customHeight="1" x14ac:dyDescent="0.25">
      <c r="AX668"/>
      <c r="AY668"/>
      <c r="AZ668"/>
      <c r="BA668"/>
      <c r="BB668"/>
      <c r="BC668"/>
      <c r="BD668"/>
      <c r="BE668"/>
      <c r="BF668"/>
      <c r="BG668"/>
      <c r="BH668"/>
      <c r="BI668"/>
      <c r="BJ668"/>
      <c r="BK668"/>
      <c r="BL668"/>
      <c r="BM668"/>
      <c r="BN668"/>
      <c r="BO668"/>
      <c r="BP668"/>
      <c r="BQ668"/>
      <c r="BR668"/>
      <c r="BY668"/>
      <c r="BZ668"/>
      <c r="CA668"/>
      <c r="CB668"/>
      <c r="CC668"/>
      <c r="CD668"/>
      <c r="CE668"/>
      <c r="CF668"/>
      <c r="CG668"/>
      <c r="CH668"/>
      <c r="CI668"/>
      <c r="CJ668"/>
      <c r="CK668"/>
      <c r="CL668"/>
      <c r="CM668"/>
      <c r="CN668"/>
      <c r="CO668"/>
      <c r="CP668"/>
      <c r="CQ668"/>
      <c r="CR668"/>
      <c r="CS668"/>
      <c r="CT668"/>
      <c r="CU668"/>
      <c r="CV668"/>
      <c r="CW668"/>
      <c r="CX668"/>
      <c r="CY668"/>
    </row>
    <row r="669" spans="50:103" ht="20.100000000000001" customHeight="1" x14ac:dyDescent="0.25">
      <c r="AX669"/>
      <c r="AY669"/>
      <c r="AZ669"/>
      <c r="BA669"/>
      <c r="BB669"/>
      <c r="BC669"/>
      <c r="BD669"/>
      <c r="BE669"/>
      <c r="BF669"/>
      <c r="BG669"/>
      <c r="BH669"/>
      <c r="BI669"/>
      <c r="BJ669"/>
      <c r="BK669"/>
      <c r="BL669"/>
      <c r="BM669"/>
      <c r="BN669"/>
      <c r="BO669"/>
      <c r="BP669"/>
      <c r="BQ669"/>
      <c r="BR669"/>
      <c r="BY669"/>
      <c r="BZ669"/>
      <c r="CA669"/>
      <c r="CB669"/>
      <c r="CC669"/>
      <c r="CD669"/>
      <c r="CE669"/>
      <c r="CF669"/>
      <c r="CG669"/>
      <c r="CH669"/>
      <c r="CI669"/>
      <c r="CJ669"/>
      <c r="CK669"/>
      <c r="CL669"/>
      <c r="CM669"/>
      <c r="CN669"/>
      <c r="CO669"/>
      <c r="CP669"/>
      <c r="CQ669"/>
      <c r="CR669"/>
      <c r="CS669"/>
      <c r="CT669"/>
      <c r="CU669"/>
      <c r="CV669"/>
      <c r="CW669"/>
      <c r="CX669"/>
      <c r="CY669"/>
    </row>
    <row r="670" spans="50:103" ht="20.100000000000001" customHeight="1" x14ac:dyDescent="0.25">
      <c r="AX670"/>
      <c r="AY670"/>
      <c r="AZ670"/>
      <c r="BA670"/>
      <c r="BB670"/>
      <c r="BC670"/>
      <c r="BD670"/>
      <c r="BE670"/>
      <c r="BF670"/>
      <c r="BG670"/>
      <c r="BH670"/>
      <c r="BI670"/>
      <c r="BJ670"/>
      <c r="BK670"/>
      <c r="BL670"/>
      <c r="BM670"/>
      <c r="BN670"/>
      <c r="BO670"/>
      <c r="BP670"/>
      <c r="BQ670"/>
      <c r="BR670"/>
      <c r="BY670"/>
      <c r="BZ670"/>
      <c r="CA670"/>
      <c r="CB670"/>
      <c r="CC670"/>
      <c r="CD670"/>
      <c r="CE670"/>
      <c r="CF670"/>
      <c r="CG670"/>
      <c r="CH670"/>
      <c r="CI670"/>
      <c r="CJ670"/>
      <c r="CK670"/>
      <c r="CL670"/>
      <c r="CM670"/>
      <c r="CN670"/>
      <c r="CO670"/>
      <c r="CP670"/>
      <c r="CQ670"/>
      <c r="CR670"/>
      <c r="CS670"/>
      <c r="CT670"/>
      <c r="CU670"/>
      <c r="CV670"/>
      <c r="CW670"/>
      <c r="CX670"/>
      <c r="CY670"/>
    </row>
    <row r="671" spans="50:103" ht="20.100000000000001" customHeight="1" x14ac:dyDescent="0.25">
      <c r="AX671"/>
      <c r="AY671"/>
      <c r="AZ671"/>
      <c r="BA671"/>
      <c r="BB671"/>
      <c r="BC671"/>
      <c r="BD671"/>
      <c r="BE671"/>
      <c r="BF671"/>
      <c r="BG671"/>
      <c r="BH671"/>
      <c r="BI671"/>
      <c r="BJ671"/>
      <c r="BK671"/>
      <c r="BL671"/>
      <c r="BM671"/>
      <c r="BN671"/>
      <c r="BO671"/>
      <c r="BP671"/>
      <c r="BQ671"/>
      <c r="BR671"/>
      <c r="BY671"/>
      <c r="BZ671"/>
      <c r="CA671"/>
      <c r="CB671"/>
      <c r="CC671"/>
      <c r="CD671"/>
      <c r="CE671"/>
      <c r="CF671"/>
      <c r="CG671"/>
      <c r="CH671"/>
      <c r="CI671"/>
      <c r="CJ671"/>
      <c r="CK671"/>
      <c r="CL671"/>
      <c r="CM671"/>
      <c r="CN671"/>
      <c r="CO671"/>
      <c r="CP671"/>
      <c r="CQ671"/>
      <c r="CR671"/>
      <c r="CS671"/>
      <c r="CT671"/>
      <c r="CU671"/>
      <c r="CV671"/>
      <c r="CW671"/>
      <c r="CX671"/>
      <c r="CY671"/>
    </row>
    <row r="672" spans="50:103" ht="20.100000000000001" customHeight="1" x14ac:dyDescent="0.25">
      <c r="AX672"/>
      <c r="AY672"/>
      <c r="AZ672"/>
      <c r="BA672"/>
      <c r="BB672"/>
      <c r="BC672"/>
      <c r="BD672"/>
      <c r="BE672"/>
      <c r="BF672"/>
      <c r="BG672"/>
      <c r="BH672"/>
      <c r="BI672"/>
      <c r="BJ672"/>
      <c r="BK672"/>
      <c r="BL672"/>
      <c r="BM672"/>
      <c r="BN672"/>
      <c r="BO672"/>
      <c r="BP672"/>
      <c r="BQ672"/>
      <c r="BR672"/>
      <c r="BY672"/>
      <c r="BZ672"/>
      <c r="CA672"/>
      <c r="CB672"/>
      <c r="CC672"/>
      <c r="CD672"/>
      <c r="CE672"/>
      <c r="CF672"/>
      <c r="CG672"/>
      <c r="CH672"/>
      <c r="CI672"/>
      <c r="CJ672"/>
      <c r="CK672"/>
      <c r="CL672"/>
      <c r="CM672"/>
      <c r="CN672"/>
      <c r="CO672"/>
      <c r="CP672"/>
      <c r="CQ672"/>
      <c r="CR672"/>
      <c r="CS672"/>
      <c r="CT672"/>
      <c r="CU672"/>
      <c r="CV672"/>
      <c r="CW672"/>
      <c r="CX672"/>
      <c r="CY672"/>
    </row>
    <row r="673" spans="50:103" ht="20.100000000000001" customHeight="1" x14ac:dyDescent="0.25">
      <c r="AX673"/>
      <c r="AY673"/>
      <c r="AZ673"/>
      <c r="BA673"/>
      <c r="BB673"/>
      <c r="BC673"/>
      <c r="BD673"/>
      <c r="BE673"/>
      <c r="BF673"/>
      <c r="BG673"/>
      <c r="BH673"/>
      <c r="BI673"/>
      <c r="BJ673"/>
      <c r="BK673"/>
      <c r="BL673"/>
      <c r="BM673"/>
      <c r="BN673"/>
      <c r="BO673"/>
      <c r="BP673"/>
      <c r="BQ673"/>
      <c r="BR673"/>
      <c r="BY673"/>
      <c r="BZ673"/>
      <c r="CA673"/>
      <c r="CB673"/>
      <c r="CC673"/>
      <c r="CD673"/>
      <c r="CE673"/>
      <c r="CF673"/>
      <c r="CG673"/>
      <c r="CH673"/>
      <c r="CI673"/>
      <c r="CJ673"/>
      <c r="CK673"/>
      <c r="CL673"/>
      <c r="CM673"/>
      <c r="CN673"/>
      <c r="CO673"/>
      <c r="CP673"/>
      <c r="CQ673"/>
      <c r="CR673"/>
      <c r="CS673"/>
      <c r="CT673"/>
      <c r="CU673"/>
      <c r="CV673"/>
      <c r="CW673"/>
      <c r="CX673"/>
      <c r="CY673"/>
    </row>
    <row r="674" spans="50:103" ht="20.100000000000001" customHeight="1" x14ac:dyDescent="0.25">
      <c r="AX674"/>
      <c r="AY674"/>
      <c r="AZ674"/>
      <c r="BA674"/>
      <c r="BB674"/>
      <c r="BC674"/>
      <c r="BD674"/>
      <c r="BE674"/>
      <c r="BF674"/>
      <c r="BG674"/>
      <c r="BH674"/>
      <c r="BI674"/>
      <c r="BJ674"/>
      <c r="BK674"/>
      <c r="BL674"/>
      <c r="BM674"/>
      <c r="BN674"/>
      <c r="BO674"/>
      <c r="BP674"/>
      <c r="BQ674"/>
      <c r="BR674"/>
      <c r="BY674"/>
      <c r="BZ674"/>
      <c r="CA674"/>
      <c r="CB674"/>
      <c r="CC674"/>
      <c r="CD674"/>
      <c r="CE674"/>
      <c r="CF674"/>
      <c r="CG674"/>
      <c r="CH674"/>
      <c r="CI674"/>
      <c r="CJ674"/>
      <c r="CK674"/>
      <c r="CL674"/>
      <c r="CM674"/>
      <c r="CN674"/>
      <c r="CO674"/>
      <c r="CP674"/>
      <c r="CQ674"/>
      <c r="CR674"/>
      <c r="CS674"/>
      <c r="CT674"/>
      <c r="CU674"/>
      <c r="CV674"/>
      <c r="CW674"/>
      <c r="CX674"/>
      <c r="CY674"/>
    </row>
    <row r="675" spans="50:103" ht="20.100000000000001" customHeight="1" x14ac:dyDescent="0.25">
      <c r="AX675"/>
      <c r="AY675"/>
      <c r="AZ675"/>
      <c r="BA675"/>
      <c r="BB675"/>
      <c r="BC675"/>
      <c r="BD675"/>
      <c r="BE675"/>
      <c r="BF675"/>
      <c r="BG675"/>
      <c r="BH675"/>
      <c r="BI675"/>
      <c r="BJ675"/>
      <c r="BK675"/>
      <c r="BL675"/>
      <c r="BM675"/>
      <c r="BN675"/>
      <c r="BO675"/>
      <c r="BP675"/>
      <c r="BQ675"/>
      <c r="BR675"/>
      <c r="BY675"/>
      <c r="BZ675"/>
      <c r="CA675"/>
      <c r="CB675"/>
      <c r="CC675"/>
      <c r="CD675"/>
      <c r="CE675"/>
      <c r="CF675"/>
      <c r="CG675"/>
      <c r="CH675"/>
      <c r="CI675"/>
      <c r="CJ675"/>
      <c r="CK675"/>
      <c r="CL675"/>
      <c r="CM675"/>
      <c r="CN675"/>
      <c r="CO675"/>
      <c r="CP675"/>
      <c r="CQ675"/>
      <c r="CR675"/>
      <c r="CS675"/>
      <c r="CT675"/>
      <c r="CU675"/>
      <c r="CV675"/>
      <c r="CW675"/>
      <c r="CX675"/>
      <c r="CY675"/>
    </row>
    <row r="676" spans="50:103" ht="20.100000000000001" customHeight="1" x14ac:dyDescent="0.25">
      <c r="AX676"/>
      <c r="AY676"/>
      <c r="AZ676"/>
      <c r="BA676"/>
      <c r="BB676"/>
      <c r="BC676"/>
      <c r="BD676"/>
      <c r="BE676"/>
      <c r="BF676"/>
      <c r="BG676"/>
      <c r="BH676"/>
      <c r="BI676"/>
      <c r="BJ676"/>
      <c r="BK676"/>
      <c r="BL676"/>
      <c r="BM676"/>
      <c r="BN676"/>
      <c r="BO676"/>
      <c r="BP676"/>
      <c r="BQ676"/>
      <c r="BR676"/>
      <c r="BY676"/>
      <c r="BZ676"/>
      <c r="CA676"/>
      <c r="CB676"/>
      <c r="CC676"/>
      <c r="CD676"/>
      <c r="CE676"/>
      <c r="CF676"/>
      <c r="CG676"/>
      <c r="CH676"/>
      <c r="CI676"/>
      <c r="CJ676"/>
      <c r="CK676"/>
      <c r="CL676"/>
      <c r="CM676"/>
      <c r="CN676"/>
      <c r="CO676"/>
      <c r="CP676"/>
      <c r="CQ676"/>
      <c r="CR676"/>
      <c r="CS676"/>
      <c r="CT676"/>
      <c r="CU676"/>
      <c r="CV676"/>
      <c r="CW676"/>
      <c r="CX676"/>
      <c r="CY676"/>
    </row>
    <row r="677" spans="50:103" ht="20.100000000000001" customHeight="1" x14ac:dyDescent="0.25">
      <c r="AX677"/>
      <c r="AY677"/>
      <c r="AZ677"/>
      <c r="BA677"/>
      <c r="BB677"/>
      <c r="BC677"/>
      <c r="BD677"/>
      <c r="BE677"/>
      <c r="BF677"/>
      <c r="BG677"/>
      <c r="BH677"/>
      <c r="BI677"/>
      <c r="BJ677"/>
      <c r="BK677"/>
      <c r="BL677"/>
      <c r="BM677"/>
      <c r="BN677"/>
      <c r="BO677"/>
      <c r="BP677"/>
      <c r="BQ677"/>
      <c r="BR677"/>
      <c r="BY677"/>
      <c r="BZ677"/>
      <c r="CA677"/>
      <c r="CB677"/>
      <c r="CC677"/>
      <c r="CD677"/>
      <c r="CE677"/>
      <c r="CF677"/>
      <c r="CG677"/>
      <c r="CH677"/>
      <c r="CI677"/>
      <c r="CJ677"/>
      <c r="CK677"/>
      <c r="CL677"/>
      <c r="CM677"/>
      <c r="CN677"/>
      <c r="CO677"/>
      <c r="CP677"/>
      <c r="CQ677"/>
      <c r="CR677"/>
      <c r="CS677"/>
      <c r="CT677"/>
      <c r="CU677"/>
      <c r="CV677"/>
      <c r="CW677"/>
      <c r="CX677"/>
      <c r="CY677"/>
    </row>
    <row r="678" spans="50:103" ht="20.100000000000001" customHeight="1" x14ac:dyDescent="0.25">
      <c r="AX678"/>
      <c r="AY678"/>
      <c r="AZ678"/>
      <c r="BA678"/>
      <c r="BB678"/>
      <c r="BC678"/>
      <c r="BD678"/>
      <c r="BE678"/>
      <c r="BF678"/>
      <c r="BG678"/>
      <c r="BH678"/>
      <c r="BI678"/>
      <c r="BJ678"/>
      <c r="BK678"/>
      <c r="BL678"/>
      <c r="BM678"/>
      <c r="BN678"/>
      <c r="BO678"/>
      <c r="BP678"/>
      <c r="BQ678"/>
      <c r="BR678"/>
      <c r="BY678"/>
      <c r="BZ678"/>
      <c r="CA678"/>
      <c r="CB678"/>
      <c r="CC678"/>
      <c r="CD678"/>
      <c r="CE678"/>
      <c r="CF678"/>
      <c r="CG678"/>
      <c r="CH678"/>
      <c r="CI678"/>
      <c r="CJ678"/>
      <c r="CK678"/>
      <c r="CL678"/>
      <c r="CM678"/>
      <c r="CN678"/>
      <c r="CO678"/>
      <c r="CP678"/>
      <c r="CQ678"/>
      <c r="CR678"/>
      <c r="CS678"/>
      <c r="CT678"/>
      <c r="CU678"/>
      <c r="CV678"/>
      <c r="CW678"/>
      <c r="CX678"/>
      <c r="CY678"/>
    </row>
    <row r="679" spans="50:103" ht="20.100000000000001" customHeight="1" x14ac:dyDescent="0.25">
      <c r="AX679"/>
      <c r="AY679"/>
      <c r="AZ679"/>
      <c r="BA679"/>
      <c r="BB679"/>
      <c r="BC679"/>
      <c r="BD679"/>
      <c r="BE679"/>
      <c r="BF679"/>
      <c r="BG679"/>
      <c r="BH679"/>
      <c r="BI679"/>
      <c r="BJ679"/>
      <c r="BK679"/>
      <c r="BL679"/>
      <c r="BM679"/>
      <c r="BN679"/>
      <c r="BO679"/>
      <c r="BP679"/>
      <c r="BQ679"/>
      <c r="BR679"/>
      <c r="BY679"/>
      <c r="BZ679"/>
      <c r="CA679"/>
      <c r="CB679"/>
      <c r="CC679"/>
      <c r="CD679"/>
      <c r="CE679"/>
      <c r="CF679"/>
      <c r="CG679"/>
      <c r="CH679"/>
      <c r="CI679"/>
      <c r="CJ679"/>
      <c r="CK679"/>
      <c r="CL679"/>
      <c r="CM679"/>
      <c r="CN679"/>
      <c r="CO679"/>
      <c r="CP679"/>
      <c r="CQ679"/>
      <c r="CR679"/>
      <c r="CS679"/>
      <c r="CT679"/>
      <c r="CU679"/>
      <c r="CV679"/>
      <c r="CW679"/>
      <c r="CX679"/>
      <c r="CY679"/>
    </row>
    <row r="680" spans="50:103" ht="20.100000000000001" customHeight="1" x14ac:dyDescent="0.25">
      <c r="AX680"/>
      <c r="AY680"/>
      <c r="AZ680"/>
      <c r="BA680"/>
      <c r="BB680"/>
      <c r="BC680"/>
      <c r="BD680"/>
      <c r="BE680"/>
      <c r="BF680"/>
      <c r="BG680"/>
      <c r="BH680"/>
      <c r="BI680"/>
      <c r="BJ680"/>
      <c r="BK680"/>
      <c r="BL680"/>
      <c r="BM680"/>
      <c r="BN680"/>
      <c r="BO680"/>
      <c r="BP680"/>
      <c r="BQ680"/>
      <c r="BR680"/>
      <c r="BY680"/>
      <c r="BZ680"/>
      <c r="CA680"/>
      <c r="CB680"/>
      <c r="CC680"/>
      <c r="CD680"/>
      <c r="CE680"/>
      <c r="CF680"/>
      <c r="CG680"/>
      <c r="CH680"/>
      <c r="CI680"/>
      <c r="CJ680"/>
      <c r="CK680"/>
      <c r="CL680"/>
      <c r="CM680"/>
      <c r="CN680"/>
      <c r="CO680"/>
      <c r="CP680"/>
      <c r="CQ680"/>
      <c r="CR680"/>
      <c r="CS680"/>
      <c r="CT680"/>
      <c r="CU680"/>
      <c r="CV680"/>
      <c r="CW680"/>
      <c r="CX680"/>
      <c r="CY680"/>
    </row>
    <row r="681" spans="50:103" ht="20.100000000000001" customHeight="1" x14ac:dyDescent="0.25">
      <c r="AX681"/>
      <c r="AY681"/>
      <c r="AZ681"/>
      <c r="BA681"/>
      <c r="BB681"/>
      <c r="BC681"/>
      <c r="BD681"/>
      <c r="BE681"/>
      <c r="BF681"/>
      <c r="BG681"/>
      <c r="BH681"/>
      <c r="BI681"/>
      <c r="BJ681"/>
      <c r="BK681"/>
      <c r="BL681"/>
      <c r="BM681"/>
      <c r="BN681"/>
      <c r="BO681"/>
      <c r="BP681"/>
      <c r="BQ681"/>
      <c r="BR681"/>
      <c r="BY681"/>
      <c r="BZ681"/>
      <c r="CA681"/>
      <c r="CB681"/>
      <c r="CC681"/>
      <c r="CD681"/>
      <c r="CE681"/>
      <c r="CF681"/>
      <c r="CG681"/>
      <c r="CH681"/>
      <c r="CI681"/>
      <c r="CJ681"/>
      <c r="CK681"/>
      <c r="CL681"/>
      <c r="CM681"/>
      <c r="CN681"/>
      <c r="CO681"/>
      <c r="CP681"/>
      <c r="CQ681"/>
      <c r="CR681"/>
      <c r="CS681"/>
      <c r="CT681"/>
      <c r="CU681"/>
      <c r="CV681"/>
      <c r="CW681"/>
      <c r="CX681"/>
      <c r="CY681"/>
    </row>
    <row r="682" spans="50:103" ht="20.100000000000001" customHeight="1" x14ac:dyDescent="0.25">
      <c r="AX682"/>
      <c r="AY682"/>
      <c r="AZ682"/>
      <c r="BA682"/>
      <c r="BB682"/>
      <c r="BC682"/>
      <c r="BD682"/>
      <c r="BE682"/>
      <c r="BF682"/>
      <c r="BG682"/>
      <c r="BH682"/>
      <c r="BI682"/>
      <c r="BJ682"/>
      <c r="BK682"/>
      <c r="BL682"/>
      <c r="BM682"/>
      <c r="BN682"/>
      <c r="BO682"/>
      <c r="BP682"/>
      <c r="BQ682"/>
      <c r="BR682"/>
      <c r="BY682"/>
      <c r="BZ682"/>
      <c r="CA682"/>
      <c r="CB682"/>
      <c r="CC682"/>
      <c r="CD682"/>
      <c r="CE682"/>
      <c r="CF682"/>
      <c r="CG682"/>
      <c r="CH682"/>
      <c r="CI682"/>
      <c r="CJ682"/>
      <c r="CK682"/>
      <c r="CL682"/>
      <c r="CM682"/>
      <c r="CN682"/>
      <c r="CO682"/>
      <c r="CP682"/>
      <c r="CQ682"/>
      <c r="CR682"/>
      <c r="CS682"/>
      <c r="CT682"/>
      <c r="CU682"/>
      <c r="CV682"/>
      <c r="CW682"/>
      <c r="CX682"/>
      <c r="CY682"/>
    </row>
    <row r="683" spans="50:103" ht="20.100000000000001" customHeight="1" x14ac:dyDescent="0.25">
      <c r="AX683"/>
      <c r="AY683"/>
      <c r="AZ683"/>
      <c r="BA683"/>
      <c r="BB683"/>
      <c r="BC683"/>
      <c r="BD683"/>
      <c r="BE683"/>
      <c r="BF683"/>
      <c r="BG683"/>
      <c r="BH683"/>
      <c r="BI683"/>
      <c r="BJ683"/>
      <c r="BK683"/>
      <c r="BL683"/>
      <c r="BM683"/>
      <c r="BN683"/>
      <c r="BO683"/>
      <c r="BP683"/>
      <c r="BQ683"/>
      <c r="BR683"/>
      <c r="BY683"/>
      <c r="BZ683"/>
      <c r="CA683"/>
      <c r="CB683"/>
      <c r="CC683"/>
      <c r="CD683"/>
      <c r="CE683"/>
      <c r="CF683"/>
      <c r="CG683"/>
      <c r="CH683"/>
      <c r="CI683"/>
      <c r="CJ683"/>
      <c r="CK683"/>
      <c r="CL683"/>
      <c r="CM683"/>
      <c r="CN683"/>
      <c r="CO683"/>
      <c r="CP683"/>
      <c r="CQ683"/>
      <c r="CR683"/>
      <c r="CS683"/>
      <c r="CT683"/>
      <c r="CU683"/>
      <c r="CV683"/>
      <c r="CW683"/>
      <c r="CX683"/>
      <c r="CY683"/>
    </row>
    <row r="684" spans="50:103" ht="20.100000000000001" customHeight="1" x14ac:dyDescent="0.25">
      <c r="AX684"/>
      <c r="AY684"/>
      <c r="AZ684"/>
      <c r="BA684"/>
      <c r="BB684"/>
      <c r="BC684"/>
      <c r="BD684"/>
      <c r="BE684"/>
      <c r="BF684"/>
      <c r="BG684"/>
      <c r="BH684"/>
      <c r="BI684"/>
      <c r="BJ684"/>
      <c r="BK684"/>
      <c r="BL684"/>
      <c r="BM684"/>
      <c r="BN684"/>
      <c r="BO684"/>
      <c r="BP684"/>
      <c r="BQ684"/>
      <c r="BR684"/>
      <c r="BY684"/>
      <c r="BZ684"/>
      <c r="CA684"/>
      <c r="CB684"/>
      <c r="CC684"/>
      <c r="CD684"/>
      <c r="CE684"/>
      <c r="CF684"/>
      <c r="CG684"/>
      <c r="CH684"/>
      <c r="CI684"/>
      <c r="CJ684"/>
      <c r="CK684"/>
      <c r="CL684"/>
      <c r="CM684"/>
      <c r="CN684"/>
      <c r="CO684"/>
      <c r="CP684"/>
      <c r="CQ684"/>
      <c r="CR684"/>
      <c r="CS684"/>
      <c r="CT684"/>
      <c r="CU684"/>
      <c r="CV684"/>
      <c r="CW684"/>
      <c r="CX684"/>
      <c r="CY684"/>
    </row>
    <row r="685" spans="50:103" ht="20.100000000000001" customHeight="1" x14ac:dyDescent="0.25">
      <c r="AX685"/>
      <c r="AY685"/>
      <c r="AZ685"/>
      <c r="BA685"/>
      <c r="BB685"/>
      <c r="BC685"/>
      <c r="BD685"/>
      <c r="BE685"/>
      <c r="BF685"/>
      <c r="BG685"/>
      <c r="BH685"/>
      <c r="BI685"/>
      <c r="BJ685"/>
      <c r="BK685"/>
      <c r="BL685"/>
      <c r="BM685"/>
      <c r="BN685"/>
      <c r="BO685"/>
      <c r="BP685"/>
      <c r="BQ685"/>
      <c r="BR685"/>
      <c r="BY685"/>
      <c r="BZ685"/>
      <c r="CA685"/>
      <c r="CB685"/>
      <c r="CC685"/>
      <c r="CD685"/>
      <c r="CE685"/>
      <c r="CF685"/>
      <c r="CG685"/>
      <c r="CH685"/>
      <c r="CI685"/>
      <c r="CJ685"/>
      <c r="CK685"/>
      <c r="CL685"/>
      <c r="CM685"/>
      <c r="CN685"/>
      <c r="CO685"/>
      <c r="CP685"/>
      <c r="CQ685"/>
      <c r="CR685"/>
      <c r="CS685"/>
      <c r="CT685"/>
      <c r="CU685"/>
      <c r="CV685"/>
      <c r="CW685"/>
      <c r="CX685"/>
      <c r="CY685"/>
    </row>
    <row r="686" spans="50:103" ht="20.100000000000001" customHeight="1" x14ac:dyDescent="0.25">
      <c r="AX686"/>
      <c r="AY686"/>
      <c r="AZ686"/>
      <c r="BA686"/>
      <c r="BB686"/>
      <c r="BC686"/>
      <c r="BD686"/>
      <c r="BE686"/>
      <c r="BF686"/>
      <c r="BG686"/>
      <c r="BH686"/>
      <c r="BI686"/>
      <c r="BJ686"/>
      <c r="BK686"/>
      <c r="BL686"/>
      <c r="BM686"/>
      <c r="BN686"/>
      <c r="BO686"/>
      <c r="BP686"/>
      <c r="BQ686"/>
      <c r="BR686"/>
      <c r="BY686"/>
      <c r="BZ686"/>
      <c r="CA686"/>
      <c r="CB686"/>
      <c r="CC686"/>
      <c r="CD686"/>
      <c r="CE686"/>
      <c r="CF686"/>
      <c r="CG686"/>
      <c r="CH686"/>
      <c r="CI686"/>
      <c r="CJ686"/>
      <c r="CK686"/>
      <c r="CL686"/>
      <c r="CM686"/>
      <c r="CN686"/>
      <c r="CO686"/>
      <c r="CP686"/>
      <c r="CQ686"/>
      <c r="CR686"/>
      <c r="CS686"/>
      <c r="CT686"/>
      <c r="CU686"/>
      <c r="CV686"/>
      <c r="CW686"/>
      <c r="CX686"/>
      <c r="CY686"/>
    </row>
    <row r="687" spans="50:103" ht="20.100000000000001" customHeight="1" x14ac:dyDescent="0.25">
      <c r="AX687"/>
      <c r="AY687"/>
      <c r="AZ687"/>
      <c r="BA687"/>
      <c r="BB687"/>
      <c r="BC687"/>
      <c r="BD687"/>
      <c r="BE687"/>
      <c r="BF687"/>
      <c r="BG687"/>
      <c r="BH687"/>
      <c r="BI687"/>
      <c r="BJ687"/>
      <c r="BK687"/>
      <c r="BL687"/>
      <c r="BM687"/>
      <c r="BN687"/>
      <c r="BO687"/>
      <c r="BP687"/>
      <c r="BQ687"/>
      <c r="BR687"/>
      <c r="BY687"/>
      <c r="BZ687"/>
      <c r="CA687"/>
      <c r="CB687"/>
      <c r="CC687"/>
      <c r="CD687"/>
      <c r="CE687"/>
      <c r="CF687"/>
      <c r="CG687"/>
      <c r="CH687"/>
      <c r="CI687"/>
      <c r="CJ687"/>
      <c r="CK687"/>
      <c r="CL687"/>
      <c r="CM687"/>
      <c r="CN687"/>
      <c r="CO687"/>
      <c r="CP687"/>
      <c r="CQ687"/>
      <c r="CR687"/>
      <c r="CS687"/>
      <c r="CT687"/>
      <c r="CU687"/>
      <c r="CV687"/>
      <c r="CW687"/>
      <c r="CX687"/>
      <c r="CY687"/>
    </row>
    <row r="688" spans="50:103" ht="20.100000000000001" customHeight="1" x14ac:dyDescent="0.25">
      <c r="AX688"/>
      <c r="AY688"/>
      <c r="AZ688"/>
      <c r="BA688"/>
      <c r="BB688"/>
      <c r="BC688"/>
      <c r="BD688"/>
      <c r="BE688"/>
      <c r="BF688"/>
      <c r="BG688"/>
      <c r="BH688"/>
      <c r="BI688"/>
      <c r="BJ688"/>
      <c r="BK688"/>
      <c r="BL688"/>
      <c r="BM688"/>
      <c r="BN688"/>
      <c r="BO688"/>
      <c r="BP688"/>
      <c r="BQ688"/>
      <c r="BR688"/>
      <c r="BY688"/>
      <c r="BZ688"/>
      <c r="CA688"/>
      <c r="CB688"/>
      <c r="CC688"/>
      <c r="CD688"/>
      <c r="CE688"/>
      <c r="CF688"/>
      <c r="CG688"/>
      <c r="CH688"/>
      <c r="CI688"/>
      <c r="CJ688"/>
      <c r="CK688"/>
      <c r="CL688"/>
      <c r="CM688"/>
      <c r="CN688"/>
      <c r="CO688"/>
      <c r="CP688"/>
      <c r="CQ688"/>
      <c r="CR688"/>
      <c r="CS688"/>
      <c r="CT688"/>
      <c r="CU688"/>
      <c r="CV688"/>
      <c r="CW688"/>
      <c r="CX688"/>
      <c r="CY688"/>
    </row>
    <row r="689" spans="50:103" ht="20.100000000000001" customHeight="1" x14ac:dyDescent="0.25">
      <c r="AX689"/>
      <c r="AY689"/>
      <c r="AZ689"/>
      <c r="BA689"/>
      <c r="BB689"/>
      <c r="BC689"/>
      <c r="BD689"/>
      <c r="BE689"/>
      <c r="BF689"/>
      <c r="BG689"/>
      <c r="BH689"/>
      <c r="BI689"/>
      <c r="BJ689"/>
      <c r="BK689"/>
      <c r="BL689"/>
      <c r="BM689"/>
      <c r="BN689"/>
      <c r="BO689"/>
      <c r="BP689"/>
      <c r="BQ689"/>
      <c r="BR689"/>
      <c r="BY689"/>
      <c r="BZ689"/>
      <c r="CA689"/>
      <c r="CB689"/>
      <c r="CC689"/>
      <c r="CD689"/>
      <c r="CE689"/>
      <c r="CF689"/>
      <c r="CG689"/>
      <c r="CH689"/>
      <c r="CI689"/>
      <c r="CJ689"/>
      <c r="CK689"/>
      <c r="CL689"/>
      <c r="CM689"/>
      <c r="CN689"/>
      <c r="CO689"/>
      <c r="CP689"/>
      <c r="CQ689"/>
      <c r="CR689"/>
      <c r="CS689"/>
      <c r="CT689"/>
      <c r="CU689"/>
      <c r="CV689"/>
      <c r="CW689"/>
      <c r="CX689"/>
      <c r="CY689"/>
    </row>
    <row r="690" spans="50:103" ht="20.100000000000001" customHeight="1" x14ac:dyDescent="0.25">
      <c r="AX690"/>
      <c r="AY690"/>
      <c r="AZ690"/>
      <c r="BA690"/>
      <c r="BB690"/>
      <c r="BC690"/>
      <c r="BD690"/>
      <c r="BE690"/>
      <c r="BF690"/>
      <c r="BG690"/>
      <c r="BH690"/>
      <c r="BI690"/>
      <c r="BJ690"/>
      <c r="BK690"/>
      <c r="BL690"/>
      <c r="BM690"/>
      <c r="BN690"/>
      <c r="BO690"/>
      <c r="BP690"/>
      <c r="BQ690"/>
      <c r="BR690"/>
      <c r="BY690"/>
      <c r="BZ690"/>
      <c r="CA690"/>
      <c r="CB690"/>
      <c r="CC690"/>
      <c r="CD690"/>
      <c r="CE690"/>
      <c r="CF690"/>
      <c r="CG690"/>
      <c r="CH690"/>
      <c r="CI690"/>
      <c r="CJ690"/>
      <c r="CK690"/>
      <c r="CL690"/>
      <c r="CM690"/>
      <c r="CN690"/>
      <c r="CO690"/>
      <c r="CP690"/>
      <c r="CQ690"/>
      <c r="CR690"/>
      <c r="CS690"/>
      <c r="CT690"/>
      <c r="CU690"/>
      <c r="CV690"/>
      <c r="CW690"/>
      <c r="CX690"/>
      <c r="CY690"/>
    </row>
    <row r="691" spans="50:103" ht="20.100000000000001" customHeight="1" x14ac:dyDescent="0.25">
      <c r="AX691"/>
      <c r="AY691"/>
      <c r="AZ691"/>
      <c r="BA691"/>
      <c r="BB691"/>
      <c r="BC691"/>
      <c r="BD691"/>
      <c r="BE691"/>
      <c r="BF691"/>
      <c r="BG691"/>
      <c r="BH691"/>
      <c r="BI691"/>
      <c r="BJ691"/>
      <c r="BK691"/>
      <c r="BL691"/>
      <c r="BM691"/>
      <c r="BN691"/>
      <c r="BO691"/>
      <c r="BP691"/>
      <c r="BQ691"/>
      <c r="BR691"/>
      <c r="BY691"/>
      <c r="BZ691"/>
      <c r="CA691"/>
      <c r="CB691"/>
      <c r="CC691"/>
      <c r="CD691"/>
      <c r="CE691"/>
      <c r="CF691"/>
      <c r="CG691"/>
      <c r="CH691"/>
      <c r="CI691"/>
      <c r="CJ691"/>
      <c r="CK691"/>
      <c r="CL691"/>
      <c r="CM691"/>
      <c r="CN691"/>
      <c r="CO691"/>
      <c r="CP691"/>
      <c r="CQ691"/>
      <c r="CR691"/>
      <c r="CS691"/>
      <c r="CT691"/>
      <c r="CU691"/>
      <c r="CV691"/>
      <c r="CW691"/>
      <c r="CX691"/>
      <c r="CY691"/>
    </row>
    <row r="692" spans="50:103" ht="20.100000000000001" customHeight="1" x14ac:dyDescent="0.25">
      <c r="AX692"/>
      <c r="AY692"/>
      <c r="AZ692"/>
      <c r="BA692"/>
      <c r="BB692"/>
      <c r="BC692"/>
      <c r="BD692"/>
      <c r="BE692"/>
      <c r="BF692"/>
      <c r="BG692"/>
      <c r="BH692"/>
      <c r="BI692"/>
      <c r="BJ692"/>
      <c r="BK692"/>
      <c r="BL692"/>
      <c r="BM692"/>
      <c r="BN692"/>
      <c r="BO692"/>
      <c r="BP692"/>
      <c r="BQ692"/>
      <c r="BR692"/>
      <c r="BY692"/>
      <c r="BZ692"/>
      <c r="CA692"/>
      <c r="CB692"/>
      <c r="CC692"/>
      <c r="CD692"/>
      <c r="CE692"/>
      <c r="CF692"/>
      <c r="CG692"/>
      <c r="CH692"/>
      <c r="CI692"/>
      <c r="CJ692"/>
      <c r="CK692"/>
      <c r="CL692"/>
      <c r="CM692"/>
      <c r="CN692"/>
      <c r="CO692"/>
      <c r="CP692"/>
      <c r="CQ692"/>
      <c r="CR692"/>
      <c r="CS692"/>
      <c r="CT692"/>
      <c r="CU692"/>
      <c r="CV692"/>
      <c r="CW692"/>
      <c r="CX692"/>
      <c r="CY692"/>
    </row>
    <row r="693" spans="50:103" ht="20.100000000000001" customHeight="1" x14ac:dyDescent="0.25">
      <c r="AX693"/>
      <c r="AY693"/>
      <c r="AZ693"/>
      <c r="BA693"/>
      <c r="BB693"/>
      <c r="BC693"/>
      <c r="BD693"/>
      <c r="BE693"/>
      <c r="BF693"/>
      <c r="BG693"/>
      <c r="BH693"/>
      <c r="BI693"/>
      <c r="BJ693"/>
      <c r="BK693"/>
      <c r="BL693"/>
      <c r="BM693"/>
      <c r="BN693"/>
      <c r="BO693"/>
      <c r="BP693"/>
      <c r="BQ693"/>
      <c r="BR693"/>
      <c r="BY693"/>
      <c r="BZ693"/>
      <c r="CA693"/>
      <c r="CB693"/>
      <c r="CC693"/>
      <c r="CD693"/>
      <c r="CE693"/>
      <c r="CF693"/>
      <c r="CG693"/>
      <c r="CH693"/>
      <c r="CI693"/>
      <c r="CJ693"/>
      <c r="CK693"/>
      <c r="CL693"/>
      <c r="CM693"/>
      <c r="CN693"/>
      <c r="CO693"/>
      <c r="CP693"/>
      <c r="CQ693"/>
      <c r="CR693"/>
      <c r="CS693"/>
      <c r="CT693"/>
      <c r="CU693"/>
      <c r="CV693"/>
      <c r="CW693"/>
      <c r="CX693"/>
      <c r="CY693"/>
    </row>
    <row r="694" spans="50:103" ht="20.100000000000001" customHeight="1" x14ac:dyDescent="0.25">
      <c r="AX694"/>
      <c r="AY694"/>
      <c r="AZ694"/>
      <c r="BA694"/>
      <c r="BB694"/>
      <c r="BC694"/>
      <c r="BD694"/>
      <c r="BE694"/>
      <c r="BF694"/>
      <c r="BG694"/>
      <c r="BH694"/>
      <c r="BI694"/>
      <c r="BJ694"/>
      <c r="BK694"/>
      <c r="BL694"/>
      <c r="BM694"/>
      <c r="BN694"/>
      <c r="BO694"/>
      <c r="BP694"/>
      <c r="BQ694"/>
      <c r="BR694"/>
      <c r="BY694"/>
      <c r="BZ694"/>
      <c r="CA694"/>
      <c r="CB694"/>
      <c r="CC694"/>
      <c r="CD694"/>
      <c r="CE694"/>
      <c r="CF694"/>
      <c r="CG694"/>
      <c r="CH694"/>
      <c r="CI694"/>
      <c r="CJ694"/>
      <c r="CK694"/>
      <c r="CL694"/>
      <c r="CM694"/>
      <c r="CN694"/>
      <c r="CO694"/>
      <c r="CP694"/>
      <c r="CQ694"/>
      <c r="CR694"/>
      <c r="CS694"/>
      <c r="CT694"/>
      <c r="CU694"/>
      <c r="CV694"/>
      <c r="CW694"/>
      <c r="CX694"/>
      <c r="CY694"/>
    </row>
    <row r="695" spans="50:103" ht="20.100000000000001" customHeight="1" x14ac:dyDescent="0.25">
      <c r="AX695"/>
      <c r="AY695"/>
      <c r="AZ695"/>
      <c r="BA695"/>
      <c r="BB695"/>
      <c r="BC695"/>
      <c r="BD695"/>
      <c r="BE695"/>
      <c r="BF695"/>
      <c r="BG695"/>
      <c r="BH695"/>
      <c r="BI695"/>
      <c r="BJ695"/>
      <c r="BK695"/>
      <c r="BL695"/>
      <c r="BM695"/>
      <c r="BN695"/>
      <c r="BO695"/>
      <c r="BP695"/>
      <c r="BQ695"/>
      <c r="BR695"/>
      <c r="BY695"/>
      <c r="BZ695"/>
      <c r="CA695"/>
      <c r="CB695"/>
      <c r="CC695"/>
      <c r="CD695"/>
      <c r="CE695"/>
      <c r="CF695"/>
      <c r="CG695"/>
      <c r="CH695"/>
      <c r="CI695"/>
      <c r="CJ695"/>
      <c r="CK695"/>
      <c r="CL695"/>
      <c r="CM695"/>
      <c r="CN695"/>
      <c r="CO695"/>
      <c r="CP695"/>
      <c r="CQ695"/>
      <c r="CR695"/>
      <c r="CS695"/>
      <c r="CT695"/>
      <c r="CU695"/>
      <c r="CV695"/>
      <c r="CW695"/>
      <c r="CX695"/>
      <c r="CY695"/>
    </row>
    <row r="696" spans="50:103" ht="20.100000000000001" customHeight="1" x14ac:dyDescent="0.25">
      <c r="AX696"/>
      <c r="AY696"/>
      <c r="AZ696"/>
      <c r="BA696"/>
      <c r="BB696"/>
      <c r="BC696"/>
      <c r="BD696"/>
      <c r="BE696"/>
      <c r="BF696"/>
      <c r="BG696"/>
      <c r="BH696"/>
      <c r="BI696"/>
      <c r="BJ696"/>
      <c r="BK696"/>
      <c r="BL696"/>
      <c r="BM696"/>
      <c r="BN696"/>
      <c r="BO696"/>
      <c r="BP696"/>
      <c r="BQ696"/>
      <c r="BR696"/>
      <c r="BY696"/>
      <c r="BZ696"/>
      <c r="CA696"/>
      <c r="CB696"/>
      <c r="CC696"/>
      <c r="CD696"/>
      <c r="CE696"/>
      <c r="CF696"/>
      <c r="CG696"/>
      <c r="CH696"/>
      <c r="CI696"/>
      <c r="CJ696"/>
      <c r="CK696"/>
      <c r="CL696"/>
      <c r="CM696"/>
      <c r="CN696"/>
      <c r="CO696"/>
      <c r="CP696"/>
      <c r="CQ696"/>
      <c r="CR696"/>
      <c r="CS696"/>
      <c r="CT696"/>
      <c r="CU696"/>
      <c r="CV696"/>
      <c r="CW696"/>
      <c r="CX696"/>
      <c r="CY696"/>
    </row>
    <row r="697" spans="50:103" ht="20.100000000000001" customHeight="1" x14ac:dyDescent="0.25">
      <c r="AX697"/>
      <c r="AY697"/>
      <c r="AZ697"/>
      <c r="BA697"/>
      <c r="BB697"/>
      <c r="BC697"/>
      <c r="BD697"/>
      <c r="BE697"/>
      <c r="BF697"/>
      <c r="BG697"/>
      <c r="BH697"/>
      <c r="BI697"/>
      <c r="BJ697"/>
      <c r="BK697"/>
      <c r="BL697"/>
      <c r="BM697"/>
      <c r="BN697"/>
      <c r="BO697"/>
      <c r="BP697"/>
      <c r="BQ697"/>
      <c r="BR697"/>
      <c r="BY697"/>
      <c r="BZ697"/>
      <c r="CA697"/>
      <c r="CB697"/>
      <c r="CC697"/>
      <c r="CD697"/>
      <c r="CE697"/>
      <c r="CF697"/>
      <c r="CG697"/>
      <c r="CH697"/>
      <c r="CI697"/>
      <c r="CJ697"/>
      <c r="CK697"/>
      <c r="CL697"/>
      <c r="CM697"/>
      <c r="CN697"/>
      <c r="CO697"/>
      <c r="CP697"/>
      <c r="CQ697"/>
      <c r="CR697"/>
      <c r="CS697"/>
      <c r="CT697"/>
      <c r="CU697"/>
      <c r="CV697"/>
      <c r="CW697"/>
      <c r="CX697"/>
      <c r="CY697"/>
    </row>
    <row r="698" spans="50:103" ht="20.100000000000001" customHeight="1" x14ac:dyDescent="0.25">
      <c r="AX698"/>
      <c r="AY698"/>
      <c r="AZ698"/>
      <c r="BA698"/>
      <c r="BB698"/>
      <c r="BC698"/>
      <c r="BD698"/>
      <c r="BE698"/>
      <c r="BF698"/>
      <c r="BG698"/>
      <c r="BH698"/>
      <c r="BI698"/>
      <c r="BJ698"/>
      <c r="BK698"/>
      <c r="BL698"/>
      <c r="BM698"/>
      <c r="BN698"/>
      <c r="BO698"/>
      <c r="BP698"/>
      <c r="BQ698"/>
      <c r="BR698"/>
      <c r="BY698"/>
      <c r="BZ698"/>
      <c r="CA698"/>
      <c r="CB698"/>
      <c r="CC698"/>
      <c r="CD698"/>
      <c r="CE698"/>
      <c r="CF698"/>
      <c r="CG698"/>
      <c r="CH698"/>
      <c r="CI698"/>
      <c r="CJ698"/>
      <c r="CK698"/>
      <c r="CL698"/>
      <c r="CM698"/>
      <c r="CN698"/>
      <c r="CO698"/>
      <c r="CP698"/>
      <c r="CQ698"/>
      <c r="CR698"/>
      <c r="CS698"/>
      <c r="CT698"/>
      <c r="CU698"/>
      <c r="CV698"/>
      <c r="CW698"/>
      <c r="CX698"/>
      <c r="CY698"/>
    </row>
    <row r="699" spans="50:103" ht="20.100000000000001" customHeight="1" x14ac:dyDescent="0.25">
      <c r="AX699"/>
      <c r="AY699"/>
      <c r="AZ699"/>
      <c r="BA699"/>
      <c r="BB699"/>
      <c r="BC699"/>
      <c r="BD699"/>
      <c r="BE699"/>
      <c r="BF699"/>
      <c r="BG699"/>
      <c r="BH699"/>
      <c r="BI699"/>
      <c r="BJ699"/>
      <c r="BK699"/>
      <c r="BL699"/>
      <c r="BM699"/>
      <c r="BN699"/>
      <c r="BO699"/>
      <c r="BP699"/>
      <c r="BQ699"/>
      <c r="BR699"/>
      <c r="BY699"/>
      <c r="BZ699"/>
      <c r="CA699"/>
      <c r="CB699"/>
      <c r="CC699"/>
      <c r="CD699"/>
      <c r="CE699"/>
      <c r="CF699"/>
      <c r="CG699"/>
      <c r="CH699"/>
      <c r="CI699"/>
      <c r="CJ699"/>
      <c r="CK699"/>
      <c r="CL699"/>
      <c r="CM699"/>
      <c r="CN699"/>
      <c r="CO699"/>
      <c r="CP699"/>
      <c r="CQ699"/>
      <c r="CR699"/>
      <c r="CS699"/>
      <c r="CT699"/>
      <c r="CU699"/>
      <c r="CV699"/>
      <c r="CW699"/>
      <c r="CX699"/>
      <c r="CY699"/>
    </row>
    <row r="700" spans="50:103" ht="20.100000000000001" customHeight="1" x14ac:dyDescent="0.25">
      <c r="AX700"/>
      <c r="AY700"/>
      <c r="AZ700"/>
      <c r="BA700"/>
      <c r="BB700"/>
      <c r="BC700"/>
      <c r="BD700"/>
      <c r="BE700"/>
      <c r="BF700"/>
      <c r="BG700"/>
      <c r="BH700"/>
      <c r="BI700"/>
      <c r="BJ700"/>
      <c r="BK700"/>
      <c r="BL700"/>
      <c r="BM700"/>
      <c r="BN700"/>
      <c r="BO700"/>
      <c r="BP700"/>
      <c r="BQ700"/>
      <c r="BR700"/>
      <c r="BY700"/>
      <c r="BZ700"/>
      <c r="CA700"/>
      <c r="CB700"/>
      <c r="CC700"/>
      <c r="CD700"/>
      <c r="CE700"/>
      <c r="CF700"/>
      <c r="CG700"/>
      <c r="CH700"/>
      <c r="CI700"/>
      <c r="CJ700"/>
      <c r="CK700"/>
      <c r="CL700"/>
      <c r="CM700"/>
      <c r="CN700"/>
      <c r="CO700"/>
      <c r="CP700"/>
      <c r="CQ700"/>
      <c r="CR700"/>
      <c r="CS700"/>
      <c r="CT700"/>
      <c r="CU700"/>
      <c r="CV700"/>
      <c r="CW700"/>
      <c r="CX700"/>
      <c r="CY700"/>
    </row>
    <row r="701" spans="50:103" ht="20.100000000000001" customHeight="1" x14ac:dyDescent="0.25">
      <c r="AX701"/>
      <c r="AY701"/>
      <c r="AZ701"/>
      <c r="BA701"/>
      <c r="BB701"/>
      <c r="BC701"/>
      <c r="BD701"/>
      <c r="BE701"/>
      <c r="BF701"/>
      <c r="BG701"/>
      <c r="BH701"/>
      <c r="BI701"/>
      <c r="BJ701"/>
      <c r="BK701"/>
      <c r="BL701"/>
      <c r="BM701"/>
      <c r="BN701"/>
      <c r="BO701"/>
      <c r="BP701"/>
      <c r="BQ701"/>
      <c r="BR701"/>
      <c r="BY701"/>
      <c r="BZ701"/>
      <c r="CA701"/>
      <c r="CB701"/>
      <c r="CC701"/>
      <c r="CD701"/>
      <c r="CE701"/>
      <c r="CF701"/>
      <c r="CG701"/>
      <c r="CH701"/>
      <c r="CI701"/>
      <c r="CJ701"/>
      <c r="CK701"/>
      <c r="CL701"/>
      <c r="CM701"/>
      <c r="CN701"/>
      <c r="CO701"/>
      <c r="CP701"/>
      <c r="CQ701"/>
      <c r="CR701"/>
      <c r="CS701"/>
      <c r="CT701"/>
      <c r="CU701"/>
      <c r="CV701"/>
      <c r="CW701"/>
      <c r="CX701"/>
      <c r="CY701"/>
    </row>
    <row r="702" spans="50:103" ht="20.100000000000001" customHeight="1" x14ac:dyDescent="0.25">
      <c r="AX702"/>
      <c r="AY702"/>
      <c r="AZ702"/>
      <c r="BA702"/>
      <c r="BB702"/>
      <c r="BC702"/>
      <c r="BD702"/>
      <c r="BE702"/>
      <c r="BF702"/>
      <c r="BG702"/>
      <c r="BH702"/>
      <c r="BI702"/>
      <c r="BJ702"/>
      <c r="BK702"/>
      <c r="BL702"/>
      <c r="BM702"/>
      <c r="BN702"/>
      <c r="BO702"/>
      <c r="BP702"/>
      <c r="BQ702"/>
      <c r="BR702"/>
      <c r="BY702"/>
      <c r="BZ702"/>
      <c r="CA702"/>
      <c r="CB702"/>
      <c r="CC702"/>
      <c r="CD702"/>
      <c r="CE702"/>
      <c r="CF702"/>
      <c r="CG702"/>
      <c r="CH702"/>
      <c r="CI702"/>
      <c r="CJ702"/>
      <c r="CK702"/>
      <c r="CL702"/>
      <c r="CM702"/>
      <c r="CN702"/>
      <c r="CO702"/>
      <c r="CP702"/>
      <c r="CQ702"/>
      <c r="CR702"/>
      <c r="CS702"/>
      <c r="CT702"/>
      <c r="CU702"/>
      <c r="CV702"/>
      <c r="CW702"/>
      <c r="CX702"/>
      <c r="CY702"/>
    </row>
    <row r="703" spans="50:103" ht="20.100000000000001" customHeight="1" x14ac:dyDescent="0.25">
      <c r="AX703"/>
      <c r="AY703"/>
      <c r="AZ703"/>
      <c r="BA703"/>
      <c r="BB703"/>
      <c r="BC703"/>
      <c r="BD703"/>
      <c r="BE703"/>
      <c r="BF703"/>
      <c r="BG703"/>
      <c r="BH703"/>
      <c r="BI703"/>
      <c r="BJ703"/>
      <c r="BK703"/>
      <c r="BL703"/>
      <c r="BM703"/>
      <c r="BN703"/>
      <c r="BO703"/>
      <c r="BP703"/>
      <c r="BQ703"/>
      <c r="BR703"/>
      <c r="BY703"/>
      <c r="BZ703"/>
      <c r="CA703"/>
      <c r="CB703"/>
      <c r="CC703"/>
      <c r="CD703"/>
      <c r="CE703"/>
      <c r="CF703"/>
      <c r="CG703"/>
      <c r="CH703"/>
      <c r="CI703"/>
      <c r="CJ703"/>
      <c r="CK703"/>
      <c r="CL703"/>
      <c r="CM703"/>
      <c r="CN703"/>
      <c r="CO703"/>
      <c r="CP703"/>
      <c r="CQ703"/>
      <c r="CR703"/>
      <c r="CS703"/>
      <c r="CT703"/>
      <c r="CU703"/>
      <c r="CV703"/>
      <c r="CW703"/>
      <c r="CX703"/>
      <c r="CY703"/>
    </row>
    <row r="704" spans="50:103" ht="20.100000000000001" customHeight="1" x14ac:dyDescent="0.25">
      <c r="AX704"/>
      <c r="AY704"/>
      <c r="AZ704"/>
      <c r="BA704"/>
      <c r="BB704"/>
      <c r="BC704"/>
      <c r="BD704"/>
      <c r="BE704"/>
      <c r="BF704"/>
      <c r="BG704"/>
      <c r="BH704"/>
      <c r="BI704"/>
      <c r="BJ704"/>
      <c r="BK704"/>
      <c r="BL704"/>
      <c r="BM704"/>
      <c r="BN704"/>
      <c r="BO704"/>
      <c r="BP704"/>
      <c r="BQ704"/>
      <c r="BR704"/>
      <c r="BY704"/>
      <c r="BZ704"/>
      <c r="CA704"/>
      <c r="CB704"/>
      <c r="CC704"/>
      <c r="CD704"/>
      <c r="CE704"/>
      <c r="CF704"/>
      <c r="CG704"/>
      <c r="CH704"/>
      <c r="CI704"/>
      <c r="CJ704"/>
      <c r="CK704"/>
      <c r="CL704"/>
      <c r="CM704"/>
      <c r="CN704"/>
      <c r="CO704"/>
      <c r="CP704"/>
      <c r="CQ704"/>
      <c r="CR704"/>
      <c r="CS704"/>
      <c r="CT704"/>
      <c r="CU704"/>
      <c r="CV704"/>
      <c r="CW704"/>
      <c r="CX704"/>
      <c r="CY704"/>
    </row>
    <row r="705" spans="50:103" ht="20.100000000000001" customHeight="1" x14ac:dyDescent="0.25">
      <c r="AX705"/>
      <c r="AY705"/>
      <c r="AZ705"/>
      <c r="BA705"/>
      <c r="BB705"/>
      <c r="BC705"/>
      <c r="BD705"/>
      <c r="BE705"/>
      <c r="BF705"/>
      <c r="BG705"/>
      <c r="BH705"/>
      <c r="BI705"/>
      <c r="BJ705"/>
      <c r="BK705"/>
      <c r="BL705"/>
      <c r="BM705"/>
      <c r="BN705"/>
      <c r="BO705"/>
      <c r="BP705"/>
      <c r="BQ705"/>
      <c r="BR705"/>
      <c r="BY705"/>
      <c r="BZ705"/>
      <c r="CA705"/>
      <c r="CB705"/>
      <c r="CC705"/>
      <c r="CD705"/>
      <c r="CE705"/>
      <c r="CF705"/>
      <c r="CG705"/>
      <c r="CH705"/>
      <c r="CI705"/>
      <c r="CJ705"/>
      <c r="CK705"/>
      <c r="CL705"/>
      <c r="CM705"/>
      <c r="CN705"/>
      <c r="CO705"/>
      <c r="CP705"/>
      <c r="CQ705"/>
      <c r="CR705"/>
      <c r="CS705"/>
      <c r="CT705"/>
      <c r="CU705"/>
      <c r="CV705"/>
      <c r="CW705"/>
      <c r="CX705"/>
      <c r="CY705"/>
    </row>
    <row r="706" spans="50:103" ht="20.100000000000001" customHeight="1" x14ac:dyDescent="0.25">
      <c r="AX706"/>
      <c r="AY706"/>
      <c r="AZ706"/>
      <c r="BA706"/>
      <c r="BB706"/>
      <c r="BC706"/>
      <c r="BD706"/>
      <c r="BE706"/>
      <c r="BF706"/>
      <c r="BG706"/>
      <c r="BH706"/>
      <c r="BI706"/>
      <c r="BJ706"/>
      <c r="BK706"/>
      <c r="BL706"/>
      <c r="BM706"/>
      <c r="BN706"/>
      <c r="BO706"/>
      <c r="BP706"/>
      <c r="BQ706"/>
      <c r="BR706"/>
      <c r="BY706"/>
      <c r="BZ706"/>
      <c r="CA706"/>
      <c r="CB706"/>
      <c r="CC706"/>
      <c r="CD706"/>
      <c r="CE706"/>
      <c r="CF706"/>
      <c r="CG706"/>
      <c r="CH706"/>
      <c r="CI706"/>
      <c r="CJ706"/>
      <c r="CK706"/>
      <c r="CL706"/>
      <c r="CM706"/>
      <c r="CN706"/>
      <c r="CO706"/>
      <c r="CP706"/>
      <c r="CQ706"/>
      <c r="CR706"/>
      <c r="CS706"/>
      <c r="CT706"/>
      <c r="CU706"/>
      <c r="CV706"/>
      <c r="CW706"/>
      <c r="CX706"/>
      <c r="CY706"/>
    </row>
    <row r="707" spans="50:103" ht="20.100000000000001" customHeight="1" x14ac:dyDescent="0.25">
      <c r="AX707"/>
      <c r="AY707"/>
      <c r="AZ707"/>
      <c r="BA707"/>
      <c r="BB707"/>
      <c r="BC707"/>
      <c r="BD707"/>
      <c r="BE707"/>
      <c r="BF707"/>
      <c r="BG707"/>
      <c r="BH707"/>
      <c r="BI707"/>
      <c r="BJ707"/>
      <c r="BK707"/>
      <c r="BL707"/>
      <c r="BM707"/>
      <c r="BN707"/>
      <c r="BO707"/>
      <c r="BP707"/>
      <c r="BQ707"/>
      <c r="BR707"/>
      <c r="BY707"/>
      <c r="BZ707"/>
      <c r="CA707"/>
      <c r="CB707"/>
      <c r="CC707"/>
      <c r="CD707"/>
      <c r="CE707"/>
      <c r="CF707"/>
      <c r="CG707"/>
      <c r="CH707"/>
      <c r="CI707"/>
      <c r="CJ707"/>
      <c r="CK707"/>
      <c r="CL707"/>
      <c r="CM707"/>
      <c r="CN707"/>
      <c r="CO707"/>
      <c r="CP707"/>
      <c r="CQ707"/>
      <c r="CR707"/>
      <c r="CS707"/>
      <c r="CT707"/>
      <c r="CU707"/>
      <c r="CV707"/>
      <c r="CW707"/>
      <c r="CX707"/>
      <c r="CY707"/>
    </row>
    <row r="708" spans="50:103" ht="20.100000000000001" customHeight="1" x14ac:dyDescent="0.25">
      <c r="AX708"/>
      <c r="AY708"/>
      <c r="AZ708"/>
      <c r="BA708"/>
      <c r="BB708"/>
      <c r="BC708"/>
      <c r="BD708"/>
      <c r="BE708"/>
      <c r="BF708"/>
      <c r="BG708"/>
      <c r="BH708"/>
      <c r="BI708"/>
      <c r="BJ708"/>
      <c r="BK708"/>
      <c r="BL708"/>
      <c r="BM708"/>
      <c r="BN708"/>
      <c r="BO708"/>
      <c r="BP708"/>
      <c r="BQ708"/>
      <c r="BR708"/>
      <c r="BY708"/>
      <c r="BZ708"/>
      <c r="CA708"/>
      <c r="CB708"/>
      <c r="CC708"/>
      <c r="CD708"/>
      <c r="CE708"/>
      <c r="CF708"/>
      <c r="CG708"/>
      <c r="CH708"/>
      <c r="CI708"/>
      <c r="CJ708"/>
      <c r="CK708"/>
      <c r="CL708"/>
      <c r="CM708"/>
      <c r="CN708"/>
      <c r="CO708"/>
      <c r="CP708"/>
      <c r="CQ708"/>
      <c r="CR708"/>
      <c r="CS708"/>
      <c r="CT708"/>
      <c r="CU708"/>
      <c r="CV708"/>
      <c r="CW708"/>
      <c r="CX708"/>
      <c r="CY708"/>
    </row>
    <row r="709" spans="50:103" ht="20.100000000000001" customHeight="1" x14ac:dyDescent="0.25">
      <c r="AX709"/>
      <c r="AY709"/>
      <c r="AZ709"/>
      <c r="BA709"/>
      <c r="BB709"/>
      <c r="BC709"/>
      <c r="BD709"/>
      <c r="BE709"/>
      <c r="BF709"/>
      <c r="BG709"/>
      <c r="BH709"/>
      <c r="BI709"/>
      <c r="BJ709"/>
      <c r="BK709"/>
      <c r="BL709"/>
      <c r="BM709"/>
      <c r="BN709"/>
      <c r="BO709"/>
      <c r="BP709"/>
      <c r="BQ709"/>
      <c r="BR709"/>
      <c r="BY709"/>
      <c r="BZ709"/>
      <c r="CA709"/>
      <c r="CB709"/>
      <c r="CC709"/>
      <c r="CD709"/>
      <c r="CE709"/>
      <c r="CF709"/>
      <c r="CG709"/>
      <c r="CH709"/>
      <c r="CI709"/>
      <c r="CJ709"/>
      <c r="CK709"/>
      <c r="CL709"/>
      <c r="CM709"/>
      <c r="CN709"/>
      <c r="CO709"/>
      <c r="CP709"/>
      <c r="CQ709"/>
      <c r="CR709"/>
      <c r="CS709"/>
      <c r="CT709"/>
      <c r="CU709"/>
      <c r="CV709"/>
      <c r="CW709"/>
      <c r="CX709"/>
      <c r="CY709"/>
    </row>
    <row r="710" spans="50:103" ht="20.100000000000001" customHeight="1" x14ac:dyDescent="0.25">
      <c r="AX710"/>
      <c r="AY710"/>
      <c r="AZ710"/>
      <c r="BA710"/>
      <c r="BB710"/>
      <c r="BC710"/>
      <c r="BD710"/>
      <c r="BE710"/>
      <c r="BF710"/>
      <c r="BG710"/>
      <c r="BH710"/>
      <c r="BI710"/>
      <c r="BJ710"/>
      <c r="BK710"/>
      <c r="BL710"/>
      <c r="BM710"/>
      <c r="BN710"/>
      <c r="BO710"/>
      <c r="BP710"/>
      <c r="BQ710"/>
      <c r="BR710"/>
      <c r="BY710"/>
      <c r="BZ710"/>
      <c r="CA710"/>
      <c r="CB710"/>
      <c r="CC710"/>
      <c r="CD710"/>
      <c r="CE710"/>
      <c r="CF710"/>
      <c r="CG710"/>
      <c r="CH710"/>
      <c r="CI710"/>
      <c r="CJ710"/>
      <c r="CK710"/>
      <c r="CL710"/>
      <c r="CM710"/>
      <c r="CN710"/>
      <c r="CO710"/>
      <c r="CP710"/>
      <c r="CQ710"/>
      <c r="CR710"/>
      <c r="CS710"/>
      <c r="CT710"/>
      <c r="CU710"/>
      <c r="CV710"/>
      <c r="CW710"/>
      <c r="CX710"/>
      <c r="CY710"/>
    </row>
    <row r="711" spans="50:103" ht="20.100000000000001" customHeight="1" x14ac:dyDescent="0.25">
      <c r="AX711"/>
      <c r="AY711"/>
      <c r="AZ711"/>
      <c r="BA711"/>
      <c r="BB711"/>
      <c r="BC711"/>
      <c r="BD711"/>
      <c r="BE711"/>
      <c r="BF711"/>
      <c r="BG711"/>
      <c r="BH711"/>
      <c r="BI711"/>
      <c r="BJ711"/>
      <c r="BK711"/>
      <c r="BL711"/>
      <c r="BM711"/>
      <c r="BN711"/>
      <c r="BO711"/>
      <c r="BP711"/>
      <c r="BQ711"/>
      <c r="BR711"/>
      <c r="BY711"/>
      <c r="BZ711"/>
      <c r="CA711"/>
      <c r="CB711"/>
      <c r="CC711"/>
      <c r="CD711"/>
      <c r="CE711"/>
      <c r="CF711"/>
      <c r="CG711"/>
      <c r="CH711"/>
      <c r="CI711"/>
      <c r="CJ711"/>
      <c r="CK711"/>
      <c r="CL711"/>
      <c r="CM711"/>
      <c r="CN711"/>
      <c r="CO711"/>
      <c r="CP711"/>
      <c r="CQ711"/>
      <c r="CR711"/>
      <c r="CS711"/>
      <c r="CT711"/>
      <c r="CU711"/>
      <c r="CV711"/>
      <c r="CW711"/>
      <c r="CX711"/>
      <c r="CY711"/>
    </row>
    <row r="712" spans="50:103" ht="20.100000000000001" customHeight="1" x14ac:dyDescent="0.25">
      <c r="AX712"/>
      <c r="AY712"/>
      <c r="AZ712"/>
      <c r="BA712"/>
      <c r="BB712"/>
      <c r="BC712"/>
      <c r="BD712"/>
      <c r="BE712"/>
      <c r="BF712"/>
      <c r="BG712"/>
      <c r="BH712"/>
      <c r="BI712"/>
      <c r="BJ712"/>
      <c r="BK712"/>
      <c r="BL712"/>
      <c r="BM712"/>
      <c r="BN712"/>
      <c r="BO712"/>
      <c r="BP712"/>
      <c r="BQ712"/>
      <c r="BR712"/>
      <c r="BY712"/>
      <c r="BZ712"/>
      <c r="CA712"/>
      <c r="CB712"/>
      <c r="CC712"/>
      <c r="CD712"/>
      <c r="CE712"/>
      <c r="CF712"/>
      <c r="CG712"/>
      <c r="CH712"/>
      <c r="CI712"/>
      <c r="CJ712"/>
      <c r="CK712"/>
      <c r="CL712"/>
      <c r="CM712"/>
      <c r="CN712"/>
      <c r="CO712"/>
      <c r="CP712"/>
      <c r="CQ712"/>
      <c r="CR712"/>
      <c r="CS712"/>
      <c r="CT712"/>
      <c r="CU712"/>
      <c r="CV712"/>
      <c r="CW712"/>
      <c r="CX712"/>
      <c r="CY712"/>
    </row>
    <row r="713" spans="50:103" ht="20.100000000000001" customHeight="1" x14ac:dyDescent="0.25">
      <c r="AX713"/>
      <c r="AY713"/>
      <c r="AZ713"/>
      <c r="BA713"/>
      <c r="BB713"/>
      <c r="BC713"/>
      <c r="BD713"/>
      <c r="BE713"/>
      <c r="BF713"/>
      <c r="BG713"/>
      <c r="BH713"/>
      <c r="BI713"/>
      <c r="BJ713"/>
      <c r="BK713"/>
      <c r="BL713"/>
      <c r="BM713"/>
      <c r="BN713"/>
      <c r="BO713"/>
      <c r="BP713"/>
      <c r="BQ713"/>
      <c r="BR713"/>
      <c r="BY713"/>
      <c r="BZ713"/>
      <c r="CA713"/>
      <c r="CB713"/>
      <c r="CC713"/>
      <c r="CD713"/>
      <c r="CE713"/>
      <c r="CF713"/>
      <c r="CG713"/>
      <c r="CH713"/>
      <c r="CI713"/>
      <c r="CJ713"/>
      <c r="CK713"/>
      <c r="CL713"/>
      <c r="CM713"/>
      <c r="CN713"/>
      <c r="CO713"/>
      <c r="CP713"/>
      <c r="CQ713"/>
      <c r="CR713"/>
      <c r="CS713"/>
      <c r="CT713"/>
      <c r="CU713"/>
      <c r="CV713"/>
      <c r="CW713"/>
      <c r="CX713"/>
      <c r="CY713"/>
    </row>
    <row r="714" spans="50:103" ht="20.100000000000001" customHeight="1" x14ac:dyDescent="0.25">
      <c r="AX714"/>
      <c r="AY714"/>
      <c r="AZ714"/>
      <c r="BA714"/>
      <c r="BB714"/>
      <c r="BC714"/>
      <c r="BD714"/>
      <c r="BE714"/>
      <c r="BF714"/>
      <c r="BG714"/>
      <c r="BH714"/>
      <c r="BI714"/>
      <c r="BJ714"/>
      <c r="BK714"/>
      <c r="BL714"/>
      <c r="BM714"/>
      <c r="BN714"/>
      <c r="BO714"/>
      <c r="BP714"/>
      <c r="BQ714"/>
      <c r="BR714"/>
      <c r="BY714"/>
      <c r="BZ714"/>
      <c r="CA714"/>
      <c r="CB714"/>
      <c r="CC714"/>
      <c r="CD714"/>
      <c r="CE714"/>
      <c r="CF714"/>
      <c r="CG714"/>
      <c r="CH714"/>
      <c r="CI714"/>
      <c r="CJ714"/>
      <c r="CK714"/>
      <c r="CL714"/>
      <c r="CM714"/>
      <c r="CN714"/>
      <c r="CO714"/>
      <c r="CP714"/>
      <c r="CQ714"/>
      <c r="CR714"/>
      <c r="CS714"/>
      <c r="CT714"/>
      <c r="CU714"/>
      <c r="CV714"/>
      <c r="CW714"/>
      <c r="CX714"/>
      <c r="CY714"/>
    </row>
    <row r="715" spans="50:103" ht="20.100000000000001" customHeight="1" x14ac:dyDescent="0.25">
      <c r="AX715"/>
      <c r="AY715"/>
      <c r="AZ715"/>
      <c r="BA715"/>
      <c r="BB715"/>
      <c r="BC715"/>
      <c r="BD715"/>
      <c r="BE715"/>
      <c r="BF715"/>
      <c r="BG715"/>
      <c r="BH715"/>
      <c r="BI715"/>
      <c r="BJ715"/>
      <c r="BK715"/>
      <c r="BL715"/>
      <c r="BM715"/>
      <c r="BN715"/>
      <c r="BO715"/>
      <c r="BP715"/>
      <c r="BQ715"/>
      <c r="BR715"/>
      <c r="BY715"/>
      <c r="BZ715"/>
      <c r="CA715"/>
      <c r="CB715"/>
      <c r="CC715"/>
      <c r="CD715"/>
      <c r="CE715"/>
      <c r="CF715"/>
      <c r="CG715"/>
      <c r="CH715"/>
      <c r="CI715"/>
      <c r="CJ715"/>
      <c r="CK715"/>
      <c r="CL715"/>
      <c r="CM715"/>
      <c r="CN715"/>
      <c r="CO715"/>
      <c r="CP715"/>
      <c r="CQ715"/>
      <c r="CR715"/>
      <c r="CS715"/>
      <c r="CT715"/>
      <c r="CU715"/>
      <c r="CV715"/>
      <c r="CW715"/>
      <c r="CX715"/>
      <c r="CY715"/>
    </row>
    <row r="716" spans="50:103" ht="20.100000000000001" customHeight="1" x14ac:dyDescent="0.25">
      <c r="AX716"/>
      <c r="AY716"/>
      <c r="AZ716"/>
      <c r="BA716"/>
      <c r="BB716"/>
      <c r="BC716"/>
      <c r="BD716"/>
      <c r="BE716"/>
      <c r="BF716"/>
      <c r="BG716"/>
      <c r="BH716"/>
      <c r="BI716"/>
      <c r="BJ716"/>
      <c r="BK716"/>
      <c r="BL716"/>
      <c r="BM716"/>
      <c r="BN716"/>
      <c r="BO716"/>
      <c r="BP716"/>
      <c r="BQ716"/>
      <c r="BR716"/>
      <c r="BY716"/>
      <c r="BZ716"/>
      <c r="CA716"/>
      <c r="CB716"/>
      <c r="CC716"/>
      <c r="CD716"/>
      <c r="CE716"/>
      <c r="CF716"/>
      <c r="CG716"/>
      <c r="CH716"/>
      <c r="CI716"/>
      <c r="CJ716"/>
      <c r="CK716"/>
      <c r="CL716"/>
      <c r="CM716"/>
      <c r="CN716"/>
      <c r="CO716"/>
      <c r="CP716"/>
      <c r="CQ716"/>
      <c r="CR716"/>
      <c r="CS716"/>
      <c r="CT716"/>
      <c r="CU716"/>
      <c r="CV716"/>
      <c r="CW716"/>
      <c r="CX716"/>
      <c r="CY716"/>
    </row>
    <row r="717" spans="50:103" ht="20.100000000000001" customHeight="1" x14ac:dyDescent="0.25">
      <c r="AX717"/>
      <c r="AY717"/>
      <c r="AZ717"/>
      <c r="BA717"/>
      <c r="BB717"/>
      <c r="BC717"/>
      <c r="BD717"/>
      <c r="BE717"/>
      <c r="BF717"/>
      <c r="BG717"/>
      <c r="BH717"/>
      <c r="BI717"/>
      <c r="BJ717"/>
      <c r="BK717"/>
      <c r="BL717"/>
      <c r="BM717"/>
      <c r="BN717"/>
      <c r="BO717"/>
      <c r="BP717"/>
      <c r="BQ717"/>
      <c r="BR717"/>
      <c r="BY717"/>
      <c r="BZ717"/>
      <c r="CA717"/>
      <c r="CB717"/>
      <c r="CC717"/>
      <c r="CD717"/>
      <c r="CE717"/>
      <c r="CF717"/>
      <c r="CG717"/>
      <c r="CH717"/>
      <c r="CI717"/>
      <c r="CJ717"/>
      <c r="CK717"/>
      <c r="CL717"/>
      <c r="CM717"/>
      <c r="CN717"/>
      <c r="CO717"/>
      <c r="CP717"/>
      <c r="CQ717"/>
      <c r="CR717"/>
      <c r="CS717"/>
      <c r="CT717"/>
      <c r="CU717"/>
      <c r="CV717"/>
      <c r="CW717"/>
      <c r="CX717"/>
      <c r="CY717"/>
    </row>
    <row r="718" spans="50:103" ht="20.100000000000001" customHeight="1" x14ac:dyDescent="0.25">
      <c r="AX718"/>
      <c r="AY718"/>
      <c r="AZ718"/>
      <c r="BA718"/>
      <c r="BB718"/>
      <c r="BC718"/>
      <c r="BD718"/>
      <c r="BE718"/>
      <c r="BF718"/>
      <c r="BG718"/>
      <c r="BH718"/>
      <c r="BI718"/>
      <c r="BJ718"/>
      <c r="BK718"/>
      <c r="BL718"/>
      <c r="BM718"/>
      <c r="BN718"/>
      <c r="BO718"/>
      <c r="BP718"/>
      <c r="BQ718"/>
      <c r="BR718"/>
      <c r="BY718"/>
      <c r="BZ718"/>
      <c r="CA718"/>
      <c r="CB718"/>
      <c r="CC718"/>
      <c r="CD718"/>
      <c r="CE718"/>
      <c r="CF718"/>
      <c r="CG718"/>
      <c r="CH718"/>
      <c r="CI718"/>
      <c r="CJ718"/>
      <c r="CK718"/>
      <c r="CL718"/>
      <c r="CM718"/>
      <c r="CN718"/>
      <c r="CO718"/>
      <c r="CP718"/>
      <c r="CQ718"/>
      <c r="CR718"/>
      <c r="CS718"/>
      <c r="CT718"/>
      <c r="CU718"/>
      <c r="CV718"/>
      <c r="CW718"/>
      <c r="CX718"/>
      <c r="CY718"/>
    </row>
    <row r="719" spans="50:103" ht="20.100000000000001" customHeight="1" x14ac:dyDescent="0.25">
      <c r="AX719"/>
      <c r="AY719"/>
      <c r="AZ719"/>
      <c r="BA719"/>
      <c r="BB719"/>
      <c r="BC719"/>
      <c r="BD719"/>
      <c r="BE719"/>
      <c r="BF719"/>
      <c r="BG719"/>
      <c r="BH719"/>
      <c r="BI719"/>
      <c r="BJ719"/>
      <c r="BK719"/>
      <c r="BL719"/>
      <c r="BM719"/>
      <c r="BN719"/>
      <c r="BO719"/>
      <c r="BP719"/>
      <c r="BQ719"/>
      <c r="BR719"/>
      <c r="BY719"/>
      <c r="BZ719"/>
      <c r="CA719"/>
      <c r="CB719"/>
      <c r="CC719"/>
      <c r="CD719"/>
      <c r="CE719"/>
      <c r="CF719"/>
      <c r="CG719"/>
      <c r="CH719"/>
      <c r="CI719"/>
      <c r="CJ719"/>
      <c r="CK719"/>
      <c r="CL719"/>
      <c r="CM719"/>
      <c r="CN719"/>
      <c r="CO719"/>
      <c r="CP719"/>
      <c r="CQ719"/>
      <c r="CR719"/>
      <c r="CS719"/>
      <c r="CT719"/>
      <c r="CU719"/>
      <c r="CV719"/>
      <c r="CW719"/>
      <c r="CX719"/>
      <c r="CY719"/>
    </row>
    <row r="720" spans="50:103" ht="20.100000000000001" customHeight="1" x14ac:dyDescent="0.25">
      <c r="AX720"/>
      <c r="AY720"/>
      <c r="AZ720"/>
      <c r="BA720"/>
      <c r="BB720"/>
      <c r="BC720"/>
      <c r="BD720"/>
      <c r="BE720"/>
      <c r="BF720"/>
      <c r="BG720"/>
      <c r="BH720"/>
      <c r="BI720"/>
      <c r="BJ720"/>
      <c r="BK720"/>
      <c r="BL720"/>
      <c r="BM720"/>
      <c r="BN720"/>
      <c r="BO720"/>
      <c r="BP720"/>
      <c r="BQ720"/>
      <c r="BR720"/>
      <c r="BY720"/>
      <c r="BZ720"/>
      <c r="CA720"/>
      <c r="CB720"/>
      <c r="CC720"/>
      <c r="CD720"/>
      <c r="CE720"/>
      <c r="CF720"/>
      <c r="CG720"/>
      <c r="CH720"/>
      <c r="CI720"/>
      <c r="CJ720"/>
      <c r="CK720"/>
      <c r="CL720"/>
      <c r="CM720"/>
      <c r="CN720"/>
      <c r="CO720"/>
      <c r="CP720"/>
      <c r="CQ720"/>
      <c r="CR720"/>
      <c r="CS720"/>
      <c r="CT720"/>
      <c r="CU720"/>
      <c r="CV720"/>
      <c r="CW720"/>
      <c r="CX720"/>
      <c r="CY720"/>
    </row>
    <row r="721" spans="50:103" ht="20.100000000000001" customHeight="1" x14ac:dyDescent="0.25">
      <c r="AX721"/>
      <c r="AY721"/>
      <c r="AZ721"/>
      <c r="BA721"/>
      <c r="BB721"/>
      <c r="BC721"/>
      <c r="BD721"/>
      <c r="BE721"/>
      <c r="BF721"/>
      <c r="BG721"/>
      <c r="BH721"/>
      <c r="BI721"/>
      <c r="BJ721"/>
      <c r="BK721"/>
      <c r="BL721"/>
      <c r="BM721"/>
      <c r="BN721"/>
      <c r="BO721"/>
      <c r="BP721"/>
      <c r="BQ721"/>
      <c r="BR721"/>
      <c r="BY721"/>
      <c r="BZ721"/>
      <c r="CA721"/>
      <c r="CB721"/>
      <c r="CC721"/>
      <c r="CD721"/>
      <c r="CE721"/>
      <c r="CF721"/>
      <c r="CG721"/>
      <c r="CH721"/>
      <c r="CI721"/>
      <c r="CJ721"/>
      <c r="CK721"/>
      <c r="CL721"/>
      <c r="CM721"/>
      <c r="CN721"/>
      <c r="CO721"/>
      <c r="CP721"/>
      <c r="CQ721"/>
      <c r="CR721"/>
      <c r="CS721"/>
      <c r="CT721"/>
      <c r="CU721"/>
      <c r="CV721"/>
      <c r="CW721"/>
      <c r="CX721"/>
      <c r="CY721"/>
    </row>
    <row r="722" spans="50:103" ht="20.100000000000001" customHeight="1" x14ac:dyDescent="0.25">
      <c r="AX722"/>
      <c r="AY722"/>
      <c r="AZ722"/>
      <c r="BA722"/>
      <c r="BB722"/>
      <c r="BC722"/>
      <c r="BD722"/>
      <c r="BE722"/>
      <c r="BF722"/>
      <c r="BG722"/>
      <c r="BH722"/>
      <c r="BI722"/>
      <c r="BJ722"/>
      <c r="BK722"/>
      <c r="BL722"/>
      <c r="BM722"/>
      <c r="BN722"/>
      <c r="BO722"/>
      <c r="BP722"/>
      <c r="BQ722"/>
      <c r="BR722"/>
      <c r="BY722"/>
      <c r="BZ722"/>
      <c r="CA722"/>
      <c r="CB722"/>
      <c r="CC722"/>
      <c r="CD722"/>
      <c r="CE722"/>
      <c r="CF722"/>
      <c r="CG722"/>
      <c r="CH722"/>
      <c r="CI722"/>
      <c r="CJ722"/>
      <c r="CK722"/>
      <c r="CL722"/>
      <c r="CM722"/>
      <c r="CN722"/>
      <c r="CO722"/>
      <c r="CP722"/>
      <c r="CQ722"/>
      <c r="CR722"/>
      <c r="CS722"/>
      <c r="CT722"/>
      <c r="CU722"/>
      <c r="CV722"/>
      <c r="CW722"/>
      <c r="CX722"/>
      <c r="CY722"/>
    </row>
    <row r="723" spans="50:103" ht="20.100000000000001" customHeight="1" x14ac:dyDescent="0.25">
      <c r="AX723"/>
      <c r="AY723"/>
      <c r="AZ723"/>
      <c r="BA723"/>
      <c r="BB723"/>
      <c r="BC723"/>
      <c r="BD723"/>
      <c r="BE723"/>
      <c r="BF723"/>
      <c r="BG723"/>
      <c r="BH723"/>
      <c r="BI723"/>
      <c r="BJ723"/>
      <c r="BK723"/>
      <c r="BL723"/>
      <c r="BM723"/>
      <c r="BN723"/>
      <c r="BO723"/>
      <c r="BP723"/>
      <c r="BQ723"/>
      <c r="BR723"/>
      <c r="BY723"/>
      <c r="BZ723"/>
      <c r="CA723"/>
      <c r="CB723"/>
      <c r="CC723"/>
      <c r="CD723"/>
      <c r="CE723"/>
      <c r="CF723"/>
      <c r="CG723"/>
      <c r="CH723"/>
      <c r="CI723"/>
      <c r="CJ723"/>
      <c r="CK723"/>
      <c r="CL723"/>
      <c r="CM723"/>
      <c r="CN723"/>
      <c r="CO723"/>
      <c r="CP723"/>
      <c r="CQ723"/>
      <c r="CR723"/>
      <c r="CS723"/>
      <c r="CT723"/>
      <c r="CU723"/>
      <c r="CV723"/>
      <c r="CW723"/>
      <c r="CX723"/>
      <c r="CY723"/>
    </row>
    <row r="724" spans="50:103" ht="20.100000000000001" customHeight="1" x14ac:dyDescent="0.25">
      <c r="AX724"/>
      <c r="AY724"/>
      <c r="AZ724"/>
      <c r="BA724"/>
      <c r="BB724"/>
      <c r="BC724"/>
      <c r="BD724"/>
      <c r="BE724"/>
      <c r="BF724"/>
      <c r="BG724"/>
      <c r="BH724"/>
      <c r="BI724"/>
      <c r="BJ724"/>
      <c r="BK724"/>
      <c r="BL724"/>
      <c r="BM724"/>
      <c r="BN724"/>
      <c r="BO724"/>
      <c r="BP724"/>
      <c r="BQ724"/>
      <c r="BR724"/>
      <c r="BY724"/>
      <c r="BZ724"/>
      <c r="CA724"/>
      <c r="CB724"/>
      <c r="CC724"/>
      <c r="CD724"/>
      <c r="CE724"/>
      <c r="CF724"/>
      <c r="CG724"/>
      <c r="CH724"/>
      <c r="CI724"/>
      <c r="CJ724"/>
      <c r="CK724"/>
      <c r="CL724"/>
      <c r="CM724"/>
      <c r="CN724"/>
      <c r="CO724"/>
      <c r="CP724"/>
      <c r="CQ724"/>
      <c r="CR724"/>
      <c r="CS724"/>
      <c r="CT724"/>
      <c r="CU724"/>
      <c r="CV724"/>
      <c r="CW724"/>
      <c r="CX724"/>
      <c r="CY724"/>
    </row>
    <row r="725" spans="50:103" ht="20.100000000000001" customHeight="1" x14ac:dyDescent="0.25">
      <c r="AX725"/>
      <c r="AY725"/>
      <c r="AZ725"/>
      <c r="BA725"/>
      <c r="BB725"/>
      <c r="BC725"/>
      <c r="BD725"/>
      <c r="BE725"/>
      <c r="BF725"/>
      <c r="BG725"/>
      <c r="BH725"/>
      <c r="BI725"/>
      <c r="BJ725"/>
      <c r="BK725"/>
      <c r="BL725"/>
      <c r="BM725"/>
      <c r="BN725"/>
      <c r="BO725"/>
      <c r="BP725"/>
      <c r="BQ725"/>
      <c r="BR725"/>
      <c r="BY725"/>
      <c r="BZ725"/>
      <c r="CA725"/>
      <c r="CB725"/>
      <c r="CC725"/>
      <c r="CD725"/>
      <c r="CE725"/>
      <c r="CF725"/>
      <c r="CG725"/>
      <c r="CH725"/>
      <c r="CI725"/>
      <c r="CJ725"/>
      <c r="CK725"/>
      <c r="CL725"/>
      <c r="CM725"/>
      <c r="CN725"/>
      <c r="CO725"/>
      <c r="CP725"/>
      <c r="CQ725"/>
      <c r="CR725"/>
      <c r="CS725"/>
      <c r="CT725"/>
      <c r="CU725"/>
      <c r="CV725"/>
      <c r="CW725"/>
      <c r="CX725"/>
      <c r="CY725"/>
    </row>
    <row r="726" spans="50:103" ht="20.100000000000001" customHeight="1" x14ac:dyDescent="0.25">
      <c r="AX726"/>
      <c r="AY726"/>
      <c r="AZ726"/>
      <c r="BA726"/>
      <c r="BB726"/>
      <c r="BC726"/>
      <c r="BD726"/>
      <c r="BE726"/>
      <c r="BF726"/>
      <c r="BG726"/>
      <c r="BH726"/>
      <c r="BI726"/>
      <c r="BJ726"/>
      <c r="BK726"/>
      <c r="BL726"/>
      <c r="BM726"/>
      <c r="BN726"/>
      <c r="BO726"/>
      <c r="BP726"/>
      <c r="BQ726"/>
      <c r="BR726"/>
      <c r="BY726"/>
      <c r="BZ726"/>
      <c r="CA726"/>
      <c r="CB726"/>
      <c r="CC726"/>
      <c r="CD726"/>
      <c r="CE726"/>
      <c r="CF726"/>
      <c r="CG726"/>
      <c r="CH726"/>
      <c r="CI726"/>
      <c r="CJ726"/>
      <c r="CK726"/>
      <c r="CL726"/>
      <c r="CM726"/>
      <c r="CN726"/>
      <c r="CO726"/>
      <c r="CP726"/>
      <c r="CQ726"/>
      <c r="CR726"/>
      <c r="CS726"/>
      <c r="CT726"/>
      <c r="CU726"/>
      <c r="CV726"/>
      <c r="CW726"/>
      <c r="CX726"/>
      <c r="CY726"/>
    </row>
    <row r="727" spans="50:103" ht="20.100000000000001" customHeight="1" x14ac:dyDescent="0.25">
      <c r="AX727"/>
      <c r="AY727"/>
      <c r="AZ727"/>
      <c r="BA727"/>
      <c r="BB727"/>
      <c r="BC727"/>
      <c r="BD727"/>
      <c r="BE727"/>
      <c r="BF727"/>
      <c r="BG727"/>
      <c r="BH727"/>
      <c r="BI727"/>
      <c r="BJ727"/>
      <c r="BK727"/>
      <c r="BL727"/>
      <c r="BM727"/>
      <c r="BN727"/>
      <c r="BO727"/>
      <c r="BP727"/>
      <c r="BQ727"/>
      <c r="BR727"/>
      <c r="BY727"/>
      <c r="BZ727"/>
      <c r="CA727"/>
      <c r="CB727"/>
      <c r="CC727"/>
      <c r="CD727"/>
      <c r="CE727"/>
      <c r="CF727"/>
      <c r="CG727"/>
      <c r="CH727"/>
      <c r="CI727"/>
      <c r="CJ727"/>
      <c r="CK727"/>
      <c r="CL727"/>
      <c r="CM727"/>
      <c r="CN727"/>
      <c r="CO727"/>
      <c r="CP727"/>
      <c r="CQ727"/>
      <c r="CR727"/>
      <c r="CS727"/>
      <c r="CT727"/>
      <c r="CU727"/>
      <c r="CV727"/>
      <c r="CW727"/>
      <c r="CX727"/>
      <c r="CY727"/>
    </row>
    <row r="728" spans="50:103" ht="20.100000000000001" customHeight="1" x14ac:dyDescent="0.25">
      <c r="AX728"/>
      <c r="AY728"/>
      <c r="AZ728"/>
      <c r="BA728"/>
      <c r="BB728"/>
      <c r="BC728"/>
      <c r="BD728"/>
      <c r="BE728"/>
      <c r="BF728"/>
      <c r="BG728"/>
      <c r="BH728"/>
      <c r="BI728"/>
      <c r="BJ728"/>
      <c r="BK728"/>
      <c r="BL728"/>
      <c r="BM728"/>
      <c r="BN728"/>
      <c r="BO728"/>
      <c r="BP728"/>
      <c r="BQ728"/>
      <c r="BR728"/>
      <c r="BY728"/>
      <c r="BZ728"/>
      <c r="CA728"/>
      <c r="CB728"/>
      <c r="CC728"/>
      <c r="CD728"/>
      <c r="CE728"/>
      <c r="CF728"/>
      <c r="CG728"/>
      <c r="CH728"/>
      <c r="CI728"/>
      <c r="CJ728"/>
      <c r="CK728"/>
      <c r="CL728"/>
      <c r="CM728"/>
      <c r="CN728"/>
      <c r="CO728"/>
      <c r="CP728"/>
      <c r="CQ728"/>
      <c r="CR728"/>
      <c r="CS728"/>
      <c r="CT728"/>
      <c r="CU728"/>
      <c r="CV728"/>
      <c r="CW728"/>
      <c r="CX728"/>
      <c r="CY728"/>
    </row>
    <row r="729" spans="50:103" ht="20.100000000000001" customHeight="1" x14ac:dyDescent="0.25">
      <c r="AX729"/>
      <c r="AY729"/>
      <c r="AZ729"/>
      <c r="BA729"/>
      <c r="BB729"/>
      <c r="BC729"/>
      <c r="BD729"/>
      <c r="BE729"/>
      <c r="BF729"/>
      <c r="BG729"/>
      <c r="BH729"/>
      <c r="BI729"/>
      <c r="BJ729"/>
      <c r="BK729"/>
      <c r="BL729"/>
      <c r="BM729"/>
      <c r="BN729"/>
      <c r="BO729"/>
      <c r="BP729"/>
      <c r="BQ729"/>
      <c r="BR729"/>
      <c r="BY729"/>
      <c r="BZ729"/>
      <c r="CA729"/>
      <c r="CB729"/>
      <c r="CC729"/>
      <c r="CD729"/>
      <c r="CE729"/>
      <c r="CF729"/>
      <c r="CG729"/>
      <c r="CH729"/>
      <c r="CI729"/>
      <c r="CJ729"/>
      <c r="CK729"/>
      <c r="CL729"/>
      <c r="CM729"/>
      <c r="CN729"/>
      <c r="CO729"/>
      <c r="CP729"/>
      <c r="CQ729"/>
      <c r="CR729"/>
      <c r="CS729"/>
      <c r="CT729"/>
      <c r="CU729"/>
      <c r="CV729"/>
      <c r="CW729"/>
      <c r="CX729"/>
      <c r="CY729"/>
    </row>
    <row r="730" spans="50:103" ht="20.100000000000001" customHeight="1" x14ac:dyDescent="0.25">
      <c r="AX730"/>
      <c r="AY730"/>
      <c r="AZ730"/>
      <c r="BA730"/>
      <c r="BB730"/>
      <c r="BC730"/>
      <c r="BD730"/>
      <c r="BE730"/>
      <c r="BF730"/>
      <c r="BG730"/>
      <c r="BH730"/>
      <c r="BI730"/>
      <c r="BJ730"/>
      <c r="BK730"/>
      <c r="BL730"/>
      <c r="BM730"/>
      <c r="BN730"/>
      <c r="BO730"/>
      <c r="BP730"/>
      <c r="BQ730"/>
      <c r="BR730"/>
      <c r="BY730"/>
      <c r="BZ730"/>
      <c r="CA730"/>
      <c r="CB730"/>
      <c r="CC730"/>
      <c r="CD730"/>
      <c r="CE730"/>
      <c r="CF730"/>
      <c r="CG730"/>
      <c r="CH730"/>
      <c r="CI730"/>
      <c r="CJ730"/>
      <c r="CK730"/>
      <c r="CL730"/>
      <c r="CM730"/>
      <c r="CN730"/>
      <c r="CO730"/>
      <c r="CP730"/>
      <c r="CQ730"/>
      <c r="CR730"/>
      <c r="CS730"/>
      <c r="CT730"/>
      <c r="CU730"/>
      <c r="CV730"/>
      <c r="CW730"/>
      <c r="CX730"/>
      <c r="CY730"/>
    </row>
    <row r="731" spans="50:103" ht="20.100000000000001" customHeight="1" x14ac:dyDescent="0.25">
      <c r="AX731"/>
      <c r="AY731"/>
      <c r="AZ731"/>
      <c r="BA731"/>
      <c r="BB731"/>
      <c r="BC731"/>
      <c r="BD731"/>
      <c r="BE731"/>
      <c r="BF731"/>
      <c r="BG731"/>
      <c r="BH731"/>
      <c r="BI731"/>
      <c r="BJ731"/>
      <c r="BK731"/>
      <c r="BL731"/>
      <c r="BM731"/>
      <c r="BN731"/>
      <c r="BO731"/>
      <c r="BP731"/>
      <c r="BQ731"/>
      <c r="BR731"/>
      <c r="BY731"/>
      <c r="BZ731"/>
      <c r="CA731"/>
      <c r="CB731"/>
      <c r="CC731"/>
      <c r="CD731"/>
      <c r="CE731"/>
      <c r="CF731"/>
      <c r="CG731"/>
      <c r="CH731"/>
      <c r="CI731"/>
      <c r="CJ731"/>
      <c r="CK731"/>
      <c r="CL731"/>
      <c r="CM731"/>
      <c r="CN731"/>
      <c r="CO731"/>
      <c r="CP731"/>
      <c r="CQ731"/>
      <c r="CR731"/>
      <c r="CS731"/>
      <c r="CT731"/>
      <c r="CU731"/>
      <c r="CV731"/>
      <c r="CW731"/>
      <c r="CX731"/>
      <c r="CY731"/>
    </row>
    <row r="732" spans="50:103" ht="20.100000000000001" customHeight="1" x14ac:dyDescent="0.25">
      <c r="AX732"/>
      <c r="AY732"/>
      <c r="AZ732"/>
      <c r="BA732"/>
      <c r="BB732"/>
      <c r="BC732"/>
      <c r="BD732"/>
      <c r="BE732"/>
      <c r="BF732"/>
      <c r="BG732"/>
      <c r="BH732"/>
      <c r="BI732"/>
      <c r="BJ732"/>
      <c r="BK732"/>
      <c r="BL732"/>
      <c r="BM732"/>
      <c r="BN732"/>
      <c r="BO732"/>
      <c r="BP732"/>
      <c r="BQ732"/>
      <c r="BR732"/>
      <c r="BY732"/>
      <c r="BZ732"/>
      <c r="CA732"/>
      <c r="CB732"/>
      <c r="CC732"/>
      <c r="CD732"/>
      <c r="CE732"/>
      <c r="CF732"/>
      <c r="CG732"/>
      <c r="CH732"/>
      <c r="CI732"/>
      <c r="CJ732"/>
      <c r="CK732"/>
      <c r="CL732"/>
      <c r="CM732"/>
      <c r="CN732"/>
      <c r="CO732"/>
      <c r="CP732"/>
      <c r="CQ732"/>
      <c r="CR732"/>
      <c r="CS732"/>
      <c r="CT732"/>
      <c r="CU732"/>
      <c r="CV732"/>
      <c r="CW732"/>
      <c r="CX732"/>
      <c r="CY732"/>
    </row>
    <row r="733" spans="50:103" ht="20.100000000000001" customHeight="1" x14ac:dyDescent="0.25">
      <c r="AX733"/>
      <c r="AY733"/>
      <c r="AZ733"/>
      <c r="BA733"/>
      <c r="BB733"/>
      <c r="BC733"/>
      <c r="BD733"/>
      <c r="BE733"/>
      <c r="BF733"/>
      <c r="BG733"/>
      <c r="BH733"/>
      <c r="BI733"/>
      <c r="BJ733"/>
      <c r="BK733"/>
      <c r="BL733"/>
      <c r="BM733"/>
      <c r="BN733"/>
      <c r="BO733"/>
      <c r="BP733"/>
      <c r="BQ733"/>
      <c r="BR733"/>
      <c r="BY733"/>
      <c r="BZ733"/>
      <c r="CA733"/>
      <c r="CB733"/>
      <c r="CC733"/>
      <c r="CD733"/>
      <c r="CE733"/>
      <c r="CF733"/>
      <c r="CG733"/>
      <c r="CH733"/>
      <c r="CI733"/>
      <c r="CJ733"/>
      <c r="CK733"/>
      <c r="CL733"/>
      <c r="CM733"/>
      <c r="CN733"/>
      <c r="CO733"/>
      <c r="CP733"/>
      <c r="CQ733"/>
      <c r="CR733"/>
      <c r="CS733"/>
      <c r="CT733"/>
      <c r="CU733"/>
      <c r="CV733"/>
      <c r="CW733"/>
      <c r="CX733"/>
      <c r="CY733"/>
    </row>
    <row r="734" spans="50:103" ht="20.100000000000001" customHeight="1" x14ac:dyDescent="0.25">
      <c r="AX734"/>
      <c r="AY734"/>
      <c r="AZ734"/>
      <c r="BA734"/>
      <c r="BB734"/>
      <c r="BC734"/>
      <c r="BD734"/>
      <c r="BE734"/>
      <c r="BF734"/>
      <c r="BG734"/>
      <c r="BH734"/>
      <c r="BI734"/>
      <c r="BJ734"/>
      <c r="BK734"/>
      <c r="BL734"/>
      <c r="BM734"/>
      <c r="BN734"/>
      <c r="BO734"/>
      <c r="BP734"/>
      <c r="BQ734"/>
      <c r="BR734"/>
      <c r="BY734"/>
      <c r="BZ734"/>
      <c r="CA734"/>
      <c r="CB734"/>
      <c r="CC734"/>
      <c r="CD734"/>
      <c r="CE734"/>
      <c r="CF734"/>
      <c r="CG734"/>
      <c r="CH734"/>
      <c r="CI734"/>
      <c r="CJ734"/>
      <c r="CK734"/>
      <c r="CL734"/>
      <c r="CM734"/>
      <c r="CN734"/>
      <c r="CO734"/>
      <c r="CP734"/>
      <c r="CQ734"/>
      <c r="CR734"/>
      <c r="CS734"/>
      <c r="CT734"/>
      <c r="CU734"/>
      <c r="CV734"/>
      <c r="CW734"/>
      <c r="CX734"/>
      <c r="CY734"/>
    </row>
    <row r="735" spans="50:103" ht="20.100000000000001" customHeight="1" x14ac:dyDescent="0.25">
      <c r="AX735"/>
      <c r="AY735"/>
      <c r="AZ735"/>
      <c r="BA735"/>
      <c r="BB735"/>
      <c r="BC735"/>
      <c r="BD735"/>
      <c r="BE735"/>
      <c r="BF735"/>
      <c r="BG735"/>
      <c r="BH735"/>
      <c r="BI735"/>
      <c r="BJ735"/>
      <c r="BK735"/>
      <c r="BL735"/>
      <c r="BM735"/>
      <c r="BN735"/>
      <c r="BO735"/>
      <c r="BP735"/>
      <c r="BQ735"/>
      <c r="BR735"/>
      <c r="BY735"/>
      <c r="BZ735"/>
      <c r="CA735"/>
      <c r="CB735"/>
      <c r="CC735"/>
      <c r="CD735"/>
      <c r="CE735"/>
      <c r="CF735"/>
      <c r="CG735"/>
      <c r="CH735"/>
      <c r="CI735"/>
      <c r="CJ735"/>
      <c r="CK735"/>
      <c r="CL735"/>
      <c r="CM735"/>
      <c r="CN735"/>
      <c r="CO735"/>
      <c r="CP735"/>
      <c r="CQ735"/>
      <c r="CR735"/>
      <c r="CS735"/>
      <c r="CT735"/>
      <c r="CU735"/>
      <c r="CV735"/>
      <c r="CW735"/>
      <c r="CX735"/>
      <c r="CY735"/>
    </row>
    <row r="736" spans="50:103" ht="20.100000000000001" customHeight="1" x14ac:dyDescent="0.25">
      <c r="AX736"/>
      <c r="AY736"/>
      <c r="AZ736"/>
      <c r="BA736"/>
      <c r="BB736"/>
      <c r="BC736"/>
      <c r="BD736"/>
      <c r="BE736"/>
      <c r="BF736"/>
      <c r="BG736"/>
      <c r="BH736"/>
      <c r="BI736"/>
      <c r="BJ736"/>
      <c r="BK736"/>
      <c r="BL736"/>
      <c r="BM736"/>
      <c r="BN736"/>
      <c r="BO736"/>
      <c r="BP736"/>
      <c r="BQ736"/>
      <c r="BR736"/>
      <c r="BY736"/>
      <c r="BZ736"/>
      <c r="CA736"/>
      <c r="CB736"/>
      <c r="CC736"/>
      <c r="CD736"/>
      <c r="CE736"/>
      <c r="CF736"/>
      <c r="CG736"/>
      <c r="CH736"/>
      <c r="CI736"/>
      <c r="CJ736"/>
      <c r="CK736"/>
      <c r="CL736"/>
      <c r="CM736"/>
      <c r="CN736"/>
      <c r="CO736"/>
      <c r="CP736"/>
      <c r="CQ736"/>
      <c r="CR736"/>
      <c r="CS736"/>
      <c r="CT736"/>
      <c r="CU736"/>
      <c r="CV736"/>
      <c r="CW736"/>
      <c r="CX736"/>
      <c r="CY736"/>
    </row>
    <row r="737" spans="50:103" ht="20.100000000000001" customHeight="1" x14ac:dyDescent="0.25">
      <c r="AX737"/>
      <c r="AY737"/>
      <c r="AZ737"/>
      <c r="BA737"/>
      <c r="BB737"/>
      <c r="BC737"/>
      <c r="BD737"/>
      <c r="BE737"/>
      <c r="BF737"/>
      <c r="BG737"/>
      <c r="BH737"/>
      <c r="BI737"/>
      <c r="BJ737"/>
      <c r="BK737"/>
      <c r="BL737"/>
      <c r="BM737"/>
      <c r="BN737"/>
      <c r="BO737"/>
      <c r="BP737"/>
      <c r="BQ737"/>
      <c r="BR737"/>
      <c r="BY737"/>
      <c r="BZ737"/>
      <c r="CA737"/>
      <c r="CB737"/>
      <c r="CC737"/>
      <c r="CD737"/>
      <c r="CE737"/>
      <c r="CF737"/>
      <c r="CG737"/>
      <c r="CH737"/>
      <c r="CI737"/>
      <c r="CJ737"/>
      <c r="CK737"/>
      <c r="CL737"/>
      <c r="CM737"/>
      <c r="CN737"/>
      <c r="CO737"/>
      <c r="CP737"/>
      <c r="CQ737"/>
      <c r="CR737"/>
      <c r="CS737"/>
      <c r="CT737"/>
      <c r="CU737"/>
      <c r="CV737"/>
      <c r="CW737"/>
      <c r="CX737"/>
      <c r="CY737"/>
    </row>
    <row r="738" spans="50:103" ht="20.100000000000001" customHeight="1" x14ac:dyDescent="0.25">
      <c r="AX738"/>
      <c r="AY738"/>
      <c r="AZ738"/>
      <c r="BA738"/>
      <c r="BB738"/>
      <c r="BC738"/>
      <c r="BD738"/>
      <c r="BE738"/>
      <c r="BF738"/>
      <c r="BG738"/>
      <c r="BH738"/>
      <c r="BI738"/>
      <c r="BJ738"/>
      <c r="BK738"/>
      <c r="BL738"/>
      <c r="BM738"/>
      <c r="BN738"/>
      <c r="BO738"/>
      <c r="BP738"/>
      <c r="BQ738"/>
      <c r="BR738"/>
      <c r="BY738"/>
      <c r="BZ738"/>
      <c r="CA738"/>
      <c r="CB738"/>
      <c r="CC738"/>
      <c r="CD738"/>
      <c r="CE738"/>
      <c r="CF738"/>
      <c r="CG738"/>
      <c r="CH738"/>
      <c r="CI738"/>
      <c r="CJ738"/>
      <c r="CK738"/>
      <c r="CL738"/>
      <c r="CM738"/>
      <c r="CN738"/>
      <c r="CO738"/>
      <c r="CP738"/>
      <c r="CQ738"/>
      <c r="CR738"/>
      <c r="CS738"/>
      <c r="CT738"/>
      <c r="CU738"/>
      <c r="CV738"/>
      <c r="CW738"/>
      <c r="CX738"/>
      <c r="CY738"/>
    </row>
    <row r="739" spans="50:103" ht="20.100000000000001" customHeight="1" x14ac:dyDescent="0.25">
      <c r="AX739"/>
      <c r="AY739"/>
      <c r="AZ739"/>
      <c r="BA739"/>
      <c r="BB739"/>
      <c r="BC739"/>
      <c r="BD739"/>
      <c r="BE739"/>
      <c r="BF739"/>
      <c r="BG739"/>
      <c r="BH739"/>
      <c r="BI739"/>
      <c r="BJ739"/>
      <c r="BK739"/>
      <c r="BL739"/>
      <c r="BM739"/>
      <c r="BN739"/>
      <c r="BO739"/>
      <c r="BP739"/>
      <c r="BQ739"/>
      <c r="BR739"/>
      <c r="BY739"/>
      <c r="BZ739"/>
      <c r="CA739"/>
      <c r="CB739"/>
      <c r="CC739"/>
      <c r="CD739"/>
      <c r="CE739"/>
      <c r="CF739"/>
      <c r="CG739"/>
      <c r="CH739"/>
      <c r="CI739"/>
      <c r="CJ739"/>
      <c r="CK739"/>
      <c r="CL739"/>
      <c r="CM739"/>
      <c r="CN739"/>
      <c r="CO739"/>
      <c r="CP739"/>
      <c r="CQ739"/>
      <c r="CR739"/>
      <c r="CS739"/>
      <c r="CT739"/>
      <c r="CU739"/>
      <c r="CV739"/>
      <c r="CW739"/>
      <c r="CX739"/>
      <c r="CY739"/>
    </row>
    <row r="740" spans="50:103" ht="20.100000000000001" customHeight="1" x14ac:dyDescent="0.25">
      <c r="AX740"/>
      <c r="AY740"/>
      <c r="AZ740"/>
      <c r="BA740"/>
      <c r="BB740"/>
      <c r="BC740"/>
      <c r="BD740"/>
      <c r="BE740"/>
      <c r="BF740"/>
      <c r="BG740"/>
      <c r="BH740"/>
      <c r="BI740"/>
      <c r="BJ740"/>
      <c r="BK740"/>
      <c r="BL740"/>
      <c r="BM740"/>
      <c r="BN740"/>
      <c r="BO740"/>
      <c r="BP740"/>
      <c r="BQ740"/>
      <c r="BR740"/>
      <c r="BY740"/>
      <c r="BZ740"/>
      <c r="CA740"/>
      <c r="CB740"/>
      <c r="CC740"/>
      <c r="CD740"/>
      <c r="CE740"/>
      <c r="CF740"/>
      <c r="CG740"/>
      <c r="CH740"/>
      <c r="CI740"/>
      <c r="CJ740"/>
      <c r="CK740"/>
      <c r="CL740"/>
      <c r="CM740"/>
      <c r="CN740"/>
      <c r="CO740"/>
      <c r="CP740"/>
      <c r="CQ740"/>
      <c r="CR740"/>
      <c r="CS740"/>
      <c r="CT740"/>
      <c r="CU740"/>
      <c r="CV740"/>
      <c r="CW740"/>
      <c r="CX740"/>
      <c r="CY740"/>
    </row>
    <row r="741" spans="50:103" ht="20.100000000000001" customHeight="1" x14ac:dyDescent="0.25">
      <c r="AX741"/>
      <c r="AY741"/>
      <c r="AZ741"/>
      <c r="BA741"/>
      <c r="BB741"/>
      <c r="BC741"/>
      <c r="BD741"/>
      <c r="BE741"/>
      <c r="BF741"/>
      <c r="BG741"/>
      <c r="BH741"/>
      <c r="BI741"/>
      <c r="BJ741"/>
      <c r="BK741"/>
      <c r="BL741"/>
      <c r="BM741"/>
      <c r="BN741"/>
      <c r="BO741"/>
      <c r="BP741"/>
      <c r="BQ741"/>
      <c r="BR741"/>
      <c r="BY741"/>
      <c r="BZ741"/>
      <c r="CA741"/>
      <c r="CB741"/>
      <c r="CC741"/>
      <c r="CD741"/>
      <c r="CE741"/>
      <c r="CF741"/>
      <c r="CG741"/>
      <c r="CH741"/>
      <c r="CI741"/>
      <c r="CJ741"/>
      <c r="CK741"/>
      <c r="CL741"/>
      <c r="CM741"/>
      <c r="CN741"/>
      <c r="CO741"/>
      <c r="CP741"/>
      <c r="CQ741"/>
      <c r="CR741"/>
      <c r="CS741"/>
      <c r="CT741"/>
      <c r="CU741"/>
      <c r="CV741"/>
      <c r="CW741"/>
      <c r="CX741"/>
      <c r="CY741"/>
    </row>
    <row r="742" spans="50:103" ht="20.100000000000001" customHeight="1" x14ac:dyDescent="0.25">
      <c r="AX742"/>
      <c r="AY742"/>
      <c r="AZ742"/>
      <c r="BA742"/>
      <c r="BB742"/>
      <c r="BC742"/>
      <c r="BD742"/>
      <c r="BE742"/>
      <c r="BF742"/>
      <c r="BG742"/>
      <c r="BH742"/>
      <c r="BI742"/>
      <c r="BJ742"/>
      <c r="BK742"/>
      <c r="BL742"/>
      <c r="BM742"/>
      <c r="BN742"/>
      <c r="BO742"/>
      <c r="BP742"/>
      <c r="BQ742"/>
      <c r="BR742"/>
      <c r="BY742"/>
      <c r="BZ742"/>
      <c r="CA742"/>
      <c r="CB742"/>
      <c r="CC742"/>
      <c r="CD742"/>
      <c r="CE742"/>
      <c r="CF742"/>
      <c r="CG742"/>
      <c r="CH742"/>
      <c r="CI742"/>
      <c r="CJ742"/>
      <c r="CK742"/>
      <c r="CL742"/>
      <c r="CM742"/>
      <c r="CN742"/>
      <c r="CO742"/>
      <c r="CP742"/>
      <c r="CQ742"/>
      <c r="CR742"/>
      <c r="CS742"/>
      <c r="CT742"/>
      <c r="CU742"/>
      <c r="CV742"/>
      <c r="CW742"/>
      <c r="CX742"/>
      <c r="CY742"/>
    </row>
    <row r="743" spans="50:103" ht="20.100000000000001" customHeight="1" x14ac:dyDescent="0.25">
      <c r="AX743"/>
      <c r="AY743"/>
      <c r="AZ743"/>
      <c r="BA743"/>
      <c r="BB743"/>
      <c r="BC743"/>
      <c r="BD743"/>
      <c r="BE743"/>
      <c r="BF743"/>
      <c r="BG743"/>
      <c r="BH743"/>
      <c r="BI743"/>
      <c r="BJ743"/>
      <c r="BK743"/>
      <c r="BL743"/>
      <c r="BM743"/>
      <c r="BN743"/>
      <c r="BO743"/>
      <c r="BP743"/>
      <c r="BQ743"/>
      <c r="BR743"/>
      <c r="BY743"/>
      <c r="BZ743"/>
      <c r="CA743"/>
      <c r="CB743"/>
      <c r="CC743"/>
      <c r="CD743"/>
      <c r="CE743"/>
      <c r="CF743"/>
      <c r="CG743"/>
      <c r="CH743"/>
      <c r="CI743"/>
      <c r="CJ743"/>
      <c r="CK743"/>
      <c r="CL743"/>
      <c r="CM743"/>
      <c r="CN743"/>
      <c r="CO743"/>
      <c r="CP743"/>
      <c r="CQ743"/>
      <c r="CR743"/>
      <c r="CS743"/>
      <c r="CT743"/>
      <c r="CU743"/>
      <c r="CV743"/>
      <c r="CW743"/>
      <c r="CX743"/>
      <c r="CY743"/>
    </row>
    <row r="744" spans="50:103" ht="20.100000000000001" customHeight="1" x14ac:dyDescent="0.25">
      <c r="AX744"/>
      <c r="AY744"/>
      <c r="AZ744"/>
      <c r="BA744"/>
      <c r="BB744"/>
      <c r="BC744"/>
      <c r="BD744"/>
      <c r="BE744"/>
      <c r="BF744"/>
      <c r="BG744"/>
      <c r="BH744"/>
      <c r="BI744"/>
      <c r="BJ744"/>
      <c r="BK744"/>
      <c r="BL744"/>
      <c r="BM744"/>
      <c r="BN744"/>
      <c r="BO744"/>
      <c r="BP744"/>
      <c r="BQ744"/>
      <c r="BR744"/>
      <c r="BY744"/>
      <c r="BZ744"/>
      <c r="CA744"/>
      <c r="CB744"/>
      <c r="CC744"/>
      <c r="CD744"/>
      <c r="CE744"/>
      <c r="CF744"/>
      <c r="CG744"/>
      <c r="CH744"/>
      <c r="CI744"/>
      <c r="CJ744"/>
      <c r="CK744"/>
      <c r="CL744"/>
      <c r="CM744"/>
      <c r="CN744"/>
      <c r="CO744"/>
      <c r="CP744"/>
      <c r="CQ744"/>
      <c r="CR744"/>
      <c r="CS744"/>
      <c r="CT744"/>
      <c r="CU744"/>
      <c r="CV744"/>
      <c r="CW744"/>
      <c r="CX744"/>
      <c r="CY744"/>
    </row>
    <row r="745" spans="50:103" ht="20.100000000000001" customHeight="1" x14ac:dyDescent="0.25">
      <c r="AX745"/>
      <c r="AY745"/>
      <c r="AZ745"/>
      <c r="BA745"/>
      <c r="BB745"/>
      <c r="BC745"/>
      <c r="BD745"/>
      <c r="BE745"/>
      <c r="BF745"/>
      <c r="BG745"/>
      <c r="BH745"/>
      <c r="BI745"/>
      <c r="BJ745"/>
      <c r="BK745"/>
      <c r="BL745"/>
      <c r="BM745"/>
      <c r="BN745"/>
      <c r="BO745"/>
      <c r="BP745"/>
      <c r="BQ745"/>
      <c r="BR745"/>
      <c r="BY745"/>
      <c r="BZ745"/>
      <c r="CA745"/>
      <c r="CB745"/>
      <c r="CC745"/>
      <c r="CD745"/>
      <c r="CE745"/>
      <c r="CF745"/>
      <c r="CG745"/>
      <c r="CH745"/>
      <c r="CI745"/>
      <c r="CJ745"/>
      <c r="CK745"/>
      <c r="CL745"/>
      <c r="CM745"/>
      <c r="CN745"/>
      <c r="CO745"/>
      <c r="CP745"/>
      <c r="CQ745"/>
      <c r="CR745"/>
      <c r="CS745"/>
      <c r="CT745"/>
      <c r="CU745"/>
      <c r="CV745"/>
      <c r="CW745"/>
      <c r="CX745"/>
      <c r="CY745"/>
    </row>
    <row r="746" spans="50:103" ht="20.100000000000001" customHeight="1" x14ac:dyDescent="0.25">
      <c r="AX746"/>
      <c r="AY746"/>
      <c r="AZ746"/>
      <c r="BA746"/>
      <c r="BB746"/>
      <c r="BC746"/>
      <c r="BD746"/>
      <c r="BE746"/>
      <c r="BF746"/>
      <c r="BG746"/>
      <c r="BH746"/>
      <c r="BI746"/>
      <c r="BJ746"/>
      <c r="BK746"/>
      <c r="BL746"/>
      <c r="BM746"/>
      <c r="BN746"/>
      <c r="BO746"/>
      <c r="BP746"/>
      <c r="BQ746"/>
      <c r="BR746"/>
      <c r="BY746"/>
      <c r="BZ746"/>
      <c r="CA746"/>
      <c r="CB746"/>
      <c r="CC746"/>
      <c r="CD746"/>
      <c r="CE746"/>
      <c r="CF746"/>
      <c r="CG746"/>
      <c r="CH746"/>
      <c r="CI746"/>
      <c r="CJ746"/>
      <c r="CK746"/>
      <c r="CL746"/>
      <c r="CM746"/>
      <c r="CN746"/>
      <c r="CO746"/>
      <c r="CP746"/>
      <c r="CQ746"/>
      <c r="CR746"/>
      <c r="CS746"/>
      <c r="CT746"/>
      <c r="CU746"/>
      <c r="CV746"/>
      <c r="CW746"/>
      <c r="CX746"/>
      <c r="CY746"/>
    </row>
    <row r="747" spans="50:103" ht="20.100000000000001" customHeight="1" x14ac:dyDescent="0.25">
      <c r="AX747"/>
      <c r="AY747"/>
      <c r="AZ747"/>
      <c r="BA747"/>
      <c r="BB747"/>
      <c r="BC747"/>
      <c r="BD747"/>
      <c r="BE747"/>
      <c r="BF747"/>
      <c r="BG747"/>
      <c r="BH747"/>
      <c r="BI747"/>
      <c r="BJ747"/>
      <c r="BK747"/>
      <c r="BL747"/>
      <c r="BM747"/>
      <c r="BN747"/>
      <c r="BO747"/>
      <c r="BP747"/>
      <c r="BQ747"/>
      <c r="BR747"/>
      <c r="BY747"/>
      <c r="BZ747"/>
      <c r="CA747"/>
      <c r="CB747"/>
      <c r="CC747"/>
      <c r="CD747"/>
      <c r="CE747"/>
      <c r="CF747"/>
      <c r="CG747"/>
      <c r="CH747"/>
      <c r="CI747"/>
      <c r="CJ747"/>
      <c r="CK747"/>
      <c r="CL747"/>
      <c r="CM747"/>
      <c r="CN747"/>
      <c r="CO747"/>
      <c r="CP747"/>
      <c r="CQ747"/>
      <c r="CR747"/>
      <c r="CS747"/>
      <c r="CT747"/>
      <c r="CU747"/>
      <c r="CV747"/>
      <c r="CW747"/>
      <c r="CX747"/>
      <c r="CY747"/>
    </row>
    <row r="748" spans="50:103" ht="20.100000000000001" customHeight="1" x14ac:dyDescent="0.25">
      <c r="AX748"/>
      <c r="AY748"/>
      <c r="AZ748"/>
      <c r="BA748"/>
      <c r="BB748"/>
      <c r="BC748"/>
      <c r="BD748"/>
      <c r="BE748"/>
      <c r="BF748"/>
      <c r="BG748"/>
      <c r="BH748"/>
      <c r="BI748"/>
      <c r="BJ748"/>
      <c r="BK748"/>
      <c r="BL748"/>
      <c r="BM748"/>
      <c r="BN748"/>
      <c r="BO748"/>
      <c r="BP748"/>
      <c r="BQ748"/>
      <c r="BR748"/>
      <c r="BY748"/>
      <c r="BZ748"/>
      <c r="CA748"/>
      <c r="CB748"/>
      <c r="CC748"/>
      <c r="CD748"/>
      <c r="CE748"/>
      <c r="CF748"/>
      <c r="CG748"/>
      <c r="CH748"/>
      <c r="CI748"/>
      <c r="CJ748"/>
      <c r="CK748"/>
      <c r="CL748"/>
      <c r="CM748"/>
      <c r="CN748"/>
      <c r="CO748"/>
      <c r="CP748"/>
      <c r="CQ748"/>
      <c r="CR748"/>
      <c r="CS748"/>
      <c r="CT748"/>
      <c r="CU748"/>
      <c r="CV748"/>
      <c r="CW748"/>
      <c r="CX748"/>
      <c r="CY748"/>
    </row>
    <row r="749" spans="50:103" ht="20.100000000000001" customHeight="1" x14ac:dyDescent="0.25">
      <c r="AX749"/>
      <c r="AY749"/>
      <c r="AZ749"/>
      <c r="BA749"/>
      <c r="BB749"/>
      <c r="BC749"/>
      <c r="BD749"/>
      <c r="BE749"/>
      <c r="BF749"/>
      <c r="BG749"/>
      <c r="BH749"/>
      <c r="BI749"/>
      <c r="BJ749"/>
      <c r="BK749"/>
      <c r="BL749"/>
      <c r="BM749"/>
      <c r="BN749"/>
      <c r="BO749"/>
      <c r="BP749"/>
      <c r="BQ749"/>
      <c r="BR749"/>
      <c r="BY749"/>
      <c r="BZ749"/>
      <c r="CA749"/>
      <c r="CB749"/>
      <c r="CC749"/>
      <c r="CD749"/>
      <c r="CE749"/>
      <c r="CF749"/>
      <c r="CG749"/>
      <c r="CH749"/>
      <c r="CI749"/>
      <c r="CJ749"/>
      <c r="CK749"/>
      <c r="CL749"/>
      <c r="CM749"/>
      <c r="CN749"/>
      <c r="CO749"/>
      <c r="CP749"/>
      <c r="CQ749"/>
      <c r="CR749"/>
      <c r="CS749"/>
      <c r="CT749"/>
      <c r="CU749"/>
      <c r="CV749"/>
      <c r="CW749"/>
      <c r="CX749"/>
      <c r="CY749"/>
    </row>
    <row r="750" spans="50:103" ht="20.100000000000001" customHeight="1" x14ac:dyDescent="0.25">
      <c r="AX750"/>
      <c r="AY750"/>
      <c r="AZ750"/>
      <c r="BA750"/>
      <c r="BB750"/>
      <c r="BC750"/>
      <c r="BD750"/>
      <c r="BE750"/>
      <c r="BF750"/>
      <c r="BG750"/>
      <c r="BH750"/>
      <c r="BI750"/>
      <c r="BJ750"/>
      <c r="BK750"/>
      <c r="BL750"/>
      <c r="BM750"/>
      <c r="BN750"/>
      <c r="BO750"/>
      <c r="BP750"/>
      <c r="BQ750"/>
      <c r="BR750"/>
      <c r="BY750"/>
      <c r="BZ750"/>
      <c r="CA750"/>
      <c r="CB750"/>
      <c r="CC750"/>
      <c r="CD750"/>
      <c r="CE750"/>
      <c r="CF750"/>
      <c r="CG750"/>
      <c r="CH750"/>
      <c r="CI750"/>
      <c r="CJ750"/>
      <c r="CK750"/>
      <c r="CL750"/>
      <c r="CM750"/>
      <c r="CN750"/>
      <c r="CO750"/>
      <c r="CP750"/>
      <c r="CQ750"/>
      <c r="CR750"/>
      <c r="CS750"/>
      <c r="CT750"/>
      <c r="CU750"/>
      <c r="CV750"/>
      <c r="CW750"/>
      <c r="CX750"/>
      <c r="CY750"/>
    </row>
    <row r="751" spans="50:103" ht="20.100000000000001" customHeight="1" x14ac:dyDescent="0.25">
      <c r="AX751"/>
      <c r="AY751"/>
      <c r="AZ751"/>
      <c r="BA751"/>
      <c r="BB751"/>
      <c r="BC751"/>
      <c r="BD751"/>
      <c r="BE751"/>
      <c r="BF751"/>
      <c r="BG751"/>
      <c r="BH751"/>
      <c r="BI751"/>
      <c r="BJ751"/>
      <c r="BK751"/>
      <c r="BL751"/>
      <c r="BM751"/>
      <c r="BN751"/>
      <c r="BO751"/>
      <c r="BP751"/>
      <c r="BQ751"/>
      <c r="BR751"/>
      <c r="BY751"/>
      <c r="BZ751"/>
      <c r="CA751"/>
      <c r="CB751"/>
      <c r="CC751"/>
      <c r="CD751"/>
      <c r="CE751"/>
      <c r="CF751"/>
      <c r="CG751"/>
      <c r="CH751"/>
      <c r="CI751"/>
      <c r="CJ751"/>
      <c r="CK751"/>
      <c r="CL751"/>
      <c r="CM751"/>
      <c r="CN751"/>
      <c r="CO751"/>
      <c r="CP751"/>
      <c r="CQ751"/>
      <c r="CR751"/>
      <c r="CS751"/>
      <c r="CT751"/>
      <c r="CU751"/>
      <c r="CV751"/>
      <c r="CW751"/>
      <c r="CX751"/>
      <c r="CY751"/>
    </row>
    <row r="752" spans="50:103" ht="20.100000000000001" customHeight="1" x14ac:dyDescent="0.25">
      <c r="AX752"/>
      <c r="AY752"/>
      <c r="AZ752"/>
      <c r="BA752"/>
      <c r="BB752"/>
      <c r="BC752"/>
      <c r="BD752"/>
      <c r="BE752"/>
      <c r="BF752"/>
      <c r="BG752"/>
      <c r="BH752"/>
      <c r="BI752"/>
      <c r="BJ752"/>
      <c r="BK752"/>
      <c r="BL752"/>
      <c r="BM752"/>
      <c r="BN752"/>
      <c r="BO752"/>
      <c r="BP752"/>
      <c r="BQ752"/>
      <c r="BR752"/>
      <c r="BY752"/>
      <c r="BZ752"/>
      <c r="CA752"/>
      <c r="CB752"/>
      <c r="CC752"/>
      <c r="CD752"/>
      <c r="CE752"/>
      <c r="CF752"/>
      <c r="CG752"/>
      <c r="CH752"/>
      <c r="CI752"/>
      <c r="CJ752"/>
      <c r="CK752"/>
      <c r="CL752"/>
      <c r="CM752"/>
      <c r="CN752"/>
      <c r="CO752"/>
      <c r="CP752"/>
      <c r="CQ752"/>
      <c r="CR752"/>
      <c r="CS752"/>
      <c r="CT752"/>
      <c r="CU752"/>
      <c r="CV752"/>
      <c r="CW752"/>
      <c r="CX752"/>
      <c r="CY752"/>
    </row>
    <row r="753" spans="50:103" ht="20.100000000000001" customHeight="1" x14ac:dyDescent="0.25">
      <c r="AX753"/>
      <c r="AY753"/>
      <c r="AZ753"/>
      <c r="BA753"/>
      <c r="BB753"/>
      <c r="BC753"/>
      <c r="BD753"/>
      <c r="BE753"/>
      <c r="BF753"/>
      <c r="BG753"/>
      <c r="BH753"/>
      <c r="BI753"/>
      <c r="BJ753"/>
      <c r="BK753"/>
      <c r="BL753"/>
      <c r="BM753"/>
      <c r="BN753"/>
      <c r="BO753"/>
      <c r="BP753"/>
      <c r="BQ753"/>
      <c r="BR753"/>
      <c r="BY753"/>
      <c r="BZ753"/>
      <c r="CA753"/>
      <c r="CB753"/>
      <c r="CC753"/>
      <c r="CD753"/>
      <c r="CE753"/>
      <c r="CF753"/>
      <c r="CG753"/>
      <c r="CH753"/>
      <c r="CI753"/>
      <c r="CJ753"/>
      <c r="CK753"/>
      <c r="CL753"/>
      <c r="CM753"/>
      <c r="CN753"/>
      <c r="CO753"/>
      <c r="CP753"/>
      <c r="CQ753"/>
      <c r="CR753"/>
      <c r="CS753"/>
      <c r="CT753"/>
      <c r="CU753"/>
      <c r="CV753"/>
      <c r="CW753"/>
      <c r="CX753"/>
      <c r="CY753"/>
    </row>
    <row r="754" spans="50:103" ht="20.100000000000001" customHeight="1" x14ac:dyDescent="0.25">
      <c r="AX754"/>
      <c r="AY754"/>
      <c r="AZ754"/>
      <c r="BA754"/>
      <c r="BB754"/>
      <c r="BC754"/>
      <c r="BD754"/>
      <c r="BE754"/>
      <c r="BF754"/>
      <c r="BG754"/>
      <c r="BH754"/>
      <c r="BI754"/>
      <c r="BJ754"/>
      <c r="BK754"/>
      <c r="BL754"/>
      <c r="BM754"/>
      <c r="BN754"/>
      <c r="BO754"/>
      <c r="BP754"/>
      <c r="BQ754"/>
      <c r="BR754"/>
      <c r="BY754"/>
      <c r="BZ754"/>
      <c r="CA754"/>
      <c r="CB754"/>
      <c r="CC754"/>
      <c r="CD754"/>
      <c r="CE754"/>
      <c r="CF754"/>
      <c r="CG754"/>
      <c r="CH754"/>
      <c r="CI754"/>
      <c r="CJ754"/>
      <c r="CK754"/>
      <c r="CL754"/>
      <c r="CM754"/>
      <c r="CN754"/>
      <c r="CO754"/>
      <c r="CP754"/>
      <c r="CQ754"/>
      <c r="CR754"/>
      <c r="CS754"/>
      <c r="CT754"/>
      <c r="CU754"/>
      <c r="CV754"/>
      <c r="CW754"/>
      <c r="CX754"/>
      <c r="CY754"/>
    </row>
    <row r="755" spans="50:103" ht="20.100000000000001" customHeight="1" x14ac:dyDescent="0.25">
      <c r="AX755"/>
      <c r="AY755"/>
      <c r="AZ755"/>
      <c r="BA755"/>
      <c r="BB755"/>
      <c r="BC755"/>
      <c r="BD755"/>
      <c r="BE755"/>
      <c r="BF755"/>
      <c r="BG755"/>
      <c r="BH755"/>
      <c r="BI755"/>
      <c r="BJ755"/>
      <c r="BK755"/>
      <c r="BL755"/>
      <c r="BM755"/>
      <c r="BN755"/>
      <c r="BO755"/>
      <c r="BP755"/>
      <c r="BQ755"/>
      <c r="BR755"/>
      <c r="BY755"/>
      <c r="BZ755"/>
      <c r="CA755"/>
      <c r="CB755"/>
      <c r="CC755"/>
      <c r="CD755"/>
      <c r="CE755"/>
      <c r="CF755"/>
      <c r="CG755"/>
      <c r="CH755"/>
      <c r="CI755"/>
      <c r="CJ755"/>
      <c r="CK755"/>
      <c r="CL755"/>
      <c r="CM755"/>
      <c r="CN755"/>
      <c r="CO755"/>
      <c r="CP755"/>
      <c r="CQ755"/>
      <c r="CR755"/>
      <c r="CS755"/>
      <c r="CT755"/>
      <c r="CU755"/>
      <c r="CV755"/>
      <c r="CW755"/>
      <c r="CX755"/>
      <c r="CY755"/>
    </row>
    <row r="756" spans="50:103" ht="20.100000000000001" customHeight="1" x14ac:dyDescent="0.25">
      <c r="AX756"/>
      <c r="AY756"/>
      <c r="AZ756"/>
      <c r="BA756"/>
      <c r="BB756"/>
      <c r="BC756"/>
      <c r="BD756"/>
      <c r="BE756"/>
      <c r="BF756"/>
      <c r="BG756"/>
      <c r="BH756"/>
      <c r="BI756"/>
      <c r="BJ756"/>
      <c r="BK756"/>
      <c r="BL756"/>
      <c r="BM756"/>
      <c r="BN756"/>
      <c r="BO756"/>
      <c r="BP756"/>
      <c r="BQ756"/>
      <c r="BR756"/>
      <c r="BY756"/>
      <c r="BZ756"/>
      <c r="CA756"/>
      <c r="CB756"/>
      <c r="CC756"/>
      <c r="CD756"/>
      <c r="CE756"/>
      <c r="CF756"/>
      <c r="CG756"/>
      <c r="CH756"/>
      <c r="CI756"/>
      <c r="CJ756"/>
      <c r="CK756"/>
      <c r="CL756"/>
      <c r="CM756"/>
      <c r="CN756"/>
      <c r="CO756"/>
      <c r="CP756"/>
      <c r="CQ756"/>
      <c r="CR756"/>
      <c r="CS756"/>
      <c r="CT756"/>
      <c r="CU756"/>
      <c r="CV756"/>
      <c r="CW756"/>
      <c r="CX756"/>
      <c r="CY756"/>
    </row>
    <row r="757" spans="50:103" ht="20.100000000000001" customHeight="1" x14ac:dyDescent="0.25">
      <c r="AX757"/>
      <c r="AY757"/>
      <c r="AZ757"/>
      <c r="BA757"/>
      <c r="BB757"/>
      <c r="BC757"/>
      <c r="BD757"/>
      <c r="BE757"/>
      <c r="BF757"/>
      <c r="BG757"/>
      <c r="BH757"/>
      <c r="BI757"/>
      <c r="BJ757"/>
      <c r="BK757"/>
      <c r="BL757"/>
      <c r="BM757"/>
      <c r="BN757"/>
      <c r="BO757"/>
      <c r="BP757"/>
      <c r="BQ757"/>
      <c r="BR757"/>
      <c r="BY757"/>
      <c r="BZ757"/>
      <c r="CA757"/>
      <c r="CB757"/>
      <c r="CC757"/>
      <c r="CD757"/>
      <c r="CE757"/>
      <c r="CF757"/>
      <c r="CG757"/>
      <c r="CH757"/>
      <c r="CI757"/>
      <c r="CJ757"/>
      <c r="CK757"/>
      <c r="CL757"/>
      <c r="CM757"/>
      <c r="CN757"/>
      <c r="CO757"/>
      <c r="CP757"/>
      <c r="CQ757"/>
      <c r="CR757"/>
      <c r="CS757"/>
      <c r="CT757"/>
      <c r="CU757"/>
      <c r="CV757"/>
      <c r="CW757"/>
      <c r="CX757"/>
      <c r="CY757"/>
    </row>
    <row r="758" spans="50:103" ht="20.100000000000001" customHeight="1" x14ac:dyDescent="0.25">
      <c r="AX758"/>
      <c r="AY758"/>
      <c r="AZ758"/>
      <c r="BA758"/>
      <c r="BB758"/>
      <c r="BC758"/>
      <c r="BD758"/>
      <c r="BE758"/>
      <c r="BF758"/>
      <c r="BG758"/>
      <c r="BH758"/>
      <c r="BI758"/>
      <c r="BJ758"/>
      <c r="BK758"/>
      <c r="BL758"/>
      <c r="BM758"/>
      <c r="BN758"/>
      <c r="BO758"/>
      <c r="BP758"/>
      <c r="BQ758"/>
      <c r="BR758"/>
      <c r="BY758"/>
      <c r="BZ758"/>
      <c r="CA758"/>
      <c r="CB758"/>
      <c r="CC758"/>
      <c r="CD758"/>
      <c r="CE758"/>
      <c r="CF758"/>
      <c r="CG758"/>
      <c r="CH758"/>
      <c r="CI758"/>
      <c r="CJ758"/>
      <c r="CK758"/>
      <c r="CL758"/>
      <c r="CM758"/>
      <c r="CN758"/>
      <c r="CO758"/>
      <c r="CP758"/>
      <c r="CQ758"/>
      <c r="CR758"/>
      <c r="CS758"/>
      <c r="CT758"/>
      <c r="CU758"/>
      <c r="CV758"/>
      <c r="CW758"/>
      <c r="CX758"/>
      <c r="CY758"/>
    </row>
    <row r="759" spans="50:103" ht="20.100000000000001" customHeight="1" x14ac:dyDescent="0.25">
      <c r="AX759"/>
      <c r="AY759"/>
      <c r="AZ759"/>
      <c r="BA759"/>
      <c r="BB759"/>
      <c r="BC759"/>
      <c r="BD759"/>
      <c r="BE759"/>
      <c r="BF759"/>
      <c r="BG759"/>
      <c r="BH759"/>
      <c r="BI759"/>
      <c r="BJ759"/>
      <c r="BK759"/>
      <c r="BL759"/>
      <c r="BM759"/>
      <c r="BN759"/>
      <c r="BO759"/>
      <c r="BP759"/>
      <c r="BQ759"/>
      <c r="BR759"/>
      <c r="BY759"/>
      <c r="BZ759"/>
      <c r="CA759"/>
      <c r="CB759"/>
      <c r="CC759"/>
      <c r="CD759"/>
      <c r="CE759"/>
      <c r="CF759"/>
      <c r="CG759"/>
      <c r="CH759"/>
      <c r="CI759"/>
      <c r="CJ759"/>
      <c r="CK759"/>
      <c r="CL759"/>
      <c r="CM759"/>
      <c r="CN759"/>
      <c r="CO759"/>
      <c r="CP759"/>
      <c r="CQ759"/>
      <c r="CR759"/>
      <c r="CS759"/>
      <c r="CT759"/>
      <c r="CU759"/>
      <c r="CV759"/>
      <c r="CW759"/>
      <c r="CX759"/>
      <c r="CY759"/>
    </row>
    <row r="760" spans="50:103" ht="20.100000000000001" customHeight="1" x14ac:dyDescent="0.25">
      <c r="AX760"/>
      <c r="AY760"/>
      <c r="AZ760"/>
      <c r="BA760"/>
      <c r="BB760"/>
      <c r="BC760"/>
      <c r="BD760"/>
      <c r="BE760"/>
      <c r="BF760"/>
      <c r="BG760"/>
      <c r="BH760"/>
      <c r="BI760"/>
      <c r="BJ760"/>
      <c r="BK760"/>
      <c r="BL760"/>
      <c r="BM760"/>
      <c r="BN760"/>
      <c r="BO760"/>
      <c r="BP760"/>
      <c r="BQ760"/>
      <c r="BR760"/>
      <c r="BY760"/>
      <c r="BZ760"/>
      <c r="CA760"/>
      <c r="CB760"/>
      <c r="CC760"/>
      <c r="CD760"/>
      <c r="CE760"/>
      <c r="CF760"/>
      <c r="CG760"/>
      <c r="CH760"/>
      <c r="CI760"/>
      <c r="CJ760"/>
      <c r="CK760"/>
      <c r="CL760"/>
      <c r="CM760"/>
      <c r="CN760"/>
      <c r="CO760"/>
      <c r="CP760"/>
      <c r="CQ760"/>
      <c r="CR760"/>
      <c r="CS760"/>
      <c r="CT760"/>
      <c r="CU760"/>
      <c r="CV760"/>
      <c r="CW760"/>
      <c r="CX760"/>
      <c r="CY760"/>
    </row>
    <row r="761" spans="50:103" ht="20.100000000000001" customHeight="1" x14ac:dyDescent="0.25">
      <c r="AX761"/>
      <c r="AY761"/>
      <c r="AZ761"/>
      <c r="BA761"/>
      <c r="BB761"/>
      <c r="BC761"/>
      <c r="BD761"/>
      <c r="BE761"/>
      <c r="BF761"/>
      <c r="BG761"/>
      <c r="BH761"/>
      <c r="BI761"/>
      <c r="BJ761"/>
      <c r="BK761"/>
      <c r="BL761"/>
      <c r="BM761"/>
      <c r="BN761"/>
      <c r="BO761"/>
      <c r="BP761"/>
      <c r="BQ761"/>
      <c r="BR761"/>
      <c r="BY761"/>
      <c r="BZ761"/>
      <c r="CA761"/>
      <c r="CB761"/>
      <c r="CC761"/>
      <c r="CD761"/>
      <c r="CE761"/>
      <c r="CF761"/>
      <c r="CG761"/>
      <c r="CH761"/>
      <c r="CI761"/>
      <c r="CJ761"/>
      <c r="CK761"/>
      <c r="CL761"/>
      <c r="CM761"/>
      <c r="CN761"/>
      <c r="CO761"/>
      <c r="CP761"/>
      <c r="CQ761"/>
      <c r="CR761"/>
      <c r="CS761"/>
      <c r="CT761"/>
      <c r="CU761"/>
      <c r="CV761"/>
      <c r="CW761"/>
      <c r="CX761"/>
      <c r="CY761"/>
    </row>
    <row r="762" spans="50:103" ht="20.100000000000001" customHeight="1" x14ac:dyDescent="0.25">
      <c r="AX762"/>
      <c r="AY762"/>
      <c r="AZ762"/>
      <c r="BA762"/>
      <c r="BB762"/>
      <c r="BC762"/>
      <c r="BD762"/>
      <c r="BE762"/>
      <c r="BF762"/>
      <c r="BG762"/>
      <c r="BH762"/>
      <c r="BI762"/>
      <c r="BJ762"/>
      <c r="BK762"/>
      <c r="BL762"/>
      <c r="BM762"/>
      <c r="BN762"/>
      <c r="BO762"/>
      <c r="BP762"/>
      <c r="BQ762"/>
      <c r="BR762"/>
      <c r="BY762"/>
      <c r="BZ762"/>
      <c r="CA762"/>
      <c r="CB762"/>
      <c r="CC762"/>
      <c r="CD762"/>
      <c r="CE762"/>
      <c r="CF762"/>
      <c r="CG762"/>
      <c r="CH762"/>
      <c r="CI762"/>
      <c r="CJ762"/>
      <c r="CK762"/>
      <c r="CL762"/>
      <c r="CM762"/>
      <c r="CN762"/>
      <c r="CO762"/>
      <c r="CP762"/>
      <c r="CQ762"/>
      <c r="CR762"/>
      <c r="CS762"/>
      <c r="CT762"/>
      <c r="CU762"/>
      <c r="CV762"/>
      <c r="CW762"/>
      <c r="CX762"/>
      <c r="CY762"/>
    </row>
    <row r="763" spans="50:103" ht="20.100000000000001" customHeight="1" x14ac:dyDescent="0.25">
      <c r="AX763"/>
      <c r="AY763"/>
      <c r="AZ763"/>
      <c r="BA763"/>
      <c r="BB763"/>
      <c r="BC763"/>
      <c r="BD763"/>
      <c r="BE763"/>
      <c r="BF763"/>
      <c r="BG763"/>
      <c r="BH763"/>
      <c r="BI763"/>
      <c r="BJ763"/>
      <c r="BK763"/>
      <c r="BL763"/>
      <c r="BM763"/>
      <c r="BN763"/>
      <c r="BO763"/>
      <c r="BP763"/>
      <c r="BQ763"/>
      <c r="BR763"/>
      <c r="BY763"/>
      <c r="BZ763"/>
      <c r="CA763"/>
      <c r="CB763"/>
      <c r="CC763"/>
      <c r="CD763"/>
      <c r="CE763"/>
      <c r="CF763"/>
      <c r="CG763"/>
      <c r="CH763"/>
      <c r="CI763"/>
      <c r="CJ763"/>
      <c r="CK763"/>
      <c r="CL763"/>
      <c r="CM763"/>
      <c r="CN763"/>
      <c r="CO763"/>
      <c r="CP763"/>
      <c r="CQ763"/>
      <c r="CR763"/>
      <c r="CS763"/>
      <c r="CT763"/>
      <c r="CU763"/>
      <c r="CV763"/>
      <c r="CW763"/>
      <c r="CX763"/>
      <c r="CY763"/>
    </row>
    <row r="764" spans="50:103" ht="20.100000000000001" customHeight="1" x14ac:dyDescent="0.25">
      <c r="AX764"/>
      <c r="AY764"/>
      <c r="AZ764"/>
      <c r="BA764"/>
      <c r="BB764"/>
      <c r="BC764"/>
      <c r="BD764"/>
      <c r="BE764"/>
      <c r="BF764"/>
      <c r="BG764"/>
      <c r="BH764"/>
      <c r="BI764"/>
      <c r="BJ764"/>
      <c r="BK764"/>
      <c r="BL764"/>
      <c r="BM764"/>
      <c r="BN764"/>
      <c r="BO764"/>
      <c r="BP764"/>
      <c r="BQ764"/>
      <c r="BR764"/>
      <c r="BY764"/>
      <c r="BZ764"/>
      <c r="CA764"/>
      <c r="CB764"/>
      <c r="CC764"/>
      <c r="CD764"/>
      <c r="CE764"/>
      <c r="CF764"/>
      <c r="CG764"/>
      <c r="CH764"/>
      <c r="CI764"/>
      <c r="CJ764"/>
      <c r="CK764"/>
      <c r="CL764"/>
      <c r="CM764"/>
      <c r="CN764"/>
      <c r="CO764"/>
      <c r="CP764"/>
      <c r="CQ764"/>
      <c r="CR764"/>
      <c r="CS764"/>
      <c r="CT764"/>
      <c r="CU764"/>
      <c r="CV764"/>
      <c r="CW764"/>
      <c r="CX764"/>
      <c r="CY764"/>
    </row>
    <row r="765" spans="50:103" ht="20.100000000000001" customHeight="1" x14ac:dyDescent="0.25">
      <c r="AX765"/>
      <c r="AY765"/>
      <c r="AZ765"/>
      <c r="BA765"/>
      <c r="BB765"/>
      <c r="BC765"/>
      <c r="BD765"/>
      <c r="BE765"/>
      <c r="BF765"/>
      <c r="BG765"/>
      <c r="BH765"/>
      <c r="BI765"/>
      <c r="BJ765"/>
      <c r="BK765"/>
      <c r="BL765"/>
      <c r="BM765"/>
      <c r="BN765"/>
      <c r="BO765"/>
      <c r="BP765"/>
      <c r="BQ765"/>
      <c r="BR765"/>
      <c r="BY765"/>
      <c r="BZ765"/>
      <c r="CA765"/>
      <c r="CB765"/>
      <c r="CC765"/>
      <c r="CD765"/>
      <c r="CE765"/>
      <c r="CF765"/>
      <c r="CG765"/>
      <c r="CH765"/>
      <c r="CI765"/>
      <c r="CJ765"/>
      <c r="CK765"/>
      <c r="CL765"/>
      <c r="CM765"/>
      <c r="CN765"/>
      <c r="CO765"/>
      <c r="CP765"/>
      <c r="CQ765"/>
      <c r="CR765"/>
      <c r="CS765"/>
      <c r="CT765"/>
      <c r="CU765"/>
      <c r="CV765"/>
      <c r="CW765"/>
      <c r="CX765"/>
      <c r="CY765"/>
    </row>
    <row r="766" spans="50:103" ht="20.100000000000001" customHeight="1" x14ac:dyDescent="0.25">
      <c r="AX766"/>
      <c r="AY766"/>
      <c r="AZ766"/>
      <c r="BA766"/>
      <c r="BB766"/>
      <c r="BC766"/>
      <c r="BD766"/>
      <c r="BE766"/>
      <c r="BF766"/>
      <c r="BG766"/>
      <c r="BH766"/>
      <c r="BI766"/>
      <c r="BJ766"/>
      <c r="BK766"/>
      <c r="BL766"/>
      <c r="BM766"/>
      <c r="BN766"/>
      <c r="BO766"/>
      <c r="BP766"/>
      <c r="BQ766"/>
      <c r="BR766"/>
      <c r="BY766"/>
      <c r="BZ766"/>
      <c r="CA766"/>
      <c r="CB766"/>
      <c r="CC766"/>
      <c r="CD766"/>
      <c r="CE766"/>
      <c r="CF766"/>
      <c r="CG766"/>
      <c r="CH766"/>
      <c r="CI766"/>
      <c r="CJ766"/>
      <c r="CK766"/>
      <c r="CL766"/>
      <c r="CM766"/>
      <c r="CN766"/>
      <c r="CO766"/>
      <c r="CP766"/>
      <c r="CQ766"/>
      <c r="CR766"/>
      <c r="CS766"/>
      <c r="CT766"/>
      <c r="CU766"/>
      <c r="CV766"/>
      <c r="CW766"/>
      <c r="CX766"/>
      <c r="CY766"/>
    </row>
    <row r="767" spans="50:103" ht="20.100000000000001" customHeight="1" x14ac:dyDescent="0.25">
      <c r="AX767"/>
      <c r="AY767"/>
      <c r="AZ767"/>
      <c r="BA767"/>
      <c r="BB767"/>
      <c r="BC767"/>
      <c r="BD767"/>
      <c r="BE767"/>
      <c r="BF767"/>
      <c r="BG767"/>
      <c r="BH767"/>
      <c r="BI767"/>
      <c r="BJ767"/>
      <c r="BK767"/>
      <c r="BL767"/>
      <c r="BM767"/>
      <c r="BN767"/>
      <c r="BO767"/>
      <c r="BP767"/>
      <c r="BQ767"/>
      <c r="BR767"/>
      <c r="BY767"/>
      <c r="BZ767"/>
      <c r="CA767"/>
      <c r="CB767"/>
      <c r="CC767"/>
      <c r="CD767"/>
      <c r="CE767"/>
      <c r="CF767"/>
      <c r="CG767"/>
      <c r="CH767"/>
      <c r="CI767"/>
      <c r="CJ767"/>
      <c r="CK767"/>
      <c r="CL767"/>
      <c r="CM767"/>
      <c r="CN767"/>
      <c r="CO767"/>
      <c r="CP767"/>
      <c r="CQ767"/>
      <c r="CR767"/>
      <c r="CS767"/>
      <c r="CT767"/>
      <c r="CU767"/>
      <c r="CV767"/>
      <c r="CW767"/>
      <c r="CX767"/>
      <c r="CY767"/>
    </row>
    <row r="768" spans="50:103" ht="20.100000000000001" customHeight="1" x14ac:dyDescent="0.25">
      <c r="AX768"/>
      <c r="AY768"/>
      <c r="AZ768"/>
      <c r="BA768"/>
      <c r="BB768"/>
      <c r="BC768"/>
      <c r="BD768"/>
      <c r="BE768"/>
      <c r="BF768"/>
      <c r="BG768"/>
      <c r="BH768"/>
      <c r="BI768"/>
      <c r="BJ768"/>
      <c r="BK768"/>
      <c r="BL768"/>
      <c r="BM768"/>
      <c r="BN768"/>
      <c r="BO768"/>
      <c r="BP768"/>
      <c r="BQ768"/>
      <c r="BR768"/>
      <c r="BY768"/>
      <c r="BZ768"/>
      <c r="CA768"/>
      <c r="CB768"/>
      <c r="CC768"/>
      <c r="CD768"/>
      <c r="CE768"/>
      <c r="CF768"/>
      <c r="CG768"/>
      <c r="CH768"/>
      <c r="CI768"/>
      <c r="CJ768"/>
      <c r="CK768"/>
      <c r="CL768"/>
      <c r="CM768"/>
      <c r="CN768"/>
      <c r="CO768"/>
      <c r="CP768"/>
      <c r="CQ768"/>
      <c r="CR768"/>
      <c r="CS768"/>
      <c r="CT768"/>
      <c r="CU768"/>
      <c r="CV768"/>
      <c r="CW768"/>
      <c r="CX768"/>
      <c r="CY768"/>
    </row>
    <row r="769" spans="50:103" ht="20.100000000000001" customHeight="1" x14ac:dyDescent="0.25">
      <c r="AX769"/>
      <c r="AY769"/>
      <c r="AZ769"/>
      <c r="BA769"/>
      <c r="BB769"/>
      <c r="BC769"/>
      <c r="BD769"/>
      <c r="BE769"/>
      <c r="BF769"/>
      <c r="BG769"/>
      <c r="BH769"/>
      <c r="BI769"/>
      <c r="BJ769"/>
      <c r="BK769"/>
      <c r="BL769"/>
      <c r="BM769"/>
      <c r="BN769"/>
      <c r="BO769"/>
      <c r="BP769"/>
      <c r="BQ769"/>
      <c r="BR769"/>
      <c r="BY769"/>
      <c r="BZ769"/>
      <c r="CA769"/>
      <c r="CB769"/>
      <c r="CC769"/>
      <c r="CD769"/>
      <c r="CE769"/>
      <c r="CF769"/>
      <c r="CG769"/>
      <c r="CH769"/>
      <c r="CI769"/>
      <c r="CJ769"/>
      <c r="CK769"/>
      <c r="CL769"/>
      <c r="CM769"/>
      <c r="CN769"/>
      <c r="CO769"/>
      <c r="CP769"/>
      <c r="CQ769"/>
      <c r="CR769"/>
      <c r="CS769"/>
      <c r="CT769"/>
      <c r="CU769"/>
      <c r="CV769"/>
      <c r="CW769"/>
      <c r="CX769"/>
      <c r="CY769"/>
    </row>
    <row r="770" spans="50:103" ht="20.100000000000001" customHeight="1" x14ac:dyDescent="0.25">
      <c r="AX770"/>
      <c r="AY770"/>
      <c r="AZ770"/>
      <c r="BA770"/>
      <c r="BB770"/>
      <c r="BC770"/>
      <c r="BD770"/>
      <c r="BE770"/>
      <c r="BF770"/>
      <c r="BG770"/>
      <c r="BH770"/>
      <c r="BI770"/>
      <c r="BJ770"/>
      <c r="BK770"/>
      <c r="BL770"/>
      <c r="BM770"/>
      <c r="BN770"/>
      <c r="BO770"/>
      <c r="BP770"/>
      <c r="BQ770"/>
      <c r="BR770"/>
      <c r="BY770"/>
      <c r="BZ770"/>
      <c r="CA770"/>
      <c r="CB770"/>
      <c r="CC770"/>
      <c r="CD770"/>
      <c r="CE770"/>
      <c r="CF770"/>
      <c r="CG770"/>
      <c r="CH770"/>
      <c r="CI770"/>
      <c r="CJ770"/>
      <c r="CK770"/>
      <c r="CL770"/>
      <c r="CM770"/>
      <c r="CN770"/>
      <c r="CO770"/>
      <c r="CP770"/>
      <c r="CQ770"/>
      <c r="CR770"/>
      <c r="CS770"/>
      <c r="CT770"/>
      <c r="CU770"/>
      <c r="CV770"/>
      <c r="CW770"/>
      <c r="CX770"/>
      <c r="CY770"/>
    </row>
    <row r="771" spans="50:103" ht="20.100000000000001" customHeight="1" x14ac:dyDescent="0.25">
      <c r="AX771"/>
      <c r="AY771"/>
      <c r="AZ771"/>
      <c r="BA771"/>
      <c r="BB771"/>
      <c r="BC771"/>
      <c r="BD771"/>
      <c r="BE771"/>
      <c r="BF771"/>
      <c r="BG771"/>
      <c r="BH771"/>
      <c r="BI771"/>
      <c r="BJ771"/>
      <c r="BK771"/>
      <c r="BL771"/>
      <c r="BM771"/>
      <c r="BN771"/>
      <c r="BO771"/>
      <c r="BP771"/>
      <c r="BQ771"/>
      <c r="BR771"/>
      <c r="BY771"/>
      <c r="BZ771"/>
      <c r="CA771"/>
      <c r="CB771"/>
      <c r="CC771"/>
      <c r="CD771"/>
      <c r="CE771"/>
      <c r="CF771"/>
      <c r="CG771"/>
      <c r="CH771"/>
      <c r="CI771"/>
      <c r="CJ771"/>
      <c r="CK771"/>
      <c r="CL771"/>
      <c r="CM771"/>
      <c r="CN771"/>
      <c r="CO771"/>
      <c r="CP771"/>
      <c r="CQ771"/>
      <c r="CR771"/>
      <c r="CS771"/>
      <c r="CT771"/>
      <c r="CU771"/>
      <c r="CV771"/>
      <c r="CW771"/>
      <c r="CX771"/>
      <c r="CY771"/>
    </row>
    <row r="772" spans="50:103" ht="20.100000000000001" customHeight="1" x14ac:dyDescent="0.25">
      <c r="AX772"/>
      <c r="AY772"/>
      <c r="AZ772"/>
      <c r="BA772"/>
      <c r="BB772"/>
      <c r="BC772"/>
      <c r="BD772"/>
      <c r="BE772"/>
      <c r="BF772"/>
      <c r="BG772"/>
      <c r="BH772"/>
      <c r="BI772"/>
      <c r="BJ772"/>
      <c r="BK772"/>
      <c r="BL772"/>
      <c r="BM772"/>
      <c r="BN772"/>
      <c r="BO772"/>
      <c r="BP772"/>
      <c r="BQ772"/>
      <c r="BR772"/>
      <c r="BY772"/>
      <c r="BZ772"/>
      <c r="CA772"/>
      <c r="CB772"/>
      <c r="CC772"/>
      <c r="CD772"/>
      <c r="CE772"/>
      <c r="CF772"/>
      <c r="CG772"/>
      <c r="CH772"/>
      <c r="CI772"/>
      <c r="CJ772"/>
      <c r="CK772"/>
      <c r="CL772"/>
      <c r="CM772"/>
      <c r="CN772"/>
      <c r="CO772"/>
      <c r="CP772"/>
      <c r="CQ772"/>
      <c r="CR772"/>
      <c r="CS772"/>
      <c r="CT772"/>
      <c r="CU772"/>
      <c r="CV772"/>
      <c r="CW772"/>
      <c r="CX772"/>
      <c r="CY772"/>
    </row>
    <row r="773" spans="50:103" ht="20.100000000000001" customHeight="1" x14ac:dyDescent="0.25">
      <c r="AX773"/>
      <c r="AY773"/>
      <c r="AZ773"/>
      <c r="BA773"/>
      <c r="BB773"/>
      <c r="BC773"/>
      <c r="BD773"/>
      <c r="BE773"/>
      <c r="BF773"/>
      <c r="BG773"/>
      <c r="BH773"/>
      <c r="BI773"/>
      <c r="BJ773"/>
      <c r="BK773"/>
      <c r="BL773"/>
      <c r="BM773"/>
      <c r="BN773"/>
      <c r="BO773"/>
      <c r="BP773"/>
      <c r="BQ773"/>
      <c r="BR773"/>
      <c r="BY773"/>
      <c r="BZ773"/>
      <c r="CA773"/>
      <c r="CB773"/>
      <c r="CC773"/>
      <c r="CD773"/>
      <c r="CE773"/>
      <c r="CF773"/>
      <c r="CG773"/>
      <c r="CH773"/>
      <c r="CI773"/>
      <c r="CJ773"/>
      <c r="CK773"/>
      <c r="CL773"/>
      <c r="CM773"/>
      <c r="CN773"/>
      <c r="CO773"/>
      <c r="CP773"/>
      <c r="CQ773"/>
      <c r="CR773"/>
      <c r="CS773"/>
      <c r="CT773"/>
      <c r="CU773"/>
      <c r="CV773"/>
      <c r="CW773"/>
      <c r="CX773"/>
      <c r="CY773"/>
    </row>
    <row r="774" spans="50:103" ht="20.100000000000001" customHeight="1" x14ac:dyDescent="0.25">
      <c r="AX774"/>
      <c r="AY774"/>
      <c r="AZ774"/>
      <c r="BA774"/>
      <c r="BB774"/>
      <c r="BC774"/>
      <c r="BD774"/>
      <c r="BE774"/>
      <c r="BF774"/>
      <c r="BG774"/>
      <c r="BH774"/>
      <c r="BI774"/>
      <c r="BJ774"/>
      <c r="BK774"/>
      <c r="BL774"/>
      <c r="BM774"/>
      <c r="BN774"/>
      <c r="BO774"/>
      <c r="BP774"/>
      <c r="BQ774"/>
      <c r="BR774"/>
      <c r="BY774"/>
      <c r="BZ774"/>
      <c r="CA774"/>
      <c r="CB774"/>
      <c r="CC774"/>
      <c r="CD774"/>
      <c r="CE774"/>
      <c r="CF774"/>
      <c r="CG774"/>
      <c r="CH774"/>
      <c r="CI774"/>
      <c r="CJ774"/>
      <c r="CK774"/>
      <c r="CL774"/>
      <c r="CM774"/>
      <c r="CN774"/>
      <c r="CO774"/>
      <c r="CP774"/>
      <c r="CQ774"/>
      <c r="CR774"/>
      <c r="CS774"/>
      <c r="CT774"/>
      <c r="CU774"/>
      <c r="CV774"/>
      <c r="CW774"/>
      <c r="CX774"/>
      <c r="CY774"/>
    </row>
    <row r="775" spans="50:103" ht="20.100000000000001" customHeight="1" x14ac:dyDescent="0.25">
      <c r="AX775"/>
      <c r="AY775"/>
      <c r="AZ775"/>
      <c r="BA775"/>
      <c r="BB775"/>
      <c r="BC775"/>
      <c r="BD775"/>
      <c r="BE775"/>
      <c r="BF775"/>
      <c r="BG775"/>
      <c r="BH775"/>
      <c r="BI775"/>
      <c r="BJ775"/>
      <c r="BK775"/>
      <c r="BL775"/>
      <c r="BM775"/>
      <c r="BN775"/>
      <c r="BO775"/>
      <c r="BP775"/>
      <c r="BQ775"/>
      <c r="BR775"/>
      <c r="BY775"/>
      <c r="BZ775"/>
      <c r="CA775"/>
      <c r="CB775"/>
      <c r="CC775"/>
      <c r="CD775"/>
      <c r="CE775"/>
      <c r="CF775"/>
      <c r="CG775"/>
      <c r="CH775"/>
      <c r="CI775"/>
      <c r="CJ775"/>
      <c r="CK775"/>
      <c r="CL775"/>
      <c r="CM775"/>
      <c r="CN775"/>
      <c r="CO775"/>
      <c r="CP775"/>
      <c r="CQ775"/>
      <c r="CR775"/>
      <c r="CS775"/>
      <c r="CT775"/>
      <c r="CU775"/>
      <c r="CV775"/>
      <c r="CW775"/>
      <c r="CX775"/>
      <c r="CY775"/>
    </row>
    <row r="776" spans="50:103" ht="20.100000000000001" customHeight="1" x14ac:dyDescent="0.25">
      <c r="AX776"/>
      <c r="AY776"/>
      <c r="AZ776"/>
      <c r="BA776"/>
      <c r="BB776"/>
      <c r="BC776"/>
      <c r="BD776"/>
      <c r="BE776"/>
      <c r="BF776"/>
      <c r="BG776"/>
      <c r="BH776"/>
      <c r="BI776"/>
      <c r="BJ776"/>
      <c r="BK776"/>
      <c r="BL776"/>
      <c r="BM776"/>
      <c r="BN776"/>
      <c r="BO776"/>
      <c r="BP776"/>
      <c r="BQ776"/>
      <c r="BR776"/>
      <c r="BY776"/>
      <c r="BZ776"/>
      <c r="CA776"/>
      <c r="CB776"/>
      <c r="CC776"/>
      <c r="CD776"/>
      <c r="CE776"/>
      <c r="CF776"/>
      <c r="CG776"/>
      <c r="CH776"/>
      <c r="CI776"/>
      <c r="CJ776"/>
      <c r="CK776"/>
      <c r="CL776"/>
      <c r="CM776"/>
      <c r="CN776"/>
      <c r="CO776"/>
      <c r="CP776"/>
      <c r="CQ776"/>
      <c r="CR776"/>
      <c r="CS776"/>
      <c r="CT776"/>
      <c r="CU776"/>
      <c r="CV776"/>
      <c r="CW776"/>
      <c r="CX776"/>
      <c r="CY776"/>
    </row>
    <row r="777" spans="50:103" ht="20.100000000000001" customHeight="1" x14ac:dyDescent="0.25">
      <c r="AX777"/>
      <c r="AY777"/>
      <c r="AZ777"/>
      <c r="BA777"/>
      <c r="BB777"/>
      <c r="BC777"/>
      <c r="BD777"/>
      <c r="BE777"/>
      <c r="BF777"/>
      <c r="BG777"/>
      <c r="BH777"/>
      <c r="BI777"/>
      <c r="BJ777"/>
      <c r="BK777"/>
      <c r="BL777"/>
      <c r="BM777"/>
      <c r="BN777"/>
      <c r="BO777"/>
      <c r="BP777"/>
      <c r="BQ777"/>
      <c r="BR777"/>
      <c r="BY777"/>
      <c r="BZ777"/>
      <c r="CA777"/>
      <c r="CB777"/>
      <c r="CC777"/>
      <c r="CD777"/>
      <c r="CE777"/>
      <c r="CF777"/>
      <c r="CG777"/>
      <c r="CH777"/>
      <c r="CI777"/>
      <c r="CJ777"/>
      <c r="CK777"/>
      <c r="CL777"/>
      <c r="CM777"/>
      <c r="CN777"/>
      <c r="CO777"/>
      <c r="CP777"/>
      <c r="CQ777"/>
      <c r="CR777"/>
      <c r="CS777"/>
      <c r="CT777"/>
      <c r="CU777"/>
      <c r="CV777"/>
      <c r="CW777"/>
      <c r="CX777"/>
      <c r="CY777"/>
    </row>
    <row r="778" spans="50:103" ht="20.100000000000001" customHeight="1" x14ac:dyDescent="0.25">
      <c r="AX778"/>
      <c r="AY778"/>
      <c r="AZ778"/>
      <c r="BA778"/>
      <c r="BB778"/>
      <c r="BC778"/>
      <c r="BD778"/>
      <c r="BE778"/>
      <c r="BF778"/>
      <c r="BG778"/>
      <c r="BH778"/>
      <c r="BI778"/>
      <c r="BJ778"/>
      <c r="BK778"/>
      <c r="BL778"/>
      <c r="BM778"/>
      <c r="BN778"/>
      <c r="BO778"/>
      <c r="BP778"/>
      <c r="BQ778"/>
      <c r="BR778"/>
      <c r="BY778"/>
      <c r="BZ778"/>
      <c r="CA778"/>
      <c r="CB778"/>
      <c r="CC778"/>
      <c r="CD778"/>
      <c r="CE778"/>
      <c r="CF778"/>
      <c r="CG778"/>
      <c r="CH778"/>
      <c r="CI778"/>
      <c r="CJ778"/>
      <c r="CK778"/>
      <c r="CL778"/>
      <c r="CM778"/>
      <c r="CN778"/>
      <c r="CO778"/>
      <c r="CP778"/>
      <c r="CQ778"/>
      <c r="CR778"/>
      <c r="CS778"/>
      <c r="CT778"/>
      <c r="CU778"/>
      <c r="CV778"/>
      <c r="CW778"/>
      <c r="CX778"/>
      <c r="CY778"/>
    </row>
    <row r="779" spans="50:103" ht="20.100000000000001" customHeight="1" x14ac:dyDescent="0.25">
      <c r="AX779"/>
      <c r="AY779"/>
      <c r="AZ779"/>
      <c r="BA779"/>
      <c r="BB779"/>
      <c r="BC779"/>
      <c r="BD779"/>
      <c r="BE779"/>
      <c r="BF779"/>
      <c r="BG779"/>
      <c r="BH779"/>
      <c r="BI779"/>
      <c r="BJ779"/>
      <c r="BK779"/>
      <c r="BL779"/>
      <c r="BM779"/>
      <c r="BN779"/>
      <c r="BO779"/>
      <c r="BP779"/>
      <c r="BQ779"/>
      <c r="BR779"/>
      <c r="BY779"/>
      <c r="BZ779"/>
      <c r="CA779"/>
      <c r="CB779"/>
      <c r="CC779"/>
      <c r="CD779"/>
      <c r="CE779"/>
      <c r="CF779"/>
      <c r="CG779"/>
      <c r="CH779"/>
      <c r="CI779"/>
      <c r="CJ779"/>
      <c r="CK779"/>
      <c r="CL779"/>
      <c r="CM779"/>
      <c r="CN779"/>
      <c r="CO779"/>
      <c r="CP779"/>
      <c r="CQ779"/>
      <c r="CR779"/>
      <c r="CS779"/>
      <c r="CT779"/>
      <c r="CU779"/>
      <c r="CV779"/>
      <c r="CW779"/>
      <c r="CX779"/>
      <c r="CY779"/>
    </row>
    <row r="780" spans="50:103" ht="20.100000000000001" customHeight="1" x14ac:dyDescent="0.25">
      <c r="AX780"/>
      <c r="AY780"/>
      <c r="AZ780"/>
      <c r="BA780"/>
      <c r="BB780"/>
      <c r="BC780"/>
      <c r="BD780"/>
      <c r="BE780"/>
      <c r="BF780"/>
      <c r="BG780"/>
      <c r="BH780"/>
      <c r="BI780"/>
      <c r="BJ780"/>
      <c r="BK780"/>
      <c r="BL780"/>
      <c r="BM780"/>
      <c r="BN780"/>
      <c r="BO780"/>
      <c r="BP780"/>
      <c r="BQ780"/>
      <c r="BR780"/>
      <c r="BY780"/>
      <c r="BZ780"/>
      <c r="CA780"/>
      <c r="CB780"/>
      <c r="CC780"/>
      <c r="CD780"/>
      <c r="CE780"/>
      <c r="CF780"/>
      <c r="CG780"/>
      <c r="CH780"/>
      <c r="CI780"/>
      <c r="CJ780"/>
      <c r="CK780"/>
      <c r="CL780"/>
      <c r="CM780"/>
      <c r="CN780"/>
      <c r="CO780"/>
      <c r="CP780"/>
      <c r="CQ780"/>
      <c r="CR780"/>
      <c r="CS780"/>
      <c r="CT780"/>
      <c r="CU780"/>
      <c r="CV780"/>
      <c r="CW780"/>
      <c r="CX780"/>
      <c r="CY780"/>
    </row>
    <row r="781" spans="50:103" ht="20.100000000000001" customHeight="1" x14ac:dyDescent="0.25">
      <c r="AX781"/>
      <c r="AY781"/>
      <c r="AZ781"/>
      <c r="BA781"/>
      <c r="BB781"/>
      <c r="BC781"/>
      <c r="BD781"/>
      <c r="BE781"/>
      <c r="BF781"/>
      <c r="BG781"/>
      <c r="BH781"/>
      <c r="BI781"/>
      <c r="BJ781"/>
      <c r="BK781"/>
      <c r="BL781"/>
      <c r="BM781"/>
      <c r="BN781"/>
      <c r="BO781"/>
      <c r="BP781"/>
      <c r="BQ781"/>
      <c r="BR781"/>
      <c r="BY781"/>
      <c r="BZ781"/>
      <c r="CA781"/>
      <c r="CB781"/>
      <c r="CC781"/>
      <c r="CD781"/>
      <c r="CE781"/>
      <c r="CF781"/>
      <c r="CG781"/>
      <c r="CH781"/>
      <c r="CI781"/>
      <c r="CJ781"/>
      <c r="CK781"/>
      <c r="CL781"/>
      <c r="CM781"/>
      <c r="CN781"/>
      <c r="CO781"/>
      <c r="CP781"/>
      <c r="CQ781"/>
      <c r="CR781"/>
      <c r="CS781"/>
      <c r="CT781"/>
      <c r="CU781"/>
      <c r="CV781"/>
      <c r="CW781"/>
      <c r="CX781"/>
      <c r="CY781"/>
    </row>
    <row r="782" spans="50:103" ht="20.100000000000001" customHeight="1" x14ac:dyDescent="0.25">
      <c r="AX782"/>
      <c r="AY782"/>
      <c r="AZ782"/>
      <c r="BA782"/>
      <c r="BB782"/>
      <c r="BC782"/>
      <c r="BD782"/>
      <c r="BE782"/>
      <c r="BF782"/>
      <c r="BG782"/>
      <c r="BH782"/>
      <c r="BI782"/>
      <c r="BJ782"/>
      <c r="BK782"/>
      <c r="BL782"/>
      <c r="BM782"/>
      <c r="BN782"/>
      <c r="BO782"/>
      <c r="BP782"/>
      <c r="BQ782"/>
      <c r="BR782"/>
      <c r="BY782"/>
      <c r="BZ782"/>
      <c r="CA782"/>
      <c r="CB782"/>
      <c r="CC782"/>
      <c r="CD782"/>
      <c r="CE782"/>
      <c r="CF782"/>
      <c r="CG782"/>
      <c r="CH782"/>
      <c r="CI782"/>
      <c r="CJ782"/>
      <c r="CK782"/>
      <c r="CL782"/>
      <c r="CM782"/>
      <c r="CN782"/>
      <c r="CO782"/>
      <c r="CP782"/>
      <c r="CQ782"/>
      <c r="CR782"/>
      <c r="CS782"/>
      <c r="CT782"/>
      <c r="CU782"/>
      <c r="CV782"/>
      <c r="CW782"/>
      <c r="CX782"/>
      <c r="CY782"/>
    </row>
    <row r="783" spans="50:103" ht="20.100000000000001" customHeight="1" x14ac:dyDescent="0.25">
      <c r="AX783"/>
      <c r="AY783"/>
      <c r="AZ783"/>
      <c r="BA783"/>
      <c r="BB783"/>
      <c r="BC783"/>
      <c r="BD783"/>
      <c r="BE783"/>
      <c r="BF783"/>
      <c r="BG783"/>
      <c r="BH783"/>
      <c r="BI783"/>
      <c r="BJ783"/>
      <c r="BK783"/>
      <c r="BL783"/>
      <c r="BM783"/>
      <c r="BN783"/>
      <c r="BO783"/>
      <c r="BP783"/>
      <c r="BQ783"/>
      <c r="BR783"/>
      <c r="BY783"/>
      <c r="BZ783"/>
      <c r="CA783"/>
      <c r="CB783"/>
      <c r="CC783"/>
      <c r="CD783"/>
      <c r="CE783"/>
      <c r="CF783"/>
      <c r="CG783"/>
      <c r="CH783"/>
      <c r="CI783"/>
      <c r="CJ783"/>
      <c r="CK783"/>
      <c r="CL783"/>
      <c r="CM783"/>
      <c r="CN783"/>
      <c r="CO783"/>
      <c r="CP783"/>
      <c r="CQ783"/>
      <c r="CR783"/>
      <c r="CS783"/>
      <c r="CT783"/>
      <c r="CU783"/>
      <c r="CV783"/>
      <c r="CW783"/>
      <c r="CX783"/>
      <c r="CY783"/>
    </row>
    <row r="784" spans="50:103" ht="20.100000000000001" customHeight="1" x14ac:dyDescent="0.25">
      <c r="AX784"/>
      <c r="AY784"/>
      <c r="AZ784"/>
      <c r="BA784"/>
      <c r="BB784"/>
      <c r="BC784"/>
      <c r="BD784"/>
      <c r="BE784"/>
      <c r="BF784"/>
      <c r="BG784"/>
      <c r="BH784"/>
      <c r="BI784"/>
      <c r="BJ784"/>
      <c r="BK784"/>
      <c r="BL784"/>
      <c r="BM784"/>
      <c r="BN784"/>
      <c r="BO784"/>
      <c r="BP784"/>
      <c r="BQ784"/>
      <c r="BR784"/>
      <c r="BY784"/>
      <c r="BZ784"/>
      <c r="CA784"/>
      <c r="CB784"/>
      <c r="CC784"/>
      <c r="CD784"/>
      <c r="CE784"/>
      <c r="CF784"/>
      <c r="CG784"/>
      <c r="CH784"/>
      <c r="CI784"/>
      <c r="CJ784"/>
      <c r="CK784"/>
      <c r="CL784"/>
      <c r="CM784"/>
      <c r="CN784"/>
      <c r="CO784"/>
      <c r="CP784"/>
      <c r="CQ784"/>
      <c r="CR784"/>
      <c r="CS784"/>
      <c r="CT784"/>
      <c r="CU784"/>
      <c r="CV784"/>
      <c r="CW784"/>
      <c r="CX784"/>
      <c r="CY784"/>
    </row>
    <row r="785" spans="50:103" ht="20.100000000000001" customHeight="1" x14ac:dyDescent="0.25">
      <c r="AX785"/>
      <c r="AY785"/>
      <c r="AZ785"/>
      <c r="BA785"/>
      <c r="BB785"/>
      <c r="BC785"/>
      <c r="BD785"/>
      <c r="BE785"/>
      <c r="BF785"/>
      <c r="BG785"/>
      <c r="BH785"/>
      <c r="BI785"/>
      <c r="BJ785"/>
      <c r="BK785"/>
      <c r="BL785"/>
      <c r="BM785"/>
      <c r="BN785"/>
      <c r="BO785"/>
      <c r="BP785"/>
      <c r="BQ785"/>
      <c r="BR785"/>
      <c r="BY785"/>
      <c r="BZ785"/>
      <c r="CA785"/>
      <c r="CB785"/>
      <c r="CC785"/>
      <c r="CD785"/>
      <c r="CE785"/>
      <c r="CF785"/>
      <c r="CG785"/>
      <c r="CH785"/>
      <c r="CI785"/>
      <c r="CJ785"/>
      <c r="CK785"/>
      <c r="CL785"/>
      <c r="CM785"/>
      <c r="CN785"/>
      <c r="CO785"/>
      <c r="CP785"/>
      <c r="CQ785"/>
      <c r="CR785"/>
      <c r="CS785"/>
      <c r="CT785"/>
      <c r="CU785"/>
      <c r="CV785"/>
      <c r="CW785"/>
      <c r="CX785"/>
      <c r="CY785"/>
    </row>
    <row r="786" spans="50:103" ht="20.100000000000001" customHeight="1" x14ac:dyDescent="0.25">
      <c r="AX786"/>
      <c r="AY786"/>
      <c r="AZ786"/>
      <c r="BA786"/>
      <c r="BB786"/>
      <c r="BC786"/>
      <c r="BD786"/>
      <c r="BE786"/>
      <c r="BF786"/>
      <c r="BG786"/>
      <c r="BH786"/>
      <c r="BI786"/>
      <c r="BJ786"/>
      <c r="BK786"/>
      <c r="BL786"/>
      <c r="BM786"/>
      <c r="BN786"/>
      <c r="BO786"/>
      <c r="BP786"/>
      <c r="BQ786"/>
      <c r="BR786"/>
      <c r="BY786"/>
      <c r="BZ786"/>
      <c r="CA786"/>
      <c r="CB786"/>
      <c r="CC786"/>
      <c r="CD786"/>
      <c r="CE786"/>
      <c r="CF786"/>
      <c r="CG786"/>
      <c r="CH786"/>
      <c r="CI786"/>
      <c r="CJ786"/>
      <c r="CK786"/>
      <c r="CL786"/>
      <c r="CM786"/>
      <c r="CN786"/>
      <c r="CO786"/>
      <c r="CP786"/>
      <c r="CQ786"/>
      <c r="CR786"/>
      <c r="CS786"/>
      <c r="CT786"/>
      <c r="CU786"/>
      <c r="CV786"/>
      <c r="CW786"/>
      <c r="CX786"/>
      <c r="CY786"/>
    </row>
    <row r="787" spans="50:103" ht="20.100000000000001" customHeight="1" x14ac:dyDescent="0.25">
      <c r="AX787"/>
      <c r="AY787"/>
      <c r="AZ787"/>
      <c r="BA787"/>
      <c r="BB787"/>
      <c r="BC787"/>
      <c r="BD787"/>
      <c r="BE787"/>
      <c r="BF787"/>
      <c r="BG787"/>
      <c r="BH787"/>
      <c r="BI787"/>
      <c r="BJ787"/>
      <c r="BK787"/>
      <c r="BL787"/>
      <c r="BM787"/>
      <c r="BN787"/>
      <c r="BO787"/>
      <c r="BP787"/>
      <c r="BQ787"/>
      <c r="BR787"/>
      <c r="BY787"/>
      <c r="BZ787"/>
      <c r="CA787"/>
      <c r="CB787"/>
      <c r="CC787"/>
      <c r="CD787"/>
      <c r="CE787"/>
      <c r="CF787"/>
      <c r="CG787"/>
      <c r="CH787"/>
      <c r="CI787"/>
      <c r="CJ787"/>
      <c r="CK787"/>
      <c r="CL787"/>
      <c r="CM787"/>
      <c r="CN787"/>
      <c r="CO787"/>
      <c r="CP787"/>
      <c r="CQ787"/>
      <c r="CR787"/>
      <c r="CS787"/>
      <c r="CT787"/>
      <c r="CU787"/>
      <c r="CV787"/>
      <c r="CW787"/>
      <c r="CX787"/>
      <c r="CY787"/>
    </row>
    <row r="788" spans="50:103" ht="20.100000000000001" customHeight="1" x14ac:dyDescent="0.25">
      <c r="AX788"/>
      <c r="AY788"/>
      <c r="AZ788"/>
      <c r="BA788"/>
      <c r="BB788"/>
      <c r="BC788"/>
      <c r="BD788"/>
      <c r="BE788"/>
      <c r="BF788"/>
      <c r="BG788"/>
      <c r="BH788"/>
      <c r="BI788"/>
      <c r="BJ788"/>
      <c r="BK788"/>
      <c r="BL788"/>
      <c r="BM788"/>
      <c r="BN788"/>
      <c r="BO788"/>
      <c r="BP788"/>
      <c r="BQ788"/>
      <c r="BR788"/>
      <c r="BY788"/>
      <c r="BZ788"/>
      <c r="CA788"/>
      <c r="CB788"/>
      <c r="CC788"/>
      <c r="CD788"/>
      <c r="CE788"/>
      <c r="CF788"/>
      <c r="CG788"/>
      <c r="CH788"/>
      <c r="CI788"/>
      <c r="CJ788"/>
      <c r="CK788"/>
      <c r="CL788"/>
      <c r="CM788"/>
      <c r="CN788"/>
      <c r="CO788"/>
      <c r="CP788"/>
      <c r="CQ788"/>
      <c r="CR788"/>
      <c r="CS788"/>
      <c r="CT788"/>
      <c r="CU788"/>
      <c r="CV788"/>
      <c r="CW788"/>
      <c r="CX788"/>
      <c r="CY788"/>
    </row>
    <row r="789" spans="50:103" ht="20.100000000000001" customHeight="1" x14ac:dyDescent="0.25">
      <c r="AX789"/>
      <c r="AY789"/>
      <c r="AZ789"/>
      <c r="BA789"/>
      <c r="BB789"/>
      <c r="BC789"/>
      <c r="BD789"/>
      <c r="BE789"/>
      <c r="BF789"/>
      <c r="BG789"/>
      <c r="BH789"/>
      <c r="BI789"/>
      <c r="BJ789"/>
      <c r="BK789"/>
      <c r="BL789"/>
      <c r="BM789"/>
      <c r="BN789"/>
      <c r="BO789"/>
      <c r="BP789"/>
      <c r="BQ789"/>
      <c r="BR789"/>
      <c r="BY789"/>
      <c r="BZ789"/>
      <c r="CA789"/>
      <c r="CB789"/>
      <c r="CC789"/>
      <c r="CD789"/>
      <c r="CE789"/>
      <c r="CF789"/>
      <c r="CG789"/>
      <c r="CH789"/>
      <c r="CI789"/>
      <c r="CJ789"/>
      <c r="CK789"/>
      <c r="CL789"/>
      <c r="CM789"/>
      <c r="CN789"/>
      <c r="CO789"/>
      <c r="CP789"/>
      <c r="CQ789"/>
      <c r="CR789"/>
      <c r="CS789"/>
      <c r="CT789"/>
      <c r="CU789"/>
      <c r="CV789"/>
      <c r="CW789"/>
      <c r="CX789"/>
      <c r="CY789"/>
    </row>
    <row r="790" spans="50:103" ht="20.100000000000001" customHeight="1" x14ac:dyDescent="0.25">
      <c r="AX790"/>
      <c r="AY790"/>
      <c r="AZ790"/>
      <c r="BA790"/>
      <c r="BB790"/>
      <c r="BC790"/>
      <c r="BD790"/>
      <c r="BE790"/>
      <c r="BF790"/>
      <c r="BG790"/>
      <c r="BH790"/>
      <c r="BI790"/>
      <c r="BJ790"/>
      <c r="BK790"/>
      <c r="BL790"/>
      <c r="BM790"/>
      <c r="BN790"/>
      <c r="BO790"/>
      <c r="BP790"/>
      <c r="BQ790"/>
      <c r="BR790"/>
      <c r="BY790"/>
      <c r="BZ790"/>
      <c r="CA790"/>
      <c r="CB790"/>
      <c r="CC790"/>
      <c r="CD790"/>
      <c r="CE790"/>
      <c r="CF790"/>
      <c r="CG790"/>
      <c r="CH790"/>
      <c r="CI790"/>
      <c r="CJ790"/>
      <c r="CK790"/>
      <c r="CL790"/>
      <c r="CM790"/>
      <c r="CN790"/>
      <c r="CO790"/>
      <c r="CP790"/>
      <c r="CQ790"/>
      <c r="CR790"/>
      <c r="CS790"/>
      <c r="CT790"/>
      <c r="CU790"/>
      <c r="CV790"/>
      <c r="CW790"/>
      <c r="CX790"/>
      <c r="CY790"/>
    </row>
    <row r="791" spans="50:103" ht="20.100000000000001" customHeight="1" x14ac:dyDescent="0.25">
      <c r="AX791"/>
      <c r="AY791"/>
      <c r="AZ791"/>
      <c r="BA791"/>
      <c r="BB791"/>
      <c r="BC791"/>
      <c r="BD791"/>
      <c r="BE791"/>
      <c r="BF791"/>
      <c r="BG791"/>
      <c r="BH791"/>
      <c r="BI791"/>
      <c r="BJ791"/>
      <c r="BK791"/>
      <c r="BL791"/>
      <c r="BM791"/>
      <c r="BN791"/>
      <c r="BO791"/>
      <c r="BP791"/>
      <c r="BQ791"/>
      <c r="BR791"/>
      <c r="BY791"/>
      <c r="BZ791"/>
      <c r="CA791"/>
      <c r="CB791"/>
      <c r="CC791"/>
      <c r="CD791"/>
      <c r="CE791"/>
      <c r="CF791"/>
      <c r="CG791"/>
      <c r="CH791"/>
      <c r="CI791"/>
      <c r="CJ791"/>
      <c r="CK791"/>
      <c r="CL791"/>
      <c r="CM791"/>
      <c r="CN791"/>
      <c r="CO791"/>
      <c r="CP791"/>
      <c r="CQ791"/>
      <c r="CR791"/>
      <c r="CS791"/>
      <c r="CT791"/>
      <c r="CU791"/>
      <c r="CV791"/>
      <c r="CW791"/>
      <c r="CX791"/>
      <c r="CY791"/>
    </row>
    <row r="792" spans="50:103" ht="20.100000000000001" customHeight="1" x14ac:dyDescent="0.25">
      <c r="AX792"/>
      <c r="AY792"/>
      <c r="AZ792"/>
      <c r="BA792"/>
      <c r="BB792"/>
      <c r="BC792"/>
      <c r="BD792"/>
      <c r="BE792"/>
      <c r="BF792"/>
      <c r="BG792"/>
      <c r="BH792"/>
      <c r="BI792"/>
      <c r="BJ792"/>
      <c r="BK792"/>
      <c r="BL792"/>
      <c r="BM792"/>
      <c r="BN792"/>
      <c r="BO792"/>
      <c r="BP792"/>
      <c r="BQ792"/>
      <c r="BR792"/>
      <c r="BY792"/>
      <c r="BZ792"/>
      <c r="CA792"/>
      <c r="CB792"/>
      <c r="CC792"/>
      <c r="CD792"/>
      <c r="CE792"/>
      <c r="CF792"/>
      <c r="CG792"/>
      <c r="CH792"/>
      <c r="CI792"/>
      <c r="CJ792"/>
      <c r="CK792"/>
      <c r="CL792"/>
      <c r="CM792"/>
      <c r="CN792"/>
      <c r="CO792"/>
      <c r="CP792"/>
      <c r="CQ792"/>
      <c r="CR792"/>
      <c r="CS792"/>
      <c r="CT792"/>
      <c r="CU792"/>
      <c r="CV792"/>
      <c r="CW792"/>
      <c r="CX792"/>
      <c r="CY792"/>
    </row>
    <row r="793" spans="50:103" ht="20.100000000000001" customHeight="1" x14ac:dyDescent="0.25">
      <c r="AX793"/>
      <c r="AY793"/>
      <c r="AZ793"/>
      <c r="BA793"/>
      <c r="BB793"/>
      <c r="BC793"/>
      <c r="BD793"/>
      <c r="BE793"/>
      <c r="BF793"/>
      <c r="BG793"/>
      <c r="BH793"/>
      <c r="BI793"/>
      <c r="BJ793"/>
      <c r="BK793"/>
      <c r="BL793"/>
      <c r="BM793"/>
      <c r="BN793"/>
      <c r="BO793"/>
      <c r="BP793"/>
      <c r="BQ793"/>
      <c r="BR793"/>
      <c r="BY793"/>
      <c r="BZ793"/>
      <c r="CA793"/>
      <c r="CB793"/>
      <c r="CC793"/>
      <c r="CD793"/>
      <c r="CE793"/>
      <c r="CF793"/>
      <c r="CG793"/>
      <c r="CH793"/>
      <c r="CI793"/>
      <c r="CJ793"/>
      <c r="CK793"/>
      <c r="CL793"/>
      <c r="CM793"/>
      <c r="CN793"/>
      <c r="CO793"/>
      <c r="CP793"/>
      <c r="CQ793"/>
      <c r="CR793"/>
      <c r="CS793"/>
      <c r="CT793"/>
      <c r="CU793"/>
      <c r="CV793"/>
      <c r="CW793"/>
      <c r="CX793"/>
      <c r="CY793"/>
    </row>
    <row r="794" spans="50:103" ht="20.100000000000001" customHeight="1" x14ac:dyDescent="0.25">
      <c r="AX794"/>
      <c r="AY794"/>
      <c r="AZ794"/>
      <c r="BA794"/>
      <c r="BB794"/>
      <c r="BC794"/>
      <c r="BD794"/>
      <c r="BE794"/>
      <c r="BF794"/>
      <c r="BG794"/>
      <c r="BH794"/>
      <c r="BI794"/>
      <c r="BJ794"/>
      <c r="BK794"/>
      <c r="BL794"/>
      <c r="BM794"/>
      <c r="BN794"/>
      <c r="BO794"/>
      <c r="BP794"/>
      <c r="BQ794"/>
      <c r="BR794"/>
      <c r="BY794"/>
      <c r="BZ794"/>
      <c r="CA794"/>
      <c r="CB794"/>
      <c r="CC794"/>
      <c r="CD794"/>
      <c r="CE794"/>
      <c r="CF794"/>
      <c r="CG794"/>
      <c r="CH794"/>
      <c r="CI794"/>
      <c r="CJ794"/>
      <c r="CK794"/>
      <c r="CL794"/>
      <c r="CM794"/>
      <c r="CN794"/>
      <c r="CO794"/>
      <c r="CP794"/>
      <c r="CQ794"/>
      <c r="CR794"/>
      <c r="CS794"/>
      <c r="CT794"/>
      <c r="CU794"/>
      <c r="CV794"/>
      <c r="CW794"/>
      <c r="CX794"/>
      <c r="CY794"/>
    </row>
    <row r="795" spans="50:103" ht="20.100000000000001" customHeight="1" x14ac:dyDescent="0.25">
      <c r="AX795"/>
      <c r="AY795"/>
      <c r="AZ795"/>
      <c r="BA795"/>
      <c r="BB795"/>
      <c r="BC795"/>
      <c r="BD795"/>
      <c r="BE795"/>
      <c r="BF795"/>
      <c r="BG795"/>
      <c r="BH795"/>
      <c r="BI795"/>
      <c r="BJ795"/>
      <c r="BK795"/>
      <c r="BL795"/>
      <c r="BM795"/>
      <c r="BN795"/>
      <c r="BO795"/>
      <c r="BP795"/>
      <c r="BQ795"/>
      <c r="BR795"/>
      <c r="BY795"/>
      <c r="BZ795"/>
      <c r="CA795"/>
      <c r="CB795"/>
      <c r="CC795"/>
      <c r="CD795"/>
      <c r="CE795"/>
      <c r="CF795"/>
      <c r="CG795"/>
      <c r="CH795"/>
      <c r="CI795"/>
      <c r="CJ795"/>
      <c r="CK795"/>
      <c r="CL795"/>
      <c r="CM795"/>
      <c r="CN795"/>
      <c r="CO795"/>
      <c r="CP795"/>
      <c r="CQ795"/>
      <c r="CR795"/>
      <c r="CS795"/>
      <c r="CT795"/>
      <c r="CU795"/>
      <c r="CV795"/>
      <c r="CW795"/>
      <c r="CX795"/>
      <c r="CY795"/>
    </row>
    <row r="796" spans="50:103" ht="20.100000000000001" customHeight="1" x14ac:dyDescent="0.25">
      <c r="AX796"/>
      <c r="AY796"/>
      <c r="AZ796"/>
      <c r="BA796"/>
      <c r="BB796"/>
      <c r="BC796"/>
      <c r="BD796"/>
      <c r="BE796"/>
      <c r="BF796"/>
      <c r="BG796"/>
      <c r="BH796"/>
      <c r="BI796"/>
      <c r="BJ796"/>
      <c r="BK796"/>
      <c r="BL796"/>
      <c r="BM796"/>
      <c r="BN796"/>
      <c r="BO796"/>
      <c r="BP796"/>
      <c r="BQ796"/>
      <c r="BR796"/>
      <c r="BY796"/>
      <c r="BZ796"/>
      <c r="CA796"/>
      <c r="CB796"/>
      <c r="CC796"/>
      <c r="CD796"/>
      <c r="CE796"/>
      <c r="CF796"/>
      <c r="CG796"/>
      <c r="CH796"/>
      <c r="CI796"/>
      <c r="CJ796"/>
      <c r="CK796"/>
      <c r="CL796"/>
      <c r="CM796"/>
      <c r="CN796"/>
      <c r="CO796"/>
      <c r="CP796"/>
      <c r="CQ796"/>
      <c r="CR796"/>
      <c r="CS796"/>
      <c r="CT796"/>
      <c r="CU796"/>
      <c r="CV796"/>
      <c r="CW796"/>
      <c r="CX796"/>
      <c r="CY796"/>
    </row>
    <row r="797" spans="50:103" ht="20.100000000000001" customHeight="1" x14ac:dyDescent="0.25">
      <c r="AX797"/>
      <c r="AY797"/>
      <c r="AZ797"/>
      <c r="BA797"/>
      <c r="BB797"/>
      <c r="BC797"/>
      <c r="BD797"/>
      <c r="BE797"/>
      <c r="BF797"/>
      <c r="BG797"/>
      <c r="BH797"/>
      <c r="BI797"/>
      <c r="BJ797"/>
      <c r="BK797"/>
      <c r="BL797"/>
      <c r="BM797"/>
      <c r="BN797"/>
      <c r="BO797"/>
      <c r="BP797"/>
      <c r="BQ797"/>
      <c r="BR797"/>
      <c r="BY797"/>
      <c r="BZ797"/>
      <c r="CA797"/>
      <c r="CB797"/>
      <c r="CC797"/>
      <c r="CD797"/>
      <c r="CE797"/>
      <c r="CF797"/>
      <c r="CG797"/>
      <c r="CH797"/>
      <c r="CI797"/>
      <c r="CJ797"/>
      <c r="CK797"/>
      <c r="CL797"/>
      <c r="CM797"/>
      <c r="CN797"/>
      <c r="CO797"/>
      <c r="CP797"/>
      <c r="CQ797"/>
      <c r="CR797"/>
      <c r="CS797"/>
      <c r="CT797"/>
      <c r="CU797"/>
      <c r="CV797"/>
      <c r="CW797"/>
      <c r="CX797"/>
      <c r="CY797"/>
    </row>
    <row r="798" spans="50:103" ht="20.100000000000001" customHeight="1" x14ac:dyDescent="0.25">
      <c r="AX798"/>
      <c r="AY798"/>
      <c r="AZ798"/>
      <c r="BA798"/>
      <c r="BB798"/>
      <c r="BC798"/>
      <c r="BD798"/>
      <c r="BE798"/>
      <c r="BF798"/>
      <c r="BG798"/>
      <c r="BH798"/>
      <c r="BI798"/>
      <c r="BJ798"/>
      <c r="BK798"/>
      <c r="BL798"/>
      <c r="BM798"/>
      <c r="BN798"/>
      <c r="BO798"/>
      <c r="BP798"/>
      <c r="BQ798"/>
      <c r="BR798"/>
      <c r="BY798"/>
      <c r="BZ798"/>
      <c r="CA798"/>
      <c r="CB798"/>
      <c r="CC798"/>
      <c r="CD798"/>
      <c r="CE798"/>
      <c r="CF798"/>
      <c r="CG798"/>
      <c r="CH798"/>
      <c r="CI798"/>
      <c r="CJ798"/>
      <c r="CK798"/>
      <c r="CL798"/>
      <c r="CM798"/>
      <c r="CN798"/>
      <c r="CO798"/>
      <c r="CP798"/>
      <c r="CQ798"/>
      <c r="CR798"/>
      <c r="CS798"/>
      <c r="CT798"/>
      <c r="CU798"/>
      <c r="CV798"/>
      <c r="CW798"/>
      <c r="CX798"/>
      <c r="CY798"/>
    </row>
    <row r="799" spans="50:103" ht="20.100000000000001" customHeight="1" x14ac:dyDescent="0.25">
      <c r="AX799"/>
      <c r="AY799"/>
      <c r="AZ799"/>
      <c r="BA799"/>
      <c r="BB799"/>
      <c r="BC799"/>
      <c r="BD799"/>
      <c r="BE799"/>
      <c r="BF799"/>
      <c r="BG799"/>
      <c r="BH799"/>
      <c r="BI799"/>
      <c r="BJ799"/>
      <c r="BK799"/>
      <c r="BL799"/>
      <c r="BM799"/>
      <c r="BN799"/>
      <c r="BO799"/>
      <c r="BP799"/>
      <c r="BQ799"/>
      <c r="BR799"/>
      <c r="BY799"/>
      <c r="BZ799"/>
      <c r="CA799"/>
      <c r="CB799"/>
      <c r="CC799"/>
      <c r="CD799"/>
      <c r="CE799"/>
      <c r="CF799"/>
      <c r="CG799"/>
      <c r="CH799"/>
      <c r="CI799"/>
      <c r="CJ799"/>
      <c r="CK799"/>
      <c r="CL799"/>
      <c r="CM799"/>
      <c r="CN799"/>
      <c r="CO799"/>
      <c r="CP799"/>
      <c r="CQ799"/>
      <c r="CR799"/>
      <c r="CS799"/>
      <c r="CT799"/>
      <c r="CU799"/>
      <c r="CV799"/>
      <c r="CW799"/>
      <c r="CX799"/>
      <c r="CY799"/>
    </row>
    <row r="800" spans="50:103" ht="20.100000000000001" customHeight="1" x14ac:dyDescent="0.25">
      <c r="AX800"/>
      <c r="AY800"/>
      <c r="AZ800"/>
      <c r="BA800"/>
      <c r="BB800"/>
      <c r="BC800"/>
      <c r="BD800"/>
      <c r="BE800"/>
      <c r="BF800"/>
      <c r="BG800"/>
      <c r="BH800"/>
      <c r="BI800"/>
      <c r="BJ800"/>
      <c r="BK800"/>
      <c r="BL800"/>
      <c r="BM800"/>
      <c r="BN800"/>
      <c r="BO800"/>
      <c r="BP800"/>
      <c r="BQ800"/>
      <c r="BR800"/>
      <c r="BY800"/>
      <c r="BZ800"/>
      <c r="CA800"/>
      <c r="CB800"/>
      <c r="CC800"/>
      <c r="CD800"/>
      <c r="CE800"/>
      <c r="CF800"/>
      <c r="CG800"/>
      <c r="CH800"/>
      <c r="CI800"/>
      <c r="CJ800"/>
      <c r="CK800"/>
      <c r="CL800"/>
      <c r="CM800"/>
      <c r="CN800"/>
      <c r="CO800"/>
      <c r="CP800"/>
      <c r="CQ800"/>
      <c r="CR800"/>
      <c r="CS800"/>
      <c r="CT800"/>
      <c r="CU800"/>
      <c r="CV800"/>
      <c r="CW800"/>
      <c r="CX800"/>
      <c r="CY800"/>
    </row>
    <row r="801" spans="50:103" ht="20.100000000000001" customHeight="1" x14ac:dyDescent="0.25">
      <c r="AX801"/>
      <c r="AY801"/>
      <c r="AZ801"/>
      <c r="BA801"/>
      <c r="BB801"/>
      <c r="BC801"/>
      <c r="BD801"/>
      <c r="BE801"/>
      <c r="BF801"/>
      <c r="BG801"/>
      <c r="BH801"/>
      <c r="BI801"/>
      <c r="BJ801"/>
      <c r="BK801"/>
      <c r="BL801"/>
      <c r="BM801"/>
      <c r="BN801"/>
      <c r="BO801"/>
      <c r="BP801"/>
      <c r="BQ801"/>
      <c r="BR801"/>
      <c r="BY801"/>
      <c r="BZ801"/>
      <c r="CA801"/>
      <c r="CB801"/>
      <c r="CC801"/>
      <c r="CD801"/>
      <c r="CE801"/>
      <c r="CF801"/>
      <c r="CG801"/>
      <c r="CH801"/>
      <c r="CI801"/>
      <c r="CJ801"/>
      <c r="CK801"/>
      <c r="CL801"/>
      <c r="CM801"/>
      <c r="CN801"/>
      <c r="CO801"/>
      <c r="CP801"/>
      <c r="CQ801"/>
      <c r="CR801"/>
      <c r="CS801"/>
      <c r="CT801"/>
      <c r="CU801"/>
      <c r="CV801"/>
      <c r="CW801"/>
      <c r="CX801"/>
      <c r="CY801"/>
    </row>
    <row r="802" spans="50:103" ht="20.100000000000001" customHeight="1" x14ac:dyDescent="0.25">
      <c r="AX802"/>
      <c r="AY802"/>
      <c r="AZ802"/>
      <c r="BA802"/>
      <c r="BB802"/>
      <c r="BC802"/>
      <c r="BD802"/>
      <c r="BE802"/>
      <c r="BF802"/>
      <c r="BG802"/>
      <c r="BH802"/>
      <c r="BI802"/>
      <c r="BJ802"/>
      <c r="BK802"/>
      <c r="BL802"/>
      <c r="BM802"/>
      <c r="BN802"/>
      <c r="BO802"/>
      <c r="BP802"/>
      <c r="BQ802"/>
      <c r="BR802"/>
      <c r="BY802"/>
      <c r="BZ802"/>
      <c r="CA802"/>
      <c r="CB802"/>
      <c r="CC802"/>
      <c r="CD802"/>
      <c r="CE802"/>
      <c r="CF802"/>
      <c r="CG802"/>
      <c r="CH802"/>
      <c r="CI802"/>
      <c r="CJ802"/>
      <c r="CK802"/>
      <c r="CL802"/>
      <c r="CM802"/>
      <c r="CN802"/>
      <c r="CO802"/>
      <c r="CP802"/>
      <c r="CQ802"/>
      <c r="CR802"/>
      <c r="CS802"/>
      <c r="CT802"/>
      <c r="CU802"/>
      <c r="CV802"/>
      <c r="CW802"/>
      <c r="CX802"/>
      <c r="CY802"/>
    </row>
    <row r="803" spans="50:103" ht="20.100000000000001" customHeight="1" x14ac:dyDescent="0.25">
      <c r="AX803"/>
      <c r="AY803"/>
      <c r="AZ803"/>
      <c r="BA803"/>
      <c r="BB803"/>
      <c r="BC803"/>
      <c r="BD803"/>
      <c r="BE803"/>
      <c r="BF803"/>
      <c r="BG803"/>
      <c r="BH803"/>
      <c r="BI803"/>
      <c r="BJ803"/>
      <c r="BK803"/>
      <c r="BL803"/>
      <c r="BM803"/>
      <c r="BN803"/>
      <c r="BO803"/>
      <c r="BP803"/>
      <c r="BQ803"/>
      <c r="BR803"/>
      <c r="BY803"/>
      <c r="BZ803"/>
      <c r="CA803"/>
      <c r="CB803"/>
      <c r="CC803"/>
      <c r="CD803"/>
      <c r="CE803"/>
      <c r="CF803"/>
      <c r="CG803"/>
      <c r="CH803"/>
      <c r="CI803"/>
      <c r="CJ803"/>
      <c r="CK803"/>
      <c r="CL803"/>
      <c r="CM803"/>
      <c r="CN803"/>
      <c r="CO803"/>
      <c r="CP803"/>
      <c r="CQ803"/>
      <c r="CR803"/>
      <c r="CS803"/>
      <c r="CT803"/>
      <c r="CU803"/>
      <c r="CV803"/>
      <c r="CW803"/>
      <c r="CX803"/>
      <c r="CY803"/>
    </row>
    <row r="804" spans="50:103" ht="20.100000000000001" customHeight="1" x14ac:dyDescent="0.25">
      <c r="AX804"/>
      <c r="AY804"/>
      <c r="AZ804"/>
      <c r="BA804"/>
      <c r="BB804"/>
      <c r="BC804"/>
      <c r="BD804"/>
      <c r="BE804"/>
      <c r="BF804"/>
      <c r="BG804"/>
      <c r="BH804"/>
      <c r="BI804"/>
      <c r="BJ804"/>
      <c r="BK804"/>
      <c r="BL804"/>
      <c r="BM804"/>
      <c r="BN804"/>
      <c r="BO804"/>
      <c r="BP804"/>
      <c r="BQ804"/>
      <c r="BR804"/>
      <c r="BY804"/>
      <c r="BZ804"/>
      <c r="CA804"/>
      <c r="CB804"/>
      <c r="CC804"/>
      <c r="CD804"/>
      <c r="CE804"/>
      <c r="CF804"/>
      <c r="CG804"/>
      <c r="CH804"/>
      <c r="CI804"/>
      <c r="CJ804"/>
      <c r="CK804"/>
      <c r="CL804"/>
      <c r="CM804"/>
      <c r="CN804"/>
      <c r="CO804"/>
      <c r="CP804"/>
      <c r="CQ804"/>
      <c r="CR804"/>
      <c r="CS804"/>
      <c r="CT804"/>
      <c r="CU804"/>
      <c r="CV804"/>
      <c r="CW804"/>
      <c r="CX804"/>
      <c r="CY804"/>
    </row>
    <row r="805" spans="50:103" ht="20.100000000000001" customHeight="1" x14ac:dyDescent="0.25">
      <c r="AX805"/>
      <c r="AY805"/>
      <c r="AZ805"/>
      <c r="BA805"/>
      <c r="BB805"/>
      <c r="BC805"/>
      <c r="BD805"/>
      <c r="BE805"/>
      <c r="BF805"/>
      <c r="BG805"/>
      <c r="BH805"/>
      <c r="BI805"/>
      <c r="BJ805"/>
      <c r="BK805"/>
      <c r="BL805"/>
      <c r="BM805"/>
      <c r="BN805"/>
      <c r="BO805"/>
      <c r="BP805"/>
      <c r="BQ805"/>
      <c r="BR805"/>
      <c r="BY805"/>
      <c r="BZ805"/>
      <c r="CA805"/>
      <c r="CB805"/>
      <c r="CC805"/>
      <c r="CD805"/>
      <c r="CE805"/>
      <c r="CF805"/>
      <c r="CG805"/>
      <c r="CH805"/>
      <c r="CI805"/>
      <c r="CJ805"/>
      <c r="CK805"/>
      <c r="CL805"/>
      <c r="CM805"/>
      <c r="CN805"/>
      <c r="CO805"/>
      <c r="CP805"/>
      <c r="CQ805"/>
      <c r="CR805"/>
      <c r="CS805"/>
      <c r="CT805"/>
      <c r="CU805"/>
      <c r="CV805"/>
      <c r="CW805"/>
      <c r="CX805"/>
      <c r="CY805"/>
    </row>
    <row r="806" spans="50:103" ht="20.100000000000001" customHeight="1" x14ac:dyDescent="0.25">
      <c r="AX806"/>
      <c r="AY806"/>
      <c r="AZ806"/>
      <c r="BA806"/>
      <c r="BB806"/>
      <c r="BC806"/>
      <c r="BD806"/>
      <c r="BE806"/>
      <c r="BF806"/>
      <c r="BG806"/>
      <c r="BH806"/>
      <c r="BI806"/>
      <c r="BJ806"/>
      <c r="BK806"/>
      <c r="BL806"/>
      <c r="BM806"/>
      <c r="BN806"/>
      <c r="BO806"/>
      <c r="BP806"/>
      <c r="BQ806"/>
      <c r="BR806"/>
      <c r="BY806"/>
      <c r="BZ806"/>
      <c r="CA806"/>
      <c r="CB806"/>
      <c r="CC806"/>
      <c r="CD806"/>
      <c r="CE806"/>
      <c r="CF806"/>
      <c r="CG806"/>
      <c r="CH806"/>
      <c r="CI806"/>
      <c r="CJ806"/>
      <c r="CK806"/>
      <c r="CL806"/>
      <c r="CM806"/>
      <c r="CN806"/>
      <c r="CO806"/>
      <c r="CP806"/>
      <c r="CQ806"/>
      <c r="CR806"/>
      <c r="CS806"/>
      <c r="CT806"/>
      <c r="CU806"/>
      <c r="CV806"/>
      <c r="CW806"/>
      <c r="CX806"/>
      <c r="CY806"/>
    </row>
    <row r="807" spans="50:103" ht="20.100000000000001" customHeight="1" x14ac:dyDescent="0.25">
      <c r="AX807"/>
      <c r="AY807"/>
      <c r="AZ807"/>
      <c r="BA807"/>
      <c r="BB807"/>
      <c r="BC807"/>
      <c r="BD807"/>
      <c r="BE807"/>
      <c r="BF807"/>
      <c r="BG807"/>
      <c r="BH807"/>
      <c r="BI807"/>
      <c r="BJ807"/>
      <c r="BK807"/>
      <c r="BL807"/>
      <c r="BM807"/>
      <c r="BN807"/>
      <c r="BO807"/>
      <c r="BP807"/>
      <c r="BQ807"/>
      <c r="BR807"/>
      <c r="BY807"/>
      <c r="BZ807"/>
      <c r="CA807"/>
      <c r="CB807"/>
      <c r="CC807"/>
      <c r="CD807"/>
      <c r="CE807"/>
      <c r="CF807"/>
      <c r="CG807"/>
      <c r="CH807"/>
      <c r="CI807"/>
      <c r="CJ807"/>
      <c r="CK807"/>
      <c r="CL807"/>
      <c r="CM807"/>
      <c r="CN807"/>
      <c r="CO807"/>
      <c r="CP807"/>
      <c r="CQ807"/>
      <c r="CR807"/>
      <c r="CS807"/>
      <c r="CT807"/>
      <c r="CU807"/>
      <c r="CV807"/>
      <c r="CW807"/>
      <c r="CX807"/>
      <c r="CY807"/>
    </row>
    <row r="808" spans="50:103" ht="20.100000000000001" customHeight="1" x14ac:dyDescent="0.25">
      <c r="AX808"/>
      <c r="AY808"/>
      <c r="AZ808"/>
      <c r="BA808"/>
      <c r="BB808"/>
      <c r="BC808"/>
      <c r="BD808"/>
      <c r="BE808"/>
      <c r="BF808"/>
      <c r="BG808"/>
      <c r="BH808"/>
      <c r="BI808"/>
      <c r="BJ808"/>
      <c r="BK808"/>
      <c r="BL808"/>
      <c r="BM808"/>
      <c r="BN808"/>
      <c r="BO808"/>
      <c r="BP808"/>
      <c r="BQ808"/>
      <c r="BR808"/>
      <c r="BY808"/>
      <c r="BZ808"/>
      <c r="CA808"/>
      <c r="CB808"/>
      <c r="CC808"/>
      <c r="CD808"/>
      <c r="CE808"/>
      <c r="CF808"/>
      <c r="CG808"/>
      <c r="CH808"/>
      <c r="CI808"/>
      <c r="CJ808"/>
      <c r="CK808"/>
      <c r="CL808"/>
      <c r="CM808"/>
      <c r="CN808"/>
      <c r="CO808"/>
      <c r="CP808"/>
      <c r="CQ808"/>
      <c r="CR808"/>
      <c r="CS808"/>
      <c r="CT808"/>
      <c r="CU808"/>
      <c r="CV808"/>
      <c r="CW808"/>
      <c r="CX808"/>
      <c r="CY808"/>
    </row>
    <row r="809" spans="50:103" ht="20.100000000000001" customHeight="1" x14ac:dyDescent="0.25">
      <c r="AX809"/>
      <c r="AY809"/>
      <c r="AZ809"/>
      <c r="BA809"/>
      <c r="BB809"/>
      <c r="BC809"/>
      <c r="BD809"/>
      <c r="BE809"/>
      <c r="BF809"/>
      <c r="BG809"/>
      <c r="BH809"/>
      <c r="BI809"/>
      <c r="BJ809"/>
      <c r="BK809"/>
      <c r="BL809"/>
      <c r="BM809"/>
      <c r="BN809"/>
      <c r="BO809"/>
      <c r="BP809"/>
      <c r="BQ809"/>
      <c r="BR809"/>
      <c r="BY809"/>
      <c r="BZ809"/>
      <c r="CA809"/>
      <c r="CB809"/>
      <c r="CC809"/>
      <c r="CD809"/>
      <c r="CE809"/>
      <c r="CF809"/>
      <c r="CG809"/>
      <c r="CH809"/>
      <c r="CI809"/>
      <c r="CJ809"/>
      <c r="CK809"/>
      <c r="CL809"/>
      <c r="CM809"/>
      <c r="CN809"/>
      <c r="CO809"/>
      <c r="CP809"/>
      <c r="CQ809"/>
      <c r="CR809"/>
      <c r="CS809"/>
      <c r="CT809"/>
      <c r="CU809"/>
      <c r="CV809"/>
      <c r="CW809"/>
      <c r="CX809"/>
      <c r="CY809"/>
    </row>
    <row r="810" spans="50:103" ht="20.100000000000001" customHeight="1" x14ac:dyDescent="0.25">
      <c r="AX810"/>
      <c r="AY810"/>
      <c r="AZ810"/>
      <c r="BA810"/>
      <c r="BB810"/>
      <c r="BC810"/>
      <c r="BD810"/>
      <c r="BE810"/>
      <c r="BF810"/>
      <c r="BG810"/>
      <c r="BH810"/>
      <c r="BI810"/>
      <c r="BJ810"/>
      <c r="BK810"/>
      <c r="BL810"/>
      <c r="BM810"/>
      <c r="BN810"/>
      <c r="BO810"/>
      <c r="BP810"/>
      <c r="BQ810"/>
      <c r="BR810"/>
      <c r="BY810"/>
      <c r="BZ810"/>
      <c r="CA810"/>
      <c r="CB810"/>
      <c r="CC810"/>
      <c r="CD810"/>
      <c r="CE810"/>
      <c r="CF810"/>
      <c r="CG810"/>
      <c r="CH810"/>
      <c r="CI810"/>
      <c r="CJ810"/>
      <c r="CK810"/>
      <c r="CL810"/>
      <c r="CM810"/>
      <c r="CN810"/>
      <c r="CO810"/>
      <c r="CP810"/>
      <c r="CQ810"/>
      <c r="CR810"/>
      <c r="CS810"/>
      <c r="CT810"/>
      <c r="CU810"/>
      <c r="CV810"/>
      <c r="CW810"/>
      <c r="CX810"/>
      <c r="CY810"/>
    </row>
    <row r="811" spans="50:103" ht="20.100000000000001" customHeight="1" x14ac:dyDescent="0.25">
      <c r="AX811"/>
      <c r="AY811"/>
      <c r="AZ811"/>
      <c r="BA811"/>
      <c r="BB811"/>
      <c r="BC811"/>
      <c r="BD811"/>
      <c r="BE811"/>
      <c r="BF811"/>
      <c r="BG811"/>
      <c r="BH811"/>
      <c r="BI811"/>
      <c r="BJ811"/>
      <c r="BK811"/>
      <c r="BL811"/>
      <c r="BM811"/>
      <c r="BN811"/>
      <c r="BO811"/>
      <c r="BP811"/>
      <c r="BQ811"/>
      <c r="BR811"/>
      <c r="BY811"/>
      <c r="BZ811"/>
      <c r="CA811"/>
      <c r="CB811"/>
      <c r="CC811"/>
      <c r="CD811"/>
      <c r="CE811"/>
      <c r="CF811"/>
      <c r="CG811"/>
      <c r="CH811"/>
      <c r="CI811"/>
      <c r="CJ811"/>
      <c r="CK811"/>
      <c r="CL811"/>
      <c r="CM811"/>
      <c r="CN811"/>
      <c r="CO811"/>
      <c r="CP811"/>
      <c r="CQ811"/>
      <c r="CR811"/>
      <c r="CS811"/>
      <c r="CT811"/>
      <c r="CU811"/>
      <c r="CV811"/>
      <c r="CW811"/>
      <c r="CX811"/>
      <c r="CY811"/>
    </row>
    <row r="812" spans="50:103" ht="20.100000000000001" customHeight="1" x14ac:dyDescent="0.25">
      <c r="AX812"/>
      <c r="AY812"/>
      <c r="AZ812"/>
      <c r="BA812"/>
      <c r="BB812"/>
      <c r="BC812"/>
      <c r="BD812"/>
      <c r="BE812"/>
      <c r="BF812"/>
      <c r="BG812"/>
      <c r="BH812"/>
      <c r="BI812"/>
      <c r="BJ812"/>
      <c r="BK812"/>
      <c r="BL812"/>
      <c r="BM812"/>
      <c r="BN812"/>
      <c r="BO812"/>
      <c r="BP812"/>
      <c r="BQ812"/>
      <c r="BR812"/>
      <c r="BY812"/>
      <c r="BZ812"/>
      <c r="CA812"/>
      <c r="CB812"/>
      <c r="CC812"/>
      <c r="CD812"/>
      <c r="CE812"/>
      <c r="CF812"/>
      <c r="CG812"/>
      <c r="CH812"/>
      <c r="CI812"/>
      <c r="CJ812"/>
      <c r="CK812"/>
      <c r="CL812"/>
      <c r="CM812"/>
      <c r="CN812"/>
      <c r="CO812"/>
      <c r="CP812"/>
      <c r="CQ812"/>
      <c r="CR812"/>
      <c r="CS812"/>
      <c r="CT812"/>
      <c r="CU812"/>
      <c r="CV812"/>
      <c r="CW812"/>
      <c r="CX812"/>
      <c r="CY812"/>
    </row>
    <row r="813" spans="50:103" ht="20.100000000000001" customHeight="1" x14ac:dyDescent="0.25">
      <c r="AX813"/>
      <c r="AY813"/>
      <c r="AZ813"/>
      <c r="BA813"/>
      <c r="BB813"/>
      <c r="BC813"/>
      <c r="BD813"/>
      <c r="BE813"/>
      <c r="BF813"/>
      <c r="BG813"/>
      <c r="BH813"/>
      <c r="BI813"/>
      <c r="BJ813"/>
      <c r="BK813"/>
      <c r="BL813"/>
      <c r="BM813"/>
      <c r="BN813"/>
      <c r="BO813"/>
      <c r="BP813"/>
      <c r="BQ813"/>
      <c r="BR813"/>
      <c r="BY813"/>
      <c r="BZ813"/>
      <c r="CA813"/>
      <c r="CB813"/>
      <c r="CC813"/>
      <c r="CD813"/>
      <c r="CE813"/>
      <c r="CF813"/>
      <c r="CG813"/>
      <c r="CH813"/>
      <c r="CI813"/>
      <c r="CJ813"/>
      <c r="CK813"/>
      <c r="CL813"/>
      <c r="CM813"/>
      <c r="CN813"/>
      <c r="CO813"/>
      <c r="CP813"/>
      <c r="CQ813"/>
      <c r="CR813"/>
      <c r="CS813"/>
      <c r="CT813"/>
      <c r="CU813"/>
      <c r="CV813"/>
      <c r="CW813"/>
      <c r="CX813"/>
      <c r="CY813"/>
    </row>
    <row r="814" spans="50:103" ht="20.100000000000001" customHeight="1" x14ac:dyDescent="0.25">
      <c r="AX814"/>
      <c r="AY814"/>
      <c r="AZ814"/>
      <c r="BA814"/>
      <c r="BB814"/>
      <c r="BC814"/>
      <c r="BD814"/>
      <c r="BE814"/>
      <c r="BF814"/>
      <c r="BG814"/>
      <c r="BH814"/>
      <c r="BI814"/>
      <c r="BJ814"/>
      <c r="BK814"/>
      <c r="BL814"/>
      <c r="BM814"/>
      <c r="BN814"/>
      <c r="BO814"/>
      <c r="BP814"/>
      <c r="BQ814"/>
      <c r="BR814"/>
      <c r="BY814"/>
      <c r="BZ814"/>
      <c r="CA814"/>
      <c r="CB814"/>
      <c r="CC814"/>
      <c r="CD814"/>
      <c r="CE814"/>
      <c r="CF814"/>
      <c r="CG814"/>
      <c r="CH814"/>
      <c r="CI814"/>
      <c r="CJ814"/>
      <c r="CK814"/>
      <c r="CL814"/>
      <c r="CM814"/>
      <c r="CN814"/>
      <c r="CO814"/>
      <c r="CP814"/>
      <c r="CQ814"/>
      <c r="CR814"/>
      <c r="CS814"/>
      <c r="CT814"/>
      <c r="CU814"/>
      <c r="CV814"/>
      <c r="CW814"/>
      <c r="CX814"/>
      <c r="CY814"/>
    </row>
    <row r="815" spans="50:103" ht="20.100000000000001" customHeight="1" x14ac:dyDescent="0.25">
      <c r="AX815"/>
      <c r="AY815"/>
      <c r="AZ815"/>
      <c r="BA815"/>
      <c r="BB815"/>
      <c r="BC815"/>
      <c r="BD815"/>
      <c r="BE815"/>
      <c r="BF815"/>
      <c r="BG815"/>
      <c r="BH815"/>
      <c r="BI815"/>
      <c r="BJ815"/>
      <c r="BK815"/>
      <c r="BL815"/>
      <c r="BM815"/>
      <c r="BN815"/>
      <c r="BO815"/>
      <c r="BP815"/>
      <c r="BQ815"/>
      <c r="BR815"/>
      <c r="BY815"/>
      <c r="BZ815"/>
      <c r="CA815"/>
      <c r="CB815"/>
      <c r="CC815"/>
      <c r="CD815"/>
      <c r="CE815"/>
      <c r="CF815"/>
      <c r="CG815"/>
      <c r="CH815"/>
      <c r="CI815"/>
      <c r="CJ815"/>
      <c r="CK815"/>
      <c r="CL815"/>
      <c r="CM815"/>
      <c r="CN815"/>
      <c r="CO815"/>
      <c r="CP815"/>
      <c r="CQ815"/>
      <c r="CR815"/>
      <c r="CS815"/>
      <c r="CT815"/>
      <c r="CU815"/>
      <c r="CV815"/>
      <c r="CW815"/>
      <c r="CX815"/>
      <c r="CY815"/>
    </row>
    <row r="816" spans="50:103" ht="20.100000000000001" customHeight="1" x14ac:dyDescent="0.25">
      <c r="AX816"/>
      <c r="AY816"/>
      <c r="AZ816"/>
      <c r="BA816"/>
      <c r="BB816"/>
      <c r="BC816"/>
      <c r="BD816"/>
      <c r="BE816"/>
      <c r="BF816"/>
      <c r="BG816"/>
      <c r="BH816"/>
      <c r="BI816"/>
      <c r="BJ816"/>
      <c r="BK816"/>
      <c r="BL816"/>
      <c r="BM816"/>
      <c r="BN816"/>
      <c r="BO816"/>
      <c r="BP816"/>
      <c r="BQ816"/>
      <c r="BR816"/>
      <c r="BY816"/>
      <c r="BZ816"/>
      <c r="CA816"/>
      <c r="CB816"/>
      <c r="CC816"/>
      <c r="CD816"/>
      <c r="CE816"/>
      <c r="CF816"/>
      <c r="CG816"/>
      <c r="CH816"/>
      <c r="CI816"/>
      <c r="CJ816"/>
      <c r="CK816"/>
      <c r="CL816"/>
      <c r="CM816"/>
      <c r="CN816"/>
      <c r="CO816"/>
      <c r="CP816"/>
      <c r="CQ816"/>
      <c r="CR816"/>
      <c r="CS816"/>
      <c r="CT816"/>
      <c r="CU816"/>
      <c r="CV816"/>
      <c r="CW816"/>
      <c r="CX816"/>
      <c r="CY816"/>
    </row>
    <row r="817" spans="50:103" ht="20.100000000000001" customHeight="1" x14ac:dyDescent="0.25">
      <c r="AX817"/>
      <c r="AY817"/>
      <c r="AZ817"/>
      <c r="BA817"/>
      <c r="BB817"/>
      <c r="BC817"/>
      <c r="BD817"/>
      <c r="BE817"/>
      <c r="BF817"/>
      <c r="BG817"/>
      <c r="BH817"/>
      <c r="BI817"/>
      <c r="BJ817"/>
      <c r="BK817"/>
      <c r="BL817"/>
      <c r="BM817"/>
      <c r="BN817"/>
      <c r="BO817"/>
      <c r="BP817"/>
      <c r="BQ817"/>
      <c r="BR817"/>
      <c r="BY817"/>
      <c r="BZ817"/>
      <c r="CA817"/>
      <c r="CB817"/>
      <c r="CC817"/>
      <c r="CD817"/>
      <c r="CE817"/>
      <c r="CF817"/>
      <c r="CG817"/>
      <c r="CH817"/>
      <c r="CI817"/>
      <c r="CJ817"/>
      <c r="CK817"/>
      <c r="CL817"/>
      <c r="CM817"/>
      <c r="CN817"/>
      <c r="CO817"/>
      <c r="CP817"/>
      <c r="CQ817"/>
      <c r="CR817"/>
      <c r="CS817"/>
      <c r="CT817"/>
      <c r="CU817"/>
      <c r="CV817"/>
      <c r="CW817"/>
      <c r="CX817"/>
      <c r="CY817"/>
    </row>
    <row r="818" spans="50:103" ht="20.100000000000001" customHeight="1" x14ac:dyDescent="0.25">
      <c r="AX818"/>
      <c r="AY818"/>
      <c r="AZ818"/>
      <c r="BA818"/>
      <c r="BB818"/>
      <c r="BC818"/>
      <c r="BD818"/>
      <c r="BE818"/>
      <c r="BF818"/>
      <c r="BG818"/>
      <c r="BH818"/>
      <c r="BI818"/>
      <c r="BJ818"/>
      <c r="BK818"/>
      <c r="BL818"/>
      <c r="BM818"/>
      <c r="BN818"/>
      <c r="BO818"/>
      <c r="BP818"/>
      <c r="BQ818"/>
      <c r="BR818"/>
      <c r="BY818"/>
      <c r="BZ818"/>
      <c r="CA818"/>
      <c r="CB818"/>
      <c r="CC818"/>
      <c r="CD818"/>
      <c r="CE818"/>
      <c r="CF818"/>
      <c r="CG818"/>
      <c r="CH818"/>
      <c r="CI818"/>
      <c r="CJ818"/>
      <c r="CK818"/>
      <c r="CL818"/>
      <c r="CM818"/>
      <c r="CN818"/>
      <c r="CO818"/>
      <c r="CP818"/>
      <c r="CQ818"/>
      <c r="CR818"/>
      <c r="CS818"/>
      <c r="CT818"/>
      <c r="CU818"/>
      <c r="CV818"/>
      <c r="CW818"/>
      <c r="CX818"/>
      <c r="CY818"/>
    </row>
    <row r="819" spans="50:103" ht="20.100000000000001" customHeight="1" x14ac:dyDescent="0.25">
      <c r="AX819"/>
      <c r="AY819"/>
      <c r="AZ819"/>
      <c r="BA819"/>
      <c r="BB819"/>
      <c r="BC819"/>
      <c r="BD819"/>
      <c r="BE819"/>
      <c r="BF819"/>
      <c r="BG819"/>
      <c r="BH819"/>
      <c r="BI819"/>
      <c r="BJ819"/>
      <c r="BK819"/>
      <c r="BL819"/>
      <c r="BM819"/>
      <c r="BN819"/>
      <c r="BO819"/>
      <c r="BP819"/>
      <c r="BQ819"/>
      <c r="BR819"/>
      <c r="BY819"/>
      <c r="BZ819"/>
      <c r="CA819"/>
      <c r="CB819"/>
      <c r="CC819"/>
      <c r="CD819"/>
      <c r="CE819"/>
      <c r="CF819"/>
      <c r="CG819"/>
      <c r="CH819"/>
      <c r="CI819"/>
      <c r="CJ819"/>
      <c r="CK819"/>
      <c r="CL819"/>
      <c r="CM819"/>
      <c r="CN819"/>
      <c r="CO819"/>
      <c r="CP819"/>
      <c r="CQ819"/>
      <c r="CR819"/>
      <c r="CS819"/>
      <c r="CT819"/>
      <c r="CU819"/>
      <c r="CV819"/>
      <c r="CW819"/>
      <c r="CX819"/>
      <c r="CY819"/>
    </row>
    <row r="820" spans="50:103" ht="20.100000000000001" customHeight="1" x14ac:dyDescent="0.25">
      <c r="AX820"/>
      <c r="AY820"/>
      <c r="AZ820"/>
      <c r="BA820"/>
      <c r="BB820"/>
      <c r="BC820"/>
      <c r="BD820"/>
      <c r="BE820"/>
      <c r="BF820"/>
      <c r="BG820"/>
      <c r="BH820"/>
      <c r="BI820"/>
      <c r="BJ820"/>
      <c r="BK820"/>
      <c r="BL820"/>
      <c r="BM820"/>
      <c r="BN820"/>
      <c r="BO820"/>
      <c r="BP820"/>
      <c r="BQ820"/>
      <c r="BR820"/>
      <c r="BY820"/>
      <c r="BZ820"/>
      <c r="CA820"/>
      <c r="CB820"/>
      <c r="CC820"/>
      <c r="CD820"/>
      <c r="CE820"/>
      <c r="CF820"/>
      <c r="CG820"/>
      <c r="CH820"/>
      <c r="CI820"/>
      <c r="CJ820"/>
      <c r="CK820"/>
      <c r="CL820"/>
      <c r="CM820"/>
      <c r="CN820"/>
      <c r="CO820"/>
      <c r="CP820"/>
      <c r="CQ820"/>
      <c r="CR820"/>
      <c r="CS820"/>
      <c r="CT820"/>
      <c r="CU820"/>
      <c r="CV820"/>
      <c r="CW820"/>
      <c r="CX820"/>
      <c r="CY820"/>
    </row>
    <row r="821" spans="50:103" ht="20.100000000000001" customHeight="1" x14ac:dyDescent="0.25">
      <c r="AX821"/>
      <c r="AY821"/>
      <c r="AZ821"/>
      <c r="BA821"/>
      <c r="BB821"/>
      <c r="BC821"/>
      <c r="BD821"/>
      <c r="BE821"/>
      <c r="BF821"/>
      <c r="BG821"/>
      <c r="BH821"/>
      <c r="BI821"/>
      <c r="BJ821"/>
      <c r="BK821"/>
      <c r="BL821"/>
      <c r="BM821"/>
      <c r="BN821"/>
      <c r="BO821"/>
      <c r="BP821"/>
      <c r="BQ821"/>
      <c r="BR821"/>
      <c r="BY821"/>
      <c r="BZ821"/>
      <c r="CA821"/>
      <c r="CB821"/>
      <c r="CC821"/>
      <c r="CD821"/>
      <c r="CE821"/>
      <c r="CF821"/>
      <c r="CG821"/>
      <c r="CH821"/>
      <c r="CI821"/>
      <c r="CJ821"/>
      <c r="CK821"/>
      <c r="CL821"/>
      <c r="CM821"/>
      <c r="CN821"/>
      <c r="CO821"/>
      <c r="CP821"/>
      <c r="CQ821"/>
      <c r="CR821"/>
      <c r="CS821"/>
      <c r="CT821"/>
      <c r="CU821"/>
      <c r="CV821"/>
      <c r="CW821"/>
      <c r="CX821"/>
      <c r="CY821"/>
    </row>
    <row r="822" spans="50:103" ht="20.100000000000001" customHeight="1" x14ac:dyDescent="0.25">
      <c r="AX822"/>
      <c r="AY822"/>
      <c r="AZ822"/>
      <c r="BA822"/>
      <c r="BB822"/>
      <c r="BC822"/>
      <c r="BD822"/>
      <c r="BE822"/>
      <c r="BF822"/>
      <c r="BG822"/>
      <c r="BH822"/>
      <c r="BI822"/>
      <c r="BJ822"/>
      <c r="BK822"/>
      <c r="BL822"/>
      <c r="BM822"/>
      <c r="BN822"/>
      <c r="BO822"/>
      <c r="BP822"/>
      <c r="BQ822"/>
      <c r="BR822"/>
      <c r="BY822"/>
      <c r="BZ822"/>
      <c r="CA822"/>
      <c r="CB822"/>
      <c r="CC822"/>
      <c r="CD822"/>
      <c r="CE822"/>
      <c r="CF822"/>
      <c r="CG822"/>
      <c r="CH822"/>
      <c r="CI822"/>
      <c r="CJ822"/>
      <c r="CK822"/>
      <c r="CL822"/>
      <c r="CM822"/>
      <c r="CN822"/>
      <c r="CO822"/>
      <c r="CP822"/>
      <c r="CQ822"/>
      <c r="CR822"/>
      <c r="CS822"/>
      <c r="CT822"/>
      <c r="CU822"/>
      <c r="CV822"/>
      <c r="CW822"/>
      <c r="CX822"/>
      <c r="CY822"/>
    </row>
    <row r="823" spans="50:103" ht="20.100000000000001" customHeight="1" x14ac:dyDescent="0.25">
      <c r="AX823"/>
      <c r="AY823"/>
      <c r="AZ823"/>
      <c r="BA823"/>
      <c r="BB823"/>
      <c r="BC823"/>
      <c r="BD823"/>
      <c r="BE823"/>
      <c r="BF823"/>
      <c r="BG823"/>
      <c r="BH823"/>
      <c r="BI823"/>
      <c r="BJ823"/>
      <c r="BK823"/>
      <c r="BL823"/>
      <c r="BM823"/>
      <c r="BN823"/>
      <c r="BO823"/>
      <c r="BP823"/>
      <c r="BQ823"/>
      <c r="BR823"/>
      <c r="BY823"/>
      <c r="BZ823"/>
      <c r="CA823"/>
      <c r="CB823"/>
      <c r="CC823"/>
      <c r="CD823"/>
      <c r="CE823"/>
      <c r="CF823"/>
      <c r="CG823"/>
      <c r="CH823"/>
      <c r="CI823"/>
      <c r="CJ823"/>
      <c r="CK823"/>
      <c r="CL823"/>
      <c r="CM823"/>
      <c r="CN823"/>
      <c r="CO823"/>
      <c r="CP823"/>
      <c r="CQ823"/>
      <c r="CR823"/>
      <c r="CS823"/>
      <c r="CT823"/>
      <c r="CU823"/>
      <c r="CV823"/>
      <c r="CW823"/>
      <c r="CX823"/>
      <c r="CY823"/>
    </row>
    <row r="824" spans="50:103" ht="20.100000000000001" customHeight="1" x14ac:dyDescent="0.25">
      <c r="AX824"/>
      <c r="AY824"/>
      <c r="AZ824"/>
      <c r="BA824"/>
      <c r="BB824"/>
      <c r="BC824"/>
      <c r="BD824"/>
      <c r="BE824"/>
      <c r="BF824"/>
      <c r="BG824"/>
      <c r="BH824"/>
      <c r="BI824"/>
      <c r="BJ824"/>
      <c r="BK824"/>
      <c r="BL824"/>
      <c r="BM824"/>
      <c r="BN824"/>
      <c r="BO824"/>
      <c r="BP824"/>
      <c r="BQ824"/>
      <c r="BR824"/>
      <c r="BY824"/>
      <c r="BZ824"/>
      <c r="CA824"/>
      <c r="CB824"/>
      <c r="CC824"/>
      <c r="CD824"/>
      <c r="CE824"/>
      <c r="CF824"/>
      <c r="CG824"/>
      <c r="CH824"/>
      <c r="CI824"/>
      <c r="CJ824"/>
      <c r="CK824"/>
      <c r="CL824"/>
      <c r="CM824"/>
      <c r="CN824"/>
      <c r="CO824"/>
      <c r="CP824"/>
      <c r="CQ824"/>
      <c r="CR824"/>
      <c r="CS824"/>
      <c r="CT824"/>
      <c r="CU824"/>
      <c r="CV824"/>
      <c r="CW824"/>
      <c r="CX824"/>
      <c r="CY824"/>
    </row>
    <row r="825" spans="50:103" ht="20.100000000000001" customHeight="1" x14ac:dyDescent="0.25">
      <c r="AX825"/>
      <c r="AY825"/>
      <c r="AZ825"/>
      <c r="BA825"/>
      <c r="BB825"/>
      <c r="BC825"/>
      <c r="BD825"/>
      <c r="BE825"/>
      <c r="BF825"/>
      <c r="BG825"/>
      <c r="BH825"/>
      <c r="BI825"/>
      <c r="BJ825"/>
      <c r="BK825"/>
      <c r="BL825"/>
      <c r="BM825"/>
      <c r="BN825"/>
      <c r="BO825"/>
      <c r="BP825"/>
      <c r="BQ825"/>
      <c r="BR825"/>
      <c r="BY825"/>
      <c r="BZ825"/>
      <c r="CA825"/>
      <c r="CB825"/>
      <c r="CC825"/>
      <c r="CD825"/>
      <c r="CE825"/>
      <c r="CF825"/>
      <c r="CG825"/>
      <c r="CH825"/>
      <c r="CI825"/>
      <c r="CJ825"/>
      <c r="CK825"/>
      <c r="CL825"/>
      <c r="CM825"/>
      <c r="CN825"/>
      <c r="CO825"/>
      <c r="CP825"/>
      <c r="CQ825"/>
      <c r="CR825"/>
      <c r="CS825"/>
      <c r="CT825"/>
      <c r="CU825"/>
      <c r="CV825"/>
      <c r="CW825"/>
      <c r="CX825"/>
      <c r="CY825"/>
    </row>
    <row r="826" spans="50:103" ht="20.100000000000001" customHeight="1" x14ac:dyDescent="0.25">
      <c r="AX826"/>
      <c r="AY826"/>
      <c r="AZ826"/>
      <c r="BA826"/>
      <c r="BB826"/>
      <c r="BC826"/>
      <c r="BD826"/>
      <c r="BE826"/>
      <c r="BF826"/>
      <c r="BG826"/>
      <c r="BH826"/>
      <c r="BI826"/>
      <c r="BJ826"/>
      <c r="BK826"/>
      <c r="BL826"/>
      <c r="BM826"/>
      <c r="BN826"/>
      <c r="BO826"/>
      <c r="BP826"/>
      <c r="BQ826"/>
      <c r="BR826"/>
      <c r="BY826"/>
      <c r="BZ826"/>
      <c r="CA826"/>
      <c r="CB826"/>
      <c r="CC826"/>
      <c r="CD826"/>
      <c r="CE826"/>
      <c r="CF826"/>
      <c r="CG826"/>
      <c r="CH826"/>
      <c r="CI826"/>
      <c r="CJ826"/>
      <c r="CK826"/>
      <c r="CL826"/>
      <c r="CM826"/>
      <c r="CN826"/>
      <c r="CO826"/>
      <c r="CP826"/>
      <c r="CQ826"/>
      <c r="CR826"/>
      <c r="CS826"/>
      <c r="CT826"/>
      <c r="CU826"/>
      <c r="CV826"/>
      <c r="CW826"/>
      <c r="CX826"/>
      <c r="CY826"/>
    </row>
    <row r="827" spans="50:103" ht="20.100000000000001" customHeight="1" x14ac:dyDescent="0.25">
      <c r="AX827"/>
      <c r="AY827"/>
      <c r="AZ827"/>
      <c r="BA827"/>
      <c r="BB827"/>
      <c r="BC827"/>
      <c r="BD827"/>
      <c r="BE827"/>
      <c r="BF827"/>
      <c r="BG827"/>
      <c r="BH827"/>
      <c r="BI827"/>
      <c r="BJ827"/>
      <c r="BK827"/>
      <c r="BL827"/>
      <c r="BM827"/>
      <c r="BN827"/>
      <c r="BO827"/>
      <c r="BP827"/>
      <c r="BQ827"/>
      <c r="BR827"/>
      <c r="BY827"/>
      <c r="BZ827"/>
      <c r="CA827"/>
      <c r="CB827"/>
      <c r="CC827"/>
      <c r="CD827"/>
      <c r="CE827"/>
      <c r="CF827"/>
      <c r="CG827"/>
      <c r="CH827"/>
      <c r="CI827"/>
      <c r="CJ827"/>
      <c r="CK827"/>
      <c r="CL827"/>
      <c r="CM827"/>
      <c r="CN827"/>
      <c r="CO827"/>
      <c r="CP827"/>
      <c r="CQ827"/>
      <c r="CR827"/>
      <c r="CS827"/>
      <c r="CT827"/>
      <c r="CU827"/>
      <c r="CV827"/>
      <c r="CW827"/>
      <c r="CX827"/>
      <c r="CY827"/>
    </row>
    <row r="828" spans="50:103" ht="20.100000000000001" customHeight="1" x14ac:dyDescent="0.25">
      <c r="AX828"/>
      <c r="AY828"/>
      <c r="AZ828"/>
      <c r="BA828"/>
      <c r="BB828"/>
      <c r="BC828"/>
      <c r="BD828"/>
      <c r="BE828"/>
      <c r="BF828"/>
      <c r="BG828"/>
      <c r="BH828"/>
      <c r="BI828"/>
      <c r="BJ828"/>
      <c r="BK828"/>
      <c r="BL828"/>
      <c r="BM828"/>
      <c r="BN828"/>
      <c r="BO828"/>
      <c r="BP828"/>
      <c r="BQ828"/>
      <c r="BR828"/>
      <c r="BY828"/>
      <c r="BZ828"/>
      <c r="CA828"/>
      <c r="CB828"/>
      <c r="CC828"/>
      <c r="CD828"/>
      <c r="CE828"/>
      <c r="CF828"/>
      <c r="CG828"/>
      <c r="CH828"/>
      <c r="CI828"/>
      <c r="CJ828"/>
      <c r="CK828"/>
      <c r="CL828"/>
      <c r="CM828"/>
      <c r="CN828"/>
      <c r="CO828"/>
      <c r="CP828"/>
      <c r="CQ828"/>
      <c r="CR828"/>
      <c r="CS828"/>
      <c r="CT828"/>
      <c r="CU828"/>
      <c r="CV828"/>
      <c r="CW828"/>
      <c r="CX828"/>
      <c r="CY828"/>
    </row>
    <row r="829" spans="50:103" ht="20.100000000000001" customHeight="1" x14ac:dyDescent="0.25">
      <c r="AX829"/>
      <c r="AY829"/>
      <c r="AZ829"/>
      <c r="BA829"/>
      <c r="BB829"/>
      <c r="BC829"/>
      <c r="BD829"/>
      <c r="BE829"/>
      <c r="BF829"/>
      <c r="BG829"/>
      <c r="BH829"/>
      <c r="BI829"/>
      <c r="BJ829"/>
      <c r="BK829"/>
      <c r="BL829"/>
      <c r="BM829"/>
      <c r="BN829"/>
      <c r="BO829"/>
      <c r="BP829"/>
      <c r="BQ829"/>
      <c r="BR829"/>
      <c r="BY829"/>
      <c r="BZ829"/>
      <c r="CA829"/>
      <c r="CB829"/>
      <c r="CC829"/>
      <c r="CD829"/>
      <c r="CE829"/>
      <c r="CF829"/>
      <c r="CG829"/>
      <c r="CH829"/>
      <c r="CI829"/>
      <c r="CJ829"/>
      <c r="CK829"/>
      <c r="CL829"/>
      <c r="CM829"/>
      <c r="CN829"/>
      <c r="CO829"/>
      <c r="CP829"/>
      <c r="CQ829"/>
      <c r="CR829"/>
      <c r="CS829"/>
      <c r="CT829"/>
      <c r="CU829"/>
      <c r="CV829"/>
      <c r="CW829"/>
      <c r="CX829"/>
      <c r="CY829"/>
    </row>
    <row r="830" spans="50:103" ht="20.100000000000001" customHeight="1" x14ac:dyDescent="0.25">
      <c r="AX830"/>
      <c r="AY830"/>
      <c r="AZ830"/>
      <c r="BA830"/>
      <c r="BB830"/>
      <c r="BC830"/>
      <c r="BD830"/>
      <c r="BE830"/>
      <c r="BF830"/>
      <c r="BG830"/>
      <c r="BH830"/>
      <c r="BI830"/>
      <c r="BJ830"/>
      <c r="BK830"/>
      <c r="BL830"/>
      <c r="BM830"/>
      <c r="BN830"/>
      <c r="BO830"/>
      <c r="BP830"/>
      <c r="BQ830"/>
      <c r="BR830"/>
      <c r="BY830"/>
      <c r="BZ830"/>
      <c r="CA830"/>
      <c r="CB830"/>
      <c r="CC830"/>
      <c r="CD830"/>
      <c r="CE830"/>
      <c r="CF830"/>
      <c r="CG830"/>
      <c r="CH830"/>
      <c r="CI830"/>
      <c r="CJ830"/>
      <c r="CK830"/>
      <c r="CL830"/>
      <c r="CM830"/>
      <c r="CN830"/>
      <c r="CO830"/>
      <c r="CP830"/>
      <c r="CQ830"/>
      <c r="CR830"/>
      <c r="CS830"/>
      <c r="CT830"/>
      <c r="CU830"/>
      <c r="CV830"/>
      <c r="CW830"/>
      <c r="CX830"/>
      <c r="CY830"/>
    </row>
    <row r="831" spans="50:103" ht="20.100000000000001" customHeight="1" x14ac:dyDescent="0.25">
      <c r="AX831"/>
      <c r="AY831"/>
      <c r="AZ831"/>
      <c r="BA831"/>
      <c r="BB831"/>
      <c r="BC831"/>
      <c r="BD831"/>
      <c r="BE831"/>
      <c r="BF831"/>
      <c r="BG831"/>
      <c r="BH831"/>
      <c r="BI831"/>
      <c r="BJ831"/>
      <c r="BK831"/>
      <c r="BL831"/>
      <c r="BM831"/>
      <c r="BN831"/>
      <c r="BO831"/>
      <c r="BP831"/>
      <c r="BQ831"/>
      <c r="BR831"/>
      <c r="BY831"/>
      <c r="BZ831"/>
      <c r="CA831"/>
      <c r="CB831"/>
      <c r="CC831"/>
      <c r="CD831"/>
      <c r="CE831"/>
      <c r="CF831"/>
      <c r="CG831"/>
      <c r="CH831"/>
      <c r="CI831"/>
      <c r="CJ831"/>
      <c r="CK831"/>
      <c r="CL831"/>
      <c r="CM831"/>
      <c r="CN831"/>
      <c r="CO831"/>
      <c r="CP831"/>
      <c r="CQ831"/>
      <c r="CR831"/>
      <c r="CS831"/>
      <c r="CT831"/>
      <c r="CU831"/>
      <c r="CV831"/>
      <c r="CW831"/>
      <c r="CX831"/>
      <c r="CY831"/>
    </row>
    <row r="832" spans="50:103" ht="20.100000000000001" customHeight="1" x14ac:dyDescent="0.25">
      <c r="AX832"/>
      <c r="AY832"/>
      <c r="AZ832"/>
      <c r="BA832"/>
      <c r="BB832"/>
      <c r="BC832"/>
      <c r="BD832"/>
      <c r="BE832"/>
      <c r="BF832"/>
      <c r="BG832"/>
      <c r="BH832"/>
      <c r="BI832"/>
      <c r="BJ832"/>
      <c r="BK832"/>
      <c r="BL832"/>
      <c r="BM832"/>
      <c r="BN832"/>
      <c r="BO832"/>
      <c r="BP832"/>
      <c r="BQ832"/>
      <c r="BR832"/>
      <c r="BY832"/>
      <c r="BZ832"/>
      <c r="CA832"/>
      <c r="CB832"/>
      <c r="CC832"/>
      <c r="CD832"/>
      <c r="CE832"/>
      <c r="CF832"/>
      <c r="CG832"/>
      <c r="CH832"/>
      <c r="CI832"/>
      <c r="CJ832"/>
      <c r="CK832"/>
      <c r="CL832"/>
      <c r="CM832"/>
      <c r="CN832"/>
      <c r="CO832"/>
      <c r="CP832"/>
      <c r="CQ832"/>
      <c r="CR832"/>
      <c r="CS832"/>
      <c r="CT832"/>
      <c r="CU832"/>
      <c r="CV832"/>
      <c r="CW832"/>
      <c r="CX832"/>
      <c r="CY832"/>
    </row>
    <row r="833" spans="50:103" ht="20.100000000000001" customHeight="1" x14ac:dyDescent="0.25">
      <c r="AX833"/>
      <c r="AY833"/>
      <c r="AZ833"/>
      <c r="BA833"/>
      <c r="BB833"/>
      <c r="BC833"/>
      <c r="BD833"/>
      <c r="BE833"/>
      <c r="BF833"/>
      <c r="BG833"/>
      <c r="BH833"/>
      <c r="BI833"/>
      <c r="BJ833"/>
      <c r="BK833"/>
      <c r="BL833"/>
      <c r="BM833"/>
      <c r="BN833"/>
      <c r="BO833"/>
      <c r="BP833"/>
      <c r="BQ833"/>
      <c r="BR833"/>
      <c r="BY833"/>
      <c r="BZ833"/>
      <c r="CA833"/>
      <c r="CB833"/>
      <c r="CC833"/>
      <c r="CD833"/>
      <c r="CE833"/>
      <c r="CF833"/>
      <c r="CG833"/>
      <c r="CH833"/>
      <c r="CI833"/>
      <c r="CJ833"/>
      <c r="CK833"/>
      <c r="CL833"/>
      <c r="CM833"/>
      <c r="CN833"/>
      <c r="CO833"/>
      <c r="CP833"/>
      <c r="CQ833"/>
      <c r="CR833"/>
      <c r="CS833"/>
      <c r="CT833"/>
      <c r="CU833"/>
      <c r="CV833"/>
      <c r="CW833"/>
      <c r="CX833"/>
      <c r="CY833"/>
    </row>
    <row r="834" spans="50:103" ht="20.100000000000001" customHeight="1" x14ac:dyDescent="0.25">
      <c r="AX834"/>
      <c r="AY834"/>
      <c r="AZ834"/>
      <c r="BA834"/>
      <c r="BB834"/>
      <c r="BC834"/>
      <c r="BD834"/>
      <c r="BE834"/>
      <c r="BF834"/>
      <c r="BG834"/>
      <c r="BH834"/>
      <c r="BI834"/>
      <c r="BJ834"/>
      <c r="BK834"/>
      <c r="BL834"/>
      <c r="BM834"/>
      <c r="BN834"/>
      <c r="BO834"/>
      <c r="BP834"/>
      <c r="BQ834"/>
      <c r="BR834"/>
      <c r="BY834"/>
      <c r="BZ834"/>
      <c r="CA834"/>
      <c r="CB834"/>
      <c r="CC834"/>
      <c r="CD834"/>
      <c r="CE834"/>
      <c r="CF834"/>
      <c r="CG834"/>
      <c r="CH834"/>
      <c r="CI834"/>
      <c r="CJ834"/>
      <c r="CK834"/>
      <c r="CL834"/>
      <c r="CM834"/>
      <c r="CN834"/>
      <c r="CO834"/>
      <c r="CP834"/>
      <c r="CQ834"/>
      <c r="CR834"/>
      <c r="CS834"/>
      <c r="CT834"/>
      <c r="CU834"/>
      <c r="CV834"/>
      <c r="CW834"/>
      <c r="CX834"/>
      <c r="CY834"/>
    </row>
    <row r="835" spans="50:103" ht="20.100000000000001" customHeight="1" x14ac:dyDescent="0.25">
      <c r="AX835"/>
      <c r="AY835"/>
      <c r="AZ835"/>
      <c r="BA835"/>
      <c r="BB835"/>
      <c r="BC835"/>
      <c r="BD835"/>
      <c r="BE835"/>
      <c r="BF835"/>
      <c r="BG835"/>
      <c r="BH835"/>
      <c r="BI835"/>
      <c r="BJ835"/>
      <c r="BK835"/>
      <c r="BL835"/>
      <c r="BM835"/>
      <c r="BN835"/>
      <c r="BO835"/>
      <c r="BP835"/>
      <c r="BQ835"/>
      <c r="BR835"/>
      <c r="BY835"/>
      <c r="BZ835"/>
      <c r="CA835"/>
      <c r="CB835"/>
      <c r="CC835"/>
      <c r="CD835"/>
      <c r="CE835"/>
      <c r="CF835"/>
      <c r="CG835"/>
      <c r="CH835"/>
      <c r="CI835"/>
      <c r="CJ835"/>
      <c r="CK835"/>
      <c r="CL835"/>
      <c r="CM835"/>
      <c r="CN835"/>
      <c r="CO835"/>
      <c r="CP835"/>
      <c r="CQ835"/>
      <c r="CR835"/>
      <c r="CS835"/>
      <c r="CT835"/>
      <c r="CU835"/>
      <c r="CV835"/>
      <c r="CW835"/>
      <c r="CX835"/>
      <c r="CY835"/>
    </row>
    <row r="836" spans="50:103" ht="20.100000000000001" customHeight="1" x14ac:dyDescent="0.25">
      <c r="AX836"/>
      <c r="AY836"/>
      <c r="AZ836"/>
      <c r="BA836"/>
      <c r="BB836"/>
      <c r="BC836"/>
      <c r="BD836"/>
      <c r="BE836"/>
      <c r="BF836"/>
      <c r="BG836"/>
      <c r="BH836"/>
      <c r="BI836"/>
      <c r="BJ836"/>
      <c r="BK836"/>
      <c r="BL836"/>
      <c r="BM836"/>
      <c r="BN836"/>
      <c r="BO836"/>
      <c r="BP836"/>
      <c r="BQ836"/>
      <c r="BR836"/>
      <c r="BY836"/>
      <c r="BZ836"/>
      <c r="CA836"/>
      <c r="CB836"/>
      <c r="CC836"/>
      <c r="CD836"/>
      <c r="CE836"/>
      <c r="CF836"/>
      <c r="CG836"/>
      <c r="CH836"/>
      <c r="CI836"/>
      <c r="CJ836"/>
      <c r="CK836"/>
      <c r="CL836"/>
      <c r="CM836"/>
      <c r="CN836"/>
      <c r="CO836"/>
      <c r="CP836"/>
      <c r="CQ836"/>
      <c r="CR836"/>
      <c r="CS836"/>
      <c r="CT836"/>
      <c r="CU836"/>
      <c r="CV836"/>
      <c r="CW836"/>
      <c r="CX836"/>
      <c r="CY836"/>
    </row>
    <row r="837" spans="50:103" ht="20.100000000000001" customHeight="1" x14ac:dyDescent="0.25">
      <c r="AX837"/>
      <c r="AY837"/>
      <c r="AZ837"/>
      <c r="BA837"/>
      <c r="BB837"/>
      <c r="BC837"/>
      <c r="BD837"/>
      <c r="BE837"/>
      <c r="BF837"/>
      <c r="BG837"/>
      <c r="BH837"/>
      <c r="BI837"/>
      <c r="BJ837"/>
      <c r="BK837"/>
      <c r="BL837"/>
      <c r="BM837"/>
      <c r="BN837"/>
      <c r="BO837"/>
      <c r="BP837"/>
      <c r="BQ837"/>
      <c r="BR837"/>
      <c r="BY837"/>
      <c r="BZ837"/>
      <c r="CA837"/>
      <c r="CB837"/>
      <c r="CC837"/>
      <c r="CD837"/>
      <c r="CE837"/>
      <c r="CF837"/>
      <c r="CG837"/>
      <c r="CH837"/>
      <c r="CI837"/>
      <c r="CJ837"/>
      <c r="CK837"/>
      <c r="CL837"/>
      <c r="CM837"/>
      <c r="CN837"/>
      <c r="CO837"/>
      <c r="CP837"/>
      <c r="CQ837"/>
      <c r="CR837"/>
      <c r="CS837"/>
      <c r="CT837"/>
      <c r="CU837"/>
      <c r="CV837"/>
      <c r="CW837"/>
      <c r="CX837"/>
      <c r="CY837"/>
    </row>
    <row r="838" spans="50:103" ht="20.100000000000001" customHeight="1" x14ac:dyDescent="0.25">
      <c r="AX838"/>
      <c r="AY838"/>
      <c r="AZ838"/>
      <c r="BA838"/>
      <c r="BB838"/>
      <c r="BC838"/>
      <c r="BD838"/>
      <c r="BE838"/>
      <c r="BF838"/>
      <c r="BG838"/>
      <c r="BH838"/>
      <c r="BI838"/>
      <c r="BJ838"/>
      <c r="BK838"/>
      <c r="BL838"/>
      <c r="BM838"/>
      <c r="BN838"/>
      <c r="BO838"/>
      <c r="BP838"/>
      <c r="BQ838"/>
      <c r="BR838"/>
      <c r="BY838"/>
      <c r="BZ838"/>
      <c r="CA838"/>
      <c r="CB838"/>
      <c r="CC838"/>
      <c r="CD838"/>
      <c r="CE838"/>
      <c r="CF838"/>
      <c r="CG838"/>
      <c r="CH838"/>
      <c r="CI838"/>
      <c r="CJ838"/>
      <c r="CK838"/>
      <c r="CL838"/>
      <c r="CM838"/>
      <c r="CN838"/>
      <c r="CO838"/>
      <c r="CP838"/>
      <c r="CQ838"/>
      <c r="CR838"/>
      <c r="CS838"/>
      <c r="CT838"/>
      <c r="CU838"/>
      <c r="CV838"/>
      <c r="CW838"/>
      <c r="CX838"/>
      <c r="CY838"/>
    </row>
    <row r="839" spans="50:103" ht="20.100000000000001" customHeight="1" x14ac:dyDescent="0.25">
      <c r="AX839"/>
      <c r="AY839"/>
      <c r="AZ839"/>
      <c r="BA839"/>
      <c r="BB839"/>
      <c r="BC839"/>
      <c r="BD839"/>
      <c r="BE839"/>
      <c r="BF839"/>
      <c r="BG839"/>
      <c r="BH839"/>
      <c r="BI839"/>
      <c r="BJ839"/>
      <c r="BK839"/>
      <c r="BL839"/>
      <c r="BM839"/>
      <c r="BN839"/>
      <c r="BO839"/>
      <c r="BP839"/>
      <c r="BQ839"/>
      <c r="BR839"/>
      <c r="BY839"/>
      <c r="BZ839"/>
      <c r="CA839"/>
      <c r="CB839"/>
      <c r="CC839"/>
      <c r="CD839"/>
      <c r="CE839"/>
      <c r="CF839"/>
      <c r="CG839"/>
      <c r="CH839"/>
      <c r="CI839"/>
      <c r="CJ839"/>
      <c r="CK839"/>
      <c r="CL839"/>
      <c r="CM839"/>
      <c r="CN839"/>
      <c r="CO839"/>
      <c r="CP839"/>
      <c r="CQ839"/>
      <c r="CR839"/>
      <c r="CS839"/>
      <c r="CT839"/>
      <c r="CU839"/>
      <c r="CV839"/>
      <c r="CW839"/>
      <c r="CX839"/>
      <c r="CY839"/>
    </row>
    <row r="840" spans="50:103" ht="20.100000000000001" customHeight="1" x14ac:dyDescent="0.25">
      <c r="AX840"/>
      <c r="AY840"/>
      <c r="AZ840"/>
      <c r="BA840"/>
      <c r="BB840"/>
      <c r="BC840"/>
      <c r="BD840"/>
      <c r="BE840"/>
      <c r="BF840"/>
      <c r="BG840"/>
      <c r="BH840"/>
      <c r="BI840"/>
      <c r="BJ840"/>
      <c r="BK840"/>
      <c r="BL840"/>
      <c r="BM840"/>
      <c r="BN840"/>
      <c r="BO840"/>
      <c r="BP840"/>
      <c r="BQ840"/>
      <c r="BR840"/>
      <c r="BY840"/>
      <c r="BZ840"/>
      <c r="CA840"/>
      <c r="CB840"/>
      <c r="CC840"/>
      <c r="CD840"/>
      <c r="CE840"/>
      <c r="CF840"/>
      <c r="CG840"/>
      <c r="CH840"/>
      <c r="CI840"/>
      <c r="CJ840"/>
      <c r="CK840"/>
      <c r="CL840"/>
      <c r="CM840"/>
      <c r="CN840"/>
      <c r="CO840"/>
      <c r="CP840"/>
      <c r="CQ840"/>
      <c r="CR840"/>
      <c r="CS840"/>
      <c r="CT840"/>
      <c r="CU840"/>
      <c r="CV840"/>
      <c r="CW840"/>
      <c r="CX840"/>
      <c r="CY840"/>
    </row>
    <row r="841" spans="50:103" ht="20.100000000000001" customHeight="1" x14ac:dyDescent="0.25">
      <c r="AX841"/>
      <c r="AY841"/>
      <c r="AZ841"/>
      <c r="BA841"/>
      <c r="BB841"/>
      <c r="BC841"/>
      <c r="BD841"/>
      <c r="BE841"/>
      <c r="BF841"/>
      <c r="BG841"/>
      <c r="BH841"/>
      <c r="BI841"/>
      <c r="BJ841"/>
      <c r="BK841"/>
      <c r="BL841"/>
      <c r="BM841"/>
      <c r="BN841"/>
      <c r="BO841"/>
      <c r="BP841"/>
      <c r="BQ841"/>
      <c r="BR841"/>
      <c r="BY841"/>
      <c r="BZ841"/>
      <c r="CA841"/>
      <c r="CB841"/>
      <c r="CC841"/>
      <c r="CD841"/>
      <c r="CE841"/>
      <c r="CF841"/>
      <c r="CG841"/>
      <c r="CH841"/>
      <c r="CI841"/>
      <c r="CJ841"/>
      <c r="CK841"/>
      <c r="CL841"/>
      <c r="CM841"/>
      <c r="CN841"/>
      <c r="CO841"/>
      <c r="CP841"/>
      <c r="CQ841"/>
      <c r="CR841"/>
      <c r="CS841"/>
      <c r="CT841"/>
      <c r="CU841"/>
      <c r="CV841"/>
      <c r="CW841"/>
      <c r="CX841"/>
      <c r="CY841"/>
    </row>
    <row r="842" spans="50:103" ht="20.100000000000001" customHeight="1" x14ac:dyDescent="0.25">
      <c r="AX842"/>
      <c r="AY842"/>
      <c r="AZ842"/>
      <c r="BA842"/>
      <c r="BB842"/>
      <c r="BC842"/>
      <c r="BD842"/>
      <c r="BE842"/>
      <c r="BF842"/>
      <c r="BG842"/>
      <c r="BH842"/>
      <c r="BI842"/>
      <c r="BJ842"/>
      <c r="BK842"/>
      <c r="BL842"/>
      <c r="BM842"/>
      <c r="BN842"/>
      <c r="BO842"/>
      <c r="BP842"/>
      <c r="BQ842"/>
      <c r="BR842"/>
      <c r="BY842"/>
      <c r="BZ842"/>
      <c r="CA842"/>
      <c r="CB842"/>
      <c r="CC842"/>
      <c r="CD842"/>
      <c r="CE842"/>
      <c r="CF842"/>
      <c r="CG842"/>
      <c r="CH842"/>
      <c r="CI842"/>
      <c r="CJ842"/>
      <c r="CK842"/>
      <c r="CL842"/>
      <c r="CM842"/>
      <c r="CN842"/>
      <c r="CO842"/>
      <c r="CP842"/>
      <c r="CQ842"/>
      <c r="CR842"/>
      <c r="CS842"/>
      <c r="CT842"/>
      <c r="CU842"/>
      <c r="CV842"/>
      <c r="CW842"/>
      <c r="CX842"/>
      <c r="CY842"/>
    </row>
    <row r="843" spans="50:103" ht="20.100000000000001" customHeight="1" x14ac:dyDescent="0.25">
      <c r="AX843"/>
      <c r="AY843"/>
      <c r="AZ843"/>
      <c r="BA843"/>
      <c r="BB843"/>
      <c r="BC843"/>
      <c r="BD843"/>
      <c r="BE843"/>
      <c r="BF843"/>
      <c r="BG843"/>
      <c r="BH843"/>
      <c r="BI843"/>
      <c r="BJ843"/>
      <c r="BK843"/>
      <c r="BL843"/>
      <c r="BM843"/>
      <c r="BN843"/>
      <c r="BO843"/>
      <c r="BP843"/>
      <c r="BQ843"/>
      <c r="BR843"/>
      <c r="BY843"/>
      <c r="BZ843"/>
      <c r="CA843"/>
      <c r="CB843"/>
      <c r="CC843"/>
      <c r="CD843"/>
      <c r="CE843"/>
      <c r="CF843"/>
      <c r="CG843"/>
      <c r="CH843"/>
      <c r="CI843"/>
      <c r="CJ843"/>
      <c r="CK843"/>
      <c r="CL843"/>
      <c r="CM843"/>
      <c r="CN843"/>
      <c r="CO843"/>
      <c r="CP843"/>
      <c r="CQ843"/>
      <c r="CR843"/>
      <c r="CS843"/>
      <c r="CT843"/>
      <c r="CU843"/>
      <c r="CV843"/>
      <c r="CW843"/>
      <c r="CX843"/>
      <c r="CY843"/>
    </row>
    <row r="844" spans="50:103" ht="20.100000000000001" customHeight="1" x14ac:dyDescent="0.25">
      <c r="AX844"/>
      <c r="AY844"/>
      <c r="AZ844"/>
      <c r="BA844"/>
      <c r="BB844"/>
      <c r="BC844"/>
      <c r="BD844"/>
      <c r="BE844"/>
      <c r="BF844"/>
      <c r="BG844"/>
      <c r="BH844"/>
      <c r="BI844"/>
      <c r="BJ844"/>
      <c r="BK844"/>
      <c r="BL844"/>
      <c r="BM844"/>
      <c r="BN844"/>
      <c r="BO844"/>
      <c r="BP844"/>
      <c r="BQ844"/>
      <c r="BR844"/>
      <c r="BY844"/>
      <c r="BZ844"/>
      <c r="CA844"/>
      <c r="CB844"/>
      <c r="CC844"/>
      <c r="CD844"/>
      <c r="CE844"/>
      <c r="CF844"/>
      <c r="CG844"/>
      <c r="CH844"/>
      <c r="CI844"/>
      <c r="CJ844"/>
      <c r="CK844"/>
      <c r="CL844"/>
      <c r="CM844"/>
      <c r="CN844"/>
      <c r="CO844"/>
      <c r="CP844"/>
      <c r="CQ844"/>
      <c r="CR844"/>
      <c r="CS844"/>
      <c r="CT844"/>
      <c r="CU844"/>
      <c r="CV844"/>
      <c r="CW844"/>
      <c r="CX844"/>
      <c r="CY844"/>
    </row>
    <row r="845" spans="50:103" ht="20.100000000000001" customHeight="1" x14ac:dyDescent="0.25">
      <c r="AX845"/>
      <c r="AY845"/>
      <c r="AZ845"/>
      <c r="BA845"/>
      <c r="BB845"/>
      <c r="BC845"/>
      <c r="BD845"/>
      <c r="BE845"/>
      <c r="BF845"/>
      <c r="BG845"/>
      <c r="BH845"/>
      <c r="BI845"/>
      <c r="BJ845"/>
      <c r="BK845"/>
      <c r="BL845"/>
      <c r="BM845"/>
      <c r="BN845"/>
      <c r="BO845"/>
      <c r="BP845"/>
      <c r="BQ845"/>
      <c r="BR845"/>
      <c r="BY845"/>
      <c r="BZ845"/>
      <c r="CA845"/>
      <c r="CB845"/>
      <c r="CC845"/>
      <c r="CD845"/>
      <c r="CE845"/>
      <c r="CF845"/>
      <c r="CG845"/>
      <c r="CH845"/>
      <c r="CI845"/>
      <c r="CJ845"/>
      <c r="CK845"/>
      <c r="CL845"/>
      <c r="CM845"/>
      <c r="CN845"/>
      <c r="CO845"/>
      <c r="CP845"/>
      <c r="CQ845"/>
      <c r="CR845"/>
      <c r="CS845"/>
      <c r="CT845"/>
      <c r="CU845"/>
      <c r="CV845"/>
      <c r="CW845"/>
      <c r="CX845"/>
      <c r="CY845"/>
    </row>
    <row r="846" spans="50:103" ht="20.100000000000001" customHeight="1" x14ac:dyDescent="0.25">
      <c r="AX846"/>
      <c r="AY846"/>
      <c r="AZ846"/>
      <c r="BA846"/>
      <c r="BB846"/>
      <c r="BC846"/>
      <c r="BD846"/>
      <c r="BE846"/>
      <c r="BF846"/>
      <c r="BG846"/>
      <c r="BH846"/>
      <c r="BI846"/>
      <c r="BJ846"/>
      <c r="BK846"/>
      <c r="BL846"/>
      <c r="BM846"/>
      <c r="BN846"/>
      <c r="BO846"/>
      <c r="BP846"/>
      <c r="BQ846"/>
      <c r="BR846"/>
      <c r="BY846"/>
      <c r="BZ846"/>
      <c r="CA846"/>
      <c r="CB846"/>
      <c r="CC846"/>
      <c r="CD846"/>
      <c r="CE846"/>
      <c r="CF846"/>
      <c r="CG846"/>
      <c r="CH846"/>
      <c r="CI846"/>
      <c r="CJ846"/>
      <c r="CK846"/>
      <c r="CL846"/>
      <c r="CM846"/>
      <c r="CN846"/>
      <c r="CO846"/>
      <c r="CP846"/>
      <c r="CQ846"/>
      <c r="CR846"/>
      <c r="CS846"/>
      <c r="CT846"/>
      <c r="CU846"/>
      <c r="CV846"/>
      <c r="CW846"/>
      <c r="CX846"/>
      <c r="CY846"/>
    </row>
    <row r="847" spans="50:103" ht="20.100000000000001" customHeight="1" x14ac:dyDescent="0.25">
      <c r="AX847"/>
      <c r="AY847"/>
      <c r="AZ847"/>
      <c r="BA847"/>
      <c r="BB847"/>
      <c r="BC847"/>
      <c r="BD847"/>
      <c r="BE847"/>
      <c r="BF847"/>
      <c r="BG847"/>
      <c r="BH847"/>
      <c r="BI847"/>
      <c r="BJ847"/>
      <c r="BK847"/>
      <c r="BL847"/>
      <c r="BM847"/>
      <c r="BN847"/>
      <c r="BO847"/>
      <c r="BP847"/>
      <c r="BQ847"/>
      <c r="BR847"/>
      <c r="BY847"/>
      <c r="BZ847"/>
      <c r="CA847"/>
      <c r="CB847"/>
      <c r="CC847"/>
      <c r="CD847"/>
      <c r="CE847"/>
      <c r="CF847"/>
      <c r="CG847"/>
      <c r="CH847"/>
      <c r="CI847"/>
      <c r="CJ847"/>
      <c r="CK847"/>
      <c r="CL847"/>
      <c r="CM847"/>
      <c r="CN847"/>
      <c r="CO847"/>
      <c r="CP847"/>
      <c r="CQ847"/>
      <c r="CR847"/>
      <c r="CS847"/>
      <c r="CT847"/>
      <c r="CU847"/>
      <c r="CV847"/>
      <c r="CW847"/>
      <c r="CX847"/>
      <c r="CY847"/>
    </row>
    <row r="848" spans="50:103" ht="20.100000000000001" customHeight="1" x14ac:dyDescent="0.25">
      <c r="AX848"/>
      <c r="AY848"/>
      <c r="AZ848"/>
      <c r="BA848"/>
      <c r="BB848"/>
      <c r="BC848"/>
      <c r="BD848"/>
      <c r="BE848"/>
      <c r="BF848"/>
      <c r="BG848"/>
      <c r="BH848"/>
      <c r="BI848"/>
      <c r="BJ848"/>
      <c r="BK848"/>
      <c r="BL848"/>
      <c r="BM848"/>
      <c r="BN848"/>
      <c r="BO848"/>
      <c r="BP848"/>
      <c r="BQ848"/>
      <c r="BR848"/>
      <c r="BY848"/>
      <c r="BZ848"/>
      <c r="CA848"/>
      <c r="CB848"/>
      <c r="CC848"/>
      <c r="CD848"/>
      <c r="CE848"/>
      <c r="CF848"/>
      <c r="CG848"/>
      <c r="CH848"/>
      <c r="CI848"/>
      <c r="CJ848"/>
      <c r="CK848"/>
      <c r="CL848"/>
      <c r="CM848"/>
      <c r="CN848"/>
      <c r="CO848"/>
      <c r="CP848"/>
      <c r="CQ848"/>
      <c r="CR848"/>
      <c r="CS848"/>
      <c r="CT848"/>
      <c r="CU848"/>
      <c r="CV848"/>
      <c r="CW848"/>
      <c r="CX848"/>
      <c r="CY848"/>
    </row>
    <row r="849" spans="50:103" ht="20.100000000000001" customHeight="1" x14ac:dyDescent="0.25">
      <c r="AX849"/>
      <c r="AY849"/>
      <c r="AZ849"/>
      <c r="BA849"/>
      <c r="BB849"/>
      <c r="BC849"/>
      <c r="BD849"/>
      <c r="BE849"/>
      <c r="BF849"/>
      <c r="BG849"/>
      <c r="BH849"/>
      <c r="BI849"/>
      <c r="BJ849"/>
      <c r="BK849"/>
      <c r="BL849"/>
      <c r="BM849"/>
      <c r="BN849"/>
      <c r="BO849"/>
      <c r="BP849"/>
      <c r="BQ849"/>
      <c r="BR849"/>
      <c r="BY849"/>
      <c r="BZ849"/>
      <c r="CA849"/>
      <c r="CB849"/>
      <c r="CC849"/>
      <c r="CD849"/>
      <c r="CE849"/>
      <c r="CF849"/>
      <c r="CG849"/>
      <c r="CH849"/>
      <c r="CI849"/>
      <c r="CJ849"/>
      <c r="CK849"/>
      <c r="CL849"/>
      <c r="CM849"/>
      <c r="CN849"/>
      <c r="CO849"/>
      <c r="CP849"/>
      <c r="CQ849"/>
      <c r="CR849"/>
      <c r="CS849"/>
      <c r="CT849"/>
      <c r="CU849"/>
      <c r="CV849"/>
      <c r="CW849"/>
      <c r="CX849"/>
      <c r="CY849"/>
    </row>
    <row r="850" spans="50:103" ht="20.100000000000001" customHeight="1" x14ac:dyDescent="0.25">
      <c r="AX850"/>
      <c r="AY850"/>
      <c r="AZ850"/>
      <c r="BA850"/>
      <c r="BB850"/>
      <c r="BC850"/>
      <c r="BD850"/>
      <c r="BE850"/>
      <c r="BF850"/>
      <c r="BG850"/>
      <c r="BH850"/>
      <c r="BI850"/>
      <c r="BJ850"/>
      <c r="BK850"/>
      <c r="BL850"/>
      <c r="BM850"/>
      <c r="BN850"/>
      <c r="BO850"/>
      <c r="BP850"/>
      <c r="BQ850"/>
      <c r="BR850"/>
      <c r="BY850"/>
      <c r="BZ850"/>
      <c r="CA850"/>
      <c r="CB850"/>
      <c r="CC850"/>
      <c r="CD850"/>
      <c r="CE850"/>
      <c r="CF850"/>
      <c r="CG850"/>
      <c r="CH850"/>
      <c r="CI850"/>
      <c r="CJ850"/>
      <c r="CK850"/>
      <c r="CL850"/>
      <c r="CM850"/>
      <c r="CN850"/>
      <c r="CO850"/>
      <c r="CP850"/>
      <c r="CQ850"/>
      <c r="CR850"/>
      <c r="CS850"/>
      <c r="CT850"/>
      <c r="CU850"/>
      <c r="CV850"/>
      <c r="CW850"/>
      <c r="CX850"/>
      <c r="CY850"/>
    </row>
    <row r="851" spans="50:103" ht="20.100000000000001" customHeight="1" x14ac:dyDescent="0.25">
      <c r="AX851"/>
      <c r="AY851"/>
      <c r="AZ851"/>
      <c r="BA851"/>
      <c r="BB851"/>
      <c r="BC851"/>
      <c r="BD851"/>
      <c r="BE851"/>
      <c r="BF851"/>
      <c r="BG851"/>
      <c r="BH851"/>
      <c r="BI851"/>
      <c r="BJ851"/>
      <c r="BK851"/>
      <c r="BL851"/>
      <c r="BM851"/>
      <c r="BN851"/>
      <c r="BO851"/>
      <c r="BP851"/>
      <c r="BQ851"/>
      <c r="BR851"/>
      <c r="BY851"/>
      <c r="BZ851"/>
      <c r="CA851"/>
      <c r="CB851"/>
      <c r="CC851"/>
      <c r="CD851"/>
      <c r="CE851"/>
      <c r="CF851"/>
      <c r="CG851"/>
      <c r="CH851"/>
      <c r="CI851"/>
      <c r="CJ851"/>
      <c r="CK851"/>
      <c r="CL851"/>
      <c r="CM851"/>
      <c r="CN851"/>
      <c r="CO851"/>
      <c r="CP851"/>
      <c r="CQ851"/>
      <c r="CR851"/>
      <c r="CS851"/>
      <c r="CT851"/>
      <c r="CU851"/>
      <c r="CV851"/>
      <c r="CW851"/>
      <c r="CX851"/>
      <c r="CY851"/>
    </row>
    <row r="852" spans="50:103" ht="20.100000000000001" customHeight="1" x14ac:dyDescent="0.25">
      <c r="AX852"/>
      <c r="AY852"/>
      <c r="AZ852"/>
      <c r="BA852"/>
      <c r="BB852"/>
      <c r="BC852"/>
      <c r="BD852"/>
      <c r="BE852"/>
      <c r="BF852"/>
      <c r="BG852"/>
      <c r="BH852"/>
      <c r="BI852"/>
      <c r="BJ852"/>
      <c r="BK852"/>
      <c r="BL852"/>
      <c r="BM852"/>
      <c r="BN852"/>
      <c r="BO852"/>
      <c r="BP852"/>
      <c r="BQ852"/>
      <c r="BR852"/>
      <c r="BY852"/>
      <c r="BZ852"/>
      <c r="CA852"/>
      <c r="CB852"/>
      <c r="CC852"/>
      <c r="CD852"/>
      <c r="CE852"/>
      <c r="CF852"/>
      <c r="CG852"/>
      <c r="CH852"/>
      <c r="CI852"/>
      <c r="CJ852"/>
      <c r="CK852"/>
      <c r="CL852"/>
      <c r="CM852"/>
      <c r="CN852"/>
      <c r="CO852"/>
      <c r="CP852"/>
      <c r="CQ852"/>
      <c r="CR852"/>
      <c r="CS852"/>
      <c r="CT852"/>
      <c r="CU852"/>
      <c r="CV852"/>
      <c r="CW852"/>
      <c r="CX852"/>
      <c r="CY852"/>
    </row>
    <row r="853" spans="50:103" ht="20.100000000000001" customHeight="1" x14ac:dyDescent="0.25">
      <c r="AX853"/>
      <c r="AY853"/>
      <c r="AZ853"/>
      <c r="BA853"/>
      <c r="BB853"/>
      <c r="BC853"/>
      <c r="BD853"/>
      <c r="BE853"/>
      <c r="BF853"/>
      <c r="BG853"/>
      <c r="BH853"/>
      <c r="BI853"/>
      <c r="BJ853"/>
      <c r="BK853"/>
      <c r="BL853"/>
      <c r="BM853"/>
      <c r="BN853"/>
      <c r="BO853"/>
      <c r="BP853"/>
      <c r="BQ853"/>
      <c r="BR853"/>
      <c r="BY853"/>
      <c r="BZ853"/>
      <c r="CA853"/>
      <c r="CB853"/>
      <c r="CC853"/>
      <c r="CD853"/>
      <c r="CE853"/>
      <c r="CF853"/>
      <c r="CG853"/>
      <c r="CH853"/>
      <c r="CI853"/>
      <c r="CJ853"/>
      <c r="CK853"/>
      <c r="CL853"/>
      <c r="CM853"/>
      <c r="CN853"/>
      <c r="CO853"/>
      <c r="CP853"/>
      <c r="CQ853"/>
      <c r="CR853"/>
      <c r="CS853"/>
      <c r="CT853"/>
      <c r="CU853"/>
      <c r="CV853"/>
      <c r="CW853"/>
      <c r="CX853"/>
      <c r="CY853"/>
    </row>
    <row r="854" spans="50:103" ht="20.100000000000001" customHeight="1" x14ac:dyDescent="0.25">
      <c r="AX854"/>
      <c r="AY854"/>
      <c r="AZ854"/>
      <c r="BA854"/>
      <c r="BB854"/>
      <c r="BC854"/>
      <c r="BD854"/>
      <c r="BE854"/>
      <c r="BF854"/>
      <c r="BG854"/>
      <c r="BH854"/>
      <c r="BI854"/>
      <c r="BJ854"/>
      <c r="BK854"/>
      <c r="BL854"/>
      <c r="BM854"/>
      <c r="BN854"/>
      <c r="BO854"/>
      <c r="BP854"/>
      <c r="BQ854"/>
      <c r="BR854"/>
      <c r="BY854"/>
      <c r="BZ854"/>
      <c r="CA854"/>
      <c r="CB854"/>
      <c r="CC854"/>
      <c r="CD854"/>
      <c r="CE854"/>
      <c r="CF854"/>
      <c r="CG854"/>
      <c r="CH854"/>
      <c r="CI854"/>
      <c r="CJ854"/>
      <c r="CK854"/>
      <c r="CL854"/>
      <c r="CM854"/>
      <c r="CN854"/>
      <c r="CO854"/>
      <c r="CP854"/>
      <c r="CQ854"/>
      <c r="CR854"/>
      <c r="CS854"/>
      <c r="CT854"/>
      <c r="CU854"/>
      <c r="CV854"/>
      <c r="CW854"/>
      <c r="CX854"/>
      <c r="CY854"/>
    </row>
    <row r="855" spans="50:103" ht="20.100000000000001" customHeight="1" x14ac:dyDescent="0.25">
      <c r="AX855"/>
      <c r="AY855"/>
      <c r="AZ855"/>
      <c r="BA855"/>
      <c r="BB855"/>
      <c r="BC855"/>
      <c r="BD855"/>
      <c r="BE855"/>
      <c r="BF855"/>
      <c r="BG855"/>
      <c r="BH855"/>
      <c r="BI855"/>
      <c r="BJ855"/>
      <c r="BK855"/>
      <c r="BL855"/>
      <c r="BM855"/>
      <c r="BN855"/>
      <c r="BO855"/>
      <c r="BP855"/>
      <c r="BQ855"/>
      <c r="BR855"/>
      <c r="BY855"/>
      <c r="BZ855"/>
      <c r="CA855"/>
      <c r="CB855"/>
      <c r="CC855"/>
      <c r="CD855"/>
      <c r="CE855"/>
      <c r="CF855"/>
      <c r="CG855"/>
      <c r="CH855"/>
      <c r="CI855"/>
      <c r="CJ855"/>
      <c r="CK855"/>
      <c r="CL855"/>
      <c r="CM855"/>
      <c r="CN855"/>
      <c r="CO855"/>
      <c r="CP855"/>
      <c r="CQ855"/>
      <c r="CR855"/>
      <c r="CS855"/>
      <c r="CT855"/>
      <c r="CU855"/>
      <c r="CV855"/>
      <c r="CW855"/>
      <c r="CX855"/>
      <c r="CY855"/>
    </row>
    <row r="856" spans="50:103" ht="20.100000000000001" customHeight="1" x14ac:dyDescent="0.25">
      <c r="AX856"/>
      <c r="AY856"/>
      <c r="AZ856"/>
      <c r="BA856"/>
      <c r="BB856"/>
      <c r="BC856"/>
      <c r="BD856"/>
      <c r="BE856"/>
      <c r="BF856"/>
      <c r="BG856"/>
      <c r="BH856"/>
      <c r="BI856"/>
      <c r="BJ856"/>
      <c r="BK856"/>
      <c r="BL856"/>
      <c r="BM856"/>
      <c r="BN856"/>
      <c r="BO856"/>
      <c r="BP856"/>
      <c r="BQ856"/>
      <c r="BR856"/>
      <c r="BY856"/>
      <c r="BZ856"/>
      <c r="CA856"/>
      <c r="CB856"/>
      <c r="CC856"/>
      <c r="CD856"/>
      <c r="CE856"/>
      <c r="CF856"/>
      <c r="CG856"/>
      <c r="CH856"/>
      <c r="CI856"/>
      <c r="CJ856"/>
      <c r="CK856"/>
      <c r="CL856"/>
      <c r="CM856"/>
      <c r="CN856"/>
      <c r="CO856"/>
      <c r="CP856"/>
      <c r="CQ856"/>
      <c r="CR856"/>
      <c r="CS856"/>
      <c r="CT856"/>
      <c r="CU856"/>
      <c r="CV856"/>
      <c r="CW856"/>
      <c r="CX856"/>
      <c r="CY856"/>
    </row>
    <row r="857" spans="50:103" ht="20.100000000000001" customHeight="1" x14ac:dyDescent="0.25">
      <c r="AX857"/>
      <c r="AY857"/>
      <c r="AZ857"/>
      <c r="BA857"/>
      <c r="BB857"/>
      <c r="BC857"/>
      <c r="BD857"/>
      <c r="BE857"/>
      <c r="BF857"/>
      <c r="BG857"/>
      <c r="BH857"/>
      <c r="BI857"/>
      <c r="BJ857"/>
      <c r="BK857"/>
      <c r="BL857"/>
      <c r="BM857"/>
      <c r="BN857"/>
      <c r="BO857"/>
      <c r="BP857"/>
      <c r="BQ857"/>
      <c r="BR857"/>
      <c r="BY857"/>
      <c r="BZ857"/>
      <c r="CA857"/>
      <c r="CB857"/>
      <c r="CC857"/>
      <c r="CD857"/>
      <c r="CE857"/>
      <c r="CF857"/>
      <c r="CG857"/>
      <c r="CH857"/>
      <c r="CI857"/>
      <c r="CJ857"/>
      <c r="CK857"/>
      <c r="CL857"/>
      <c r="CM857"/>
      <c r="CN857"/>
      <c r="CO857"/>
      <c r="CP857"/>
      <c r="CQ857"/>
      <c r="CR857"/>
      <c r="CS857"/>
      <c r="CT857"/>
      <c r="CU857"/>
      <c r="CV857"/>
      <c r="CW857"/>
      <c r="CX857"/>
      <c r="CY857"/>
    </row>
    <row r="858" spans="50:103" ht="20.100000000000001" customHeight="1" x14ac:dyDescent="0.25">
      <c r="AX858"/>
      <c r="AY858"/>
      <c r="AZ858"/>
      <c r="BA858"/>
      <c r="BB858"/>
      <c r="BC858"/>
      <c r="BD858"/>
      <c r="BE858"/>
      <c r="BF858"/>
      <c r="BG858"/>
      <c r="BH858"/>
      <c r="BI858"/>
      <c r="BJ858"/>
      <c r="BK858"/>
      <c r="BL858"/>
      <c r="BM858"/>
      <c r="BN858"/>
      <c r="BO858"/>
      <c r="BP858"/>
      <c r="BQ858"/>
      <c r="BR858"/>
      <c r="BY858"/>
      <c r="BZ858"/>
      <c r="CA858"/>
      <c r="CB858"/>
      <c r="CC858"/>
      <c r="CD858"/>
      <c r="CE858"/>
      <c r="CF858"/>
      <c r="CG858"/>
      <c r="CH858"/>
      <c r="CI858"/>
      <c r="CJ858"/>
      <c r="CK858"/>
      <c r="CL858"/>
      <c r="CM858"/>
      <c r="CN858"/>
      <c r="CO858"/>
      <c r="CP858"/>
      <c r="CQ858"/>
      <c r="CR858"/>
      <c r="CS858"/>
      <c r="CT858"/>
      <c r="CU858"/>
      <c r="CV858"/>
      <c r="CW858"/>
      <c r="CX858"/>
      <c r="CY858"/>
    </row>
    <row r="859" spans="50:103" ht="20.100000000000001" customHeight="1" x14ac:dyDescent="0.25">
      <c r="AX859"/>
      <c r="AY859"/>
      <c r="AZ859"/>
      <c r="BA859"/>
      <c r="BB859"/>
      <c r="BC859"/>
      <c r="BD859"/>
      <c r="BE859"/>
      <c r="BF859"/>
      <c r="BG859"/>
      <c r="BH859"/>
      <c r="BI859"/>
      <c r="BJ859"/>
      <c r="BK859"/>
      <c r="BL859"/>
      <c r="BM859"/>
      <c r="BN859"/>
      <c r="BO859"/>
      <c r="BP859"/>
      <c r="BQ859"/>
      <c r="BR859"/>
      <c r="BY859"/>
      <c r="BZ859"/>
      <c r="CA859"/>
      <c r="CB859"/>
      <c r="CC859"/>
      <c r="CD859"/>
      <c r="CE859"/>
      <c r="CF859"/>
      <c r="CG859"/>
      <c r="CH859"/>
      <c r="CI859"/>
      <c r="CJ859"/>
      <c r="CK859"/>
      <c r="CL859"/>
      <c r="CM859"/>
      <c r="CN859"/>
      <c r="CO859"/>
      <c r="CP859"/>
      <c r="CQ859"/>
      <c r="CR859"/>
      <c r="CS859"/>
      <c r="CT859"/>
      <c r="CU859"/>
      <c r="CV859"/>
      <c r="CW859"/>
      <c r="CX859"/>
      <c r="CY859"/>
    </row>
    <row r="860" spans="50:103" ht="20.100000000000001" customHeight="1" x14ac:dyDescent="0.25">
      <c r="AX860"/>
      <c r="AY860"/>
      <c r="AZ860"/>
      <c r="BA860"/>
      <c r="BB860"/>
      <c r="BC860"/>
      <c r="BD860"/>
      <c r="BE860"/>
      <c r="BF860"/>
      <c r="BG860"/>
      <c r="BH860"/>
      <c r="BI860"/>
      <c r="BJ860"/>
      <c r="BK860"/>
      <c r="BL860"/>
      <c r="BM860"/>
      <c r="BN860"/>
      <c r="BO860"/>
      <c r="BP860"/>
      <c r="BQ860"/>
      <c r="BR860"/>
      <c r="BY860"/>
      <c r="BZ860"/>
      <c r="CA860"/>
      <c r="CB860"/>
      <c r="CC860"/>
      <c r="CD860"/>
      <c r="CE860"/>
      <c r="CF860"/>
      <c r="CG860"/>
      <c r="CH860"/>
      <c r="CI860"/>
      <c r="CJ860"/>
      <c r="CK860"/>
      <c r="CL860"/>
      <c r="CM860"/>
      <c r="CN860"/>
      <c r="CO860"/>
      <c r="CP860"/>
      <c r="CQ860"/>
      <c r="CR860"/>
      <c r="CS860"/>
      <c r="CT860"/>
      <c r="CU860"/>
      <c r="CV860"/>
      <c r="CW860"/>
      <c r="CX860"/>
      <c r="CY860"/>
    </row>
    <row r="861" spans="50:103" ht="20.100000000000001" customHeight="1" x14ac:dyDescent="0.25">
      <c r="AX861"/>
      <c r="AY861"/>
      <c r="AZ861"/>
      <c r="BA861"/>
      <c r="BB861"/>
      <c r="BC861"/>
      <c r="BD861"/>
      <c r="BE861"/>
      <c r="BF861"/>
      <c r="BG861"/>
      <c r="BH861"/>
      <c r="BI861"/>
      <c r="BJ861"/>
      <c r="BK861"/>
      <c r="BL861"/>
      <c r="BM861"/>
      <c r="BN861"/>
      <c r="BO861"/>
      <c r="BP861"/>
      <c r="BQ861"/>
      <c r="BR861"/>
      <c r="BY861"/>
      <c r="BZ861"/>
      <c r="CA861"/>
      <c r="CB861"/>
      <c r="CC861"/>
      <c r="CD861"/>
      <c r="CE861"/>
      <c r="CF861"/>
      <c r="CG861"/>
      <c r="CH861"/>
      <c r="CI861"/>
      <c r="CJ861"/>
      <c r="CK861"/>
      <c r="CL861"/>
      <c r="CM861"/>
      <c r="CN861"/>
      <c r="CO861"/>
      <c r="CP861"/>
      <c r="CQ861"/>
      <c r="CR861"/>
      <c r="CS861"/>
      <c r="CT861"/>
      <c r="CU861"/>
      <c r="CV861"/>
      <c r="CW861"/>
      <c r="CX861"/>
      <c r="CY861"/>
    </row>
    <row r="862" spans="50:103" ht="20.100000000000001" customHeight="1" x14ac:dyDescent="0.25">
      <c r="AX862"/>
      <c r="AY862"/>
      <c r="AZ862"/>
      <c r="BA862"/>
      <c r="BB862"/>
      <c r="BC862"/>
      <c r="BD862"/>
      <c r="BE862"/>
      <c r="BF862"/>
      <c r="BG862"/>
      <c r="BH862"/>
      <c r="BI862"/>
      <c r="BJ862"/>
      <c r="BK862"/>
      <c r="BL862"/>
      <c r="BM862"/>
      <c r="BN862"/>
      <c r="BO862"/>
      <c r="BP862"/>
      <c r="BQ862"/>
      <c r="BR862"/>
      <c r="BY862"/>
      <c r="BZ862"/>
      <c r="CA862"/>
      <c r="CB862"/>
      <c r="CC862"/>
      <c r="CD862"/>
      <c r="CE862"/>
      <c r="CF862"/>
      <c r="CG862"/>
      <c r="CH862"/>
      <c r="CI862"/>
      <c r="CJ862"/>
      <c r="CK862"/>
      <c r="CL862"/>
      <c r="CM862"/>
      <c r="CN862"/>
      <c r="CO862"/>
      <c r="CP862"/>
      <c r="CQ862"/>
      <c r="CR862"/>
      <c r="CS862"/>
      <c r="CT862"/>
      <c r="CU862"/>
      <c r="CV862"/>
      <c r="CW862"/>
      <c r="CX862"/>
      <c r="CY862"/>
    </row>
    <row r="863" spans="50:103" ht="20.100000000000001" customHeight="1" x14ac:dyDescent="0.25">
      <c r="AX863"/>
      <c r="AY863"/>
      <c r="AZ863"/>
      <c r="BA863"/>
      <c r="BB863"/>
      <c r="BC863"/>
      <c r="BD863"/>
      <c r="BE863"/>
      <c r="BF863"/>
      <c r="BG863"/>
      <c r="BH863"/>
      <c r="BI863"/>
      <c r="BJ863"/>
      <c r="BK863"/>
      <c r="BL863"/>
      <c r="BM863"/>
      <c r="BN863"/>
      <c r="BO863"/>
      <c r="BP863"/>
      <c r="BQ863"/>
      <c r="BR863"/>
      <c r="BY863"/>
      <c r="BZ863"/>
      <c r="CA863"/>
      <c r="CB863"/>
      <c r="CC863"/>
      <c r="CD863"/>
      <c r="CE863"/>
      <c r="CF863"/>
      <c r="CG863"/>
      <c r="CH863"/>
      <c r="CI863"/>
      <c r="CJ863"/>
      <c r="CK863"/>
      <c r="CL863"/>
      <c r="CM863"/>
      <c r="CN863"/>
      <c r="CO863"/>
      <c r="CP863"/>
      <c r="CQ863"/>
      <c r="CR863"/>
      <c r="CS863"/>
      <c r="CT863"/>
      <c r="CU863"/>
      <c r="CV863"/>
      <c r="CW863"/>
      <c r="CX863"/>
      <c r="CY863"/>
    </row>
    <row r="864" spans="50:103" ht="20.100000000000001" customHeight="1" x14ac:dyDescent="0.25">
      <c r="AX864"/>
      <c r="AY864"/>
      <c r="AZ864"/>
      <c r="BA864"/>
      <c r="BB864"/>
      <c r="BC864"/>
      <c r="BD864"/>
      <c r="BE864"/>
      <c r="BF864"/>
      <c r="BG864"/>
      <c r="BH864"/>
      <c r="BI864"/>
      <c r="BJ864"/>
      <c r="BK864"/>
      <c r="BL864"/>
      <c r="BM864"/>
      <c r="BN864"/>
      <c r="BO864"/>
      <c r="BP864"/>
      <c r="BQ864"/>
      <c r="BR864"/>
      <c r="BY864"/>
      <c r="BZ864"/>
      <c r="CA864"/>
      <c r="CB864"/>
      <c r="CC864"/>
      <c r="CD864"/>
      <c r="CE864"/>
      <c r="CF864"/>
      <c r="CG864"/>
      <c r="CH864"/>
      <c r="CI864"/>
      <c r="CJ864"/>
      <c r="CK864"/>
      <c r="CL864"/>
      <c r="CM864"/>
      <c r="CN864"/>
      <c r="CO864"/>
      <c r="CP864"/>
      <c r="CQ864"/>
      <c r="CR864"/>
      <c r="CS864"/>
      <c r="CT864"/>
      <c r="CU864"/>
      <c r="CV864"/>
      <c r="CW864"/>
      <c r="CX864"/>
      <c r="CY864"/>
    </row>
    <row r="865" spans="50:103" ht="20.100000000000001" customHeight="1" x14ac:dyDescent="0.25">
      <c r="AX865"/>
      <c r="AY865"/>
      <c r="AZ865"/>
      <c r="BA865"/>
      <c r="BB865"/>
      <c r="BC865"/>
      <c r="BD865"/>
      <c r="BE865"/>
      <c r="BF865"/>
      <c r="BG865"/>
      <c r="BH865"/>
      <c r="BI865"/>
      <c r="BJ865"/>
      <c r="BK865"/>
      <c r="BL865"/>
      <c r="BM865"/>
      <c r="BN865"/>
      <c r="BO865"/>
      <c r="BP865"/>
      <c r="BQ865"/>
      <c r="BR865"/>
      <c r="BY865"/>
      <c r="BZ865"/>
      <c r="CA865"/>
      <c r="CB865"/>
      <c r="CC865"/>
      <c r="CD865"/>
      <c r="CE865"/>
      <c r="CF865"/>
      <c r="CG865"/>
      <c r="CH865"/>
      <c r="CI865"/>
      <c r="CJ865"/>
      <c r="CK865"/>
      <c r="CL865"/>
      <c r="CM865"/>
      <c r="CN865"/>
      <c r="CO865"/>
      <c r="CP865"/>
      <c r="CQ865"/>
      <c r="CR865"/>
      <c r="CS865"/>
      <c r="CT865"/>
      <c r="CU865"/>
      <c r="CV865"/>
      <c r="CW865"/>
      <c r="CX865"/>
      <c r="CY865"/>
    </row>
    <row r="866" spans="50:103" ht="20.100000000000001" customHeight="1" x14ac:dyDescent="0.25">
      <c r="AX866"/>
      <c r="AY866"/>
      <c r="AZ866"/>
      <c r="BA866"/>
      <c r="BB866"/>
      <c r="BC866"/>
      <c r="BD866"/>
      <c r="BE866"/>
      <c r="BF866"/>
      <c r="BG866"/>
      <c r="BH866"/>
      <c r="BI866"/>
      <c r="BJ866"/>
      <c r="BK866"/>
      <c r="BL866"/>
      <c r="BM866"/>
      <c r="BN866"/>
      <c r="BO866"/>
      <c r="BP866"/>
      <c r="BQ866"/>
      <c r="BR866"/>
      <c r="BY866"/>
      <c r="BZ866"/>
      <c r="CA866"/>
      <c r="CB866"/>
      <c r="CC866"/>
      <c r="CD866"/>
      <c r="CE866"/>
      <c r="CF866"/>
      <c r="CG866"/>
      <c r="CH866"/>
      <c r="CI866"/>
      <c r="CJ866"/>
      <c r="CK866"/>
      <c r="CL866"/>
      <c r="CM866"/>
      <c r="CN866"/>
      <c r="CO866"/>
      <c r="CP866"/>
      <c r="CQ866"/>
      <c r="CR866"/>
      <c r="CS866"/>
      <c r="CT866"/>
      <c r="CU866"/>
      <c r="CV866"/>
      <c r="CW866"/>
      <c r="CX866"/>
      <c r="CY866"/>
    </row>
    <row r="867" spans="50:103" ht="20.100000000000001" customHeight="1" x14ac:dyDescent="0.25">
      <c r="AX867"/>
      <c r="AY867"/>
      <c r="AZ867"/>
      <c r="BA867"/>
      <c r="BB867"/>
      <c r="BC867"/>
      <c r="BD867"/>
      <c r="BE867"/>
      <c r="BF867"/>
      <c r="BG867"/>
      <c r="BH867"/>
      <c r="BI867"/>
      <c r="BJ867"/>
      <c r="BK867"/>
      <c r="BL867"/>
      <c r="BM867"/>
      <c r="BN867"/>
      <c r="BO867"/>
      <c r="BP867"/>
      <c r="BQ867"/>
      <c r="BR867"/>
      <c r="BY867"/>
      <c r="BZ867"/>
      <c r="CA867"/>
      <c r="CB867"/>
      <c r="CC867"/>
      <c r="CD867"/>
      <c r="CE867"/>
      <c r="CF867"/>
      <c r="CG867"/>
      <c r="CH867"/>
      <c r="CI867"/>
      <c r="CJ867"/>
      <c r="CK867"/>
      <c r="CL867"/>
      <c r="CM867"/>
      <c r="CN867"/>
      <c r="CO867"/>
      <c r="CP867"/>
      <c r="CQ867"/>
      <c r="CR867"/>
      <c r="CS867"/>
      <c r="CT867"/>
      <c r="CU867"/>
      <c r="CV867"/>
      <c r="CW867"/>
      <c r="CX867"/>
      <c r="CY867"/>
    </row>
    <row r="868" spans="50:103" ht="20.100000000000001" customHeight="1" x14ac:dyDescent="0.25">
      <c r="AX868"/>
      <c r="AY868"/>
      <c r="AZ868"/>
      <c r="BA868"/>
      <c r="BB868"/>
      <c r="BC868"/>
      <c r="BD868"/>
      <c r="BE868"/>
      <c r="BF868"/>
      <c r="BG868"/>
      <c r="BH868"/>
      <c r="BI868"/>
      <c r="BJ868"/>
      <c r="BK868"/>
      <c r="BL868"/>
      <c r="BM868"/>
      <c r="BN868"/>
      <c r="BO868"/>
      <c r="BP868"/>
      <c r="BQ868"/>
      <c r="BR868"/>
      <c r="BY868"/>
      <c r="BZ868"/>
      <c r="CA868"/>
      <c r="CB868"/>
      <c r="CC868"/>
      <c r="CD868"/>
      <c r="CE868"/>
      <c r="CF868"/>
      <c r="CG868"/>
      <c r="CH868"/>
      <c r="CI868"/>
      <c r="CJ868"/>
      <c r="CK868"/>
      <c r="CL868"/>
      <c r="CM868"/>
      <c r="CN868"/>
      <c r="CO868"/>
      <c r="CP868"/>
      <c r="CQ868"/>
      <c r="CR868"/>
      <c r="CS868"/>
      <c r="CT868"/>
      <c r="CU868"/>
      <c r="CV868"/>
      <c r="CW868"/>
      <c r="CX868"/>
      <c r="CY868"/>
    </row>
    <row r="869" spans="50:103" ht="20.100000000000001" customHeight="1" x14ac:dyDescent="0.25">
      <c r="AX869"/>
      <c r="AY869"/>
      <c r="AZ869"/>
      <c r="BA869"/>
      <c r="BB869"/>
      <c r="BC869"/>
      <c r="BD869"/>
      <c r="BE869"/>
      <c r="BF869"/>
      <c r="BG869"/>
      <c r="BH869"/>
      <c r="BI869"/>
      <c r="BJ869"/>
      <c r="BK869"/>
      <c r="BL869"/>
      <c r="BM869"/>
      <c r="BN869"/>
      <c r="BO869"/>
      <c r="BP869"/>
      <c r="BQ869"/>
      <c r="BR869"/>
      <c r="BY869"/>
      <c r="BZ869"/>
      <c r="CA869"/>
      <c r="CB869"/>
      <c r="CC869"/>
      <c r="CD869"/>
      <c r="CE869"/>
      <c r="CF869"/>
      <c r="CG869"/>
      <c r="CH869"/>
      <c r="CI869"/>
      <c r="CJ869"/>
      <c r="CK869"/>
      <c r="CL869"/>
      <c r="CM869"/>
      <c r="CN869"/>
      <c r="CO869"/>
      <c r="CP869"/>
      <c r="CQ869"/>
      <c r="CR869"/>
      <c r="CS869"/>
      <c r="CT869"/>
      <c r="CU869"/>
      <c r="CV869"/>
      <c r="CW869"/>
      <c r="CX869"/>
      <c r="CY869"/>
    </row>
    <row r="870" spans="50:103" ht="20.100000000000001" customHeight="1" x14ac:dyDescent="0.25">
      <c r="AX870"/>
      <c r="AY870"/>
      <c r="AZ870"/>
      <c r="BA870"/>
      <c r="BB870"/>
      <c r="BC870"/>
      <c r="BD870"/>
      <c r="BE870"/>
      <c r="BF870"/>
      <c r="BG870"/>
      <c r="BH870"/>
      <c r="BI870"/>
      <c r="BJ870"/>
      <c r="BK870"/>
      <c r="BL870"/>
      <c r="BM870"/>
      <c r="BN870"/>
      <c r="BO870"/>
      <c r="BP870"/>
      <c r="BQ870"/>
      <c r="BR870"/>
      <c r="BY870"/>
      <c r="BZ870"/>
      <c r="CA870"/>
      <c r="CB870"/>
      <c r="CC870"/>
      <c r="CD870"/>
      <c r="CE870"/>
      <c r="CF870"/>
      <c r="CG870"/>
      <c r="CH870"/>
      <c r="CI870"/>
      <c r="CJ870"/>
      <c r="CK870"/>
      <c r="CL870"/>
      <c r="CM870"/>
      <c r="CN870"/>
      <c r="CO870"/>
      <c r="CP870"/>
      <c r="CQ870"/>
      <c r="CR870"/>
      <c r="CS870"/>
      <c r="CT870"/>
      <c r="CU870"/>
      <c r="CV870"/>
      <c r="CW870"/>
      <c r="CX870"/>
      <c r="CY870"/>
    </row>
    <row r="871" spans="50:103" ht="20.100000000000001" customHeight="1" x14ac:dyDescent="0.25">
      <c r="AX871"/>
      <c r="AY871"/>
      <c r="AZ871"/>
      <c r="BA871"/>
      <c r="BB871"/>
      <c r="BC871"/>
      <c r="BD871"/>
      <c r="BE871"/>
      <c r="BF871"/>
      <c r="BG871"/>
      <c r="BH871"/>
      <c r="BI871"/>
      <c r="BJ871"/>
      <c r="BK871"/>
      <c r="BL871"/>
      <c r="BM871"/>
      <c r="BN871"/>
      <c r="BO871"/>
      <c r="BP871"/>
      <c r="BQ871"/>
      <c r="BR871"/>
      <c r="BY871"/>
      <c r="BZ871"/>
      <c r="CA871"/>
      <c r="CB871"/>
      <c r="CC871"/>
      <c r="CD871"/>
      <c r="CE871"/>
      <c r="CF871"/>
      <c r="CG871"/>
      <c r="CH871"/>
      <c r="CI871"/>
      <c r="CJ871"/>
      <c r="CK871"/>
      <c r="CL871"/>
      <c r="CM871"/>
      <c r="CN871"/>
      <c r="CO871"/>
      <c r="CP871"/>
      <c r="CQ871"/>
      <c r="CR871"/>
      <c r="CS871"/>
      <c r="CT871"/>
      <c r="CU871"/>
      <c r="CV871"/>
      <c r="CW871"/>
      <c r="CX871"/>
      <c r="CY871"/>
    </row>
    <row r="872" spans="50:103" ht="20.100000000000001" customHeight="1" x14ac:dyDescent="0.25">
      <c r="AX872"/>
      <c r="AY872"/>
      <c r="AZ872"/>
      <c r="BA872"/>
      <c r="BB872"/>
      <c r="BC872"/>
      <c r="BD872"/>
      <c r="BE872"/>
      <c r="BF872"/>
      <c r="BG872"/>
      <c r="BH872"/>
      <c r="BI872"/>
      <c r="BJ872"/>
      <c r="BK872"/>
      <c r="BL872"/>
      <c r="BM872"/>
      <c r="BN872"/>
      <c r="BO872"/>
      <c r="BP872"/>
      <c r="BQ872"/>
      <c r="BR872"/>
      <c r="BY872"/>
      <c r="BZ872"/>
      <c r="CA872"/>
      <c r="CB872"/>
      <c r="CC872"/>
      <c r="CD872"/>
      <c r="CE872"/>
      <c r="CF872"/>
      <c r="CG872"/>
      <c r="CH872"/>
      <c r="CI872"/>
      <c r="CJ872"/>
      <c r="CK872"/>
      <c r="CL872"/>
      <c r="CM872"/>
      <c r="CN872"/>
      <c r="CO872"/>
      <c r="CP872"/>
      <c r="CQ872"/>
      <c r="CR872"/>
      <c r="CS872"/>
      <c r="CT872"/>
      <c r="CU872"/>
      <c r="CV872"/>
      <c r="CW872"/>
      <c r="CX872"/>
      <c r="CY872"/>
    </row>
    <row r="873" spans="50:103" ht="20.100000000000001" customHeight="1" x14ac:dyDescent="0.25">
      <c r="AX873"/>
      <c r="AY873"/>
      <c r="AZ873"/>
      <c r="BA873"/>
      <c r="BB873"/>
      <c r="BC873"/>
      <c r="BD873"/>
      <c r="BE873"/>
      <c r="BF873"/>
      <c r="BG873"/>
      <c r="BH873"/>
      <c r="BI873"/>
      <c r="BJ873"/>
      <c r="BK873"/>
      <c r="BL873"/>
      <c r="BM873"/>
      <c r="BN873"/>
      <c r="BO873"/>
      <c r="BP873"/>
      <c r="BQ873"/>
      <c r="BR873"/>
      <c r="BY873"/>
      <c r="BZ873"/>
      <c r="CA873"/>
      <c r="CB873"/>
      <c r="CC873"/>
      <c r="CD873"/>
      <c r="CE873"/>
      <c r="CF873"/>
      <c r="CG873"/>
      <c r="CH873"/>
      <c r="CI873"/>
      <c r="CJ873"/>
      <c r="CK873"/>
      <c r="CL873"/>
      <c r="CM873"/>
      <c r="CN873"/>
      <c r="CO873"/>
      <c r="CP873"/>
      <c r="CQ873"/>
      <c r="CR873"/>
      <c r="CS873"/>
      <c r="CT873"/>
      <c r="CU873"/>
      <c r="CV873"/>
      <c r="CW873"/>
      <c r="CX873"/>
      <c r="CY873"/>
    </row>
    <row r="874" spans="50:103" ht="20.100000000000001" customHeight="1" x14ac:dyDescent="0.25">
      <c r="AX874"/>
      <c r="AY874"/>
      <c r="AZ874"/>
      <c r="BA874"/>
      <c r="BB874"/>
      <c r="BC874"/>
      <c r="BD874"/>
      <c r="BE874"/>
      <c r="BF874"/>
      <c r="BG874"/>
      <c r="BH874"/>
      <c r="BI874"/>
      <c r="BJ874"/>
      <c r="BK874"/>
      <c r="BL874"/>
      <c r="BM874"/>
      <c r="BN874"/>
      <c r="BO874"/>
      <c r="BP874"/>
      <c r="BQ874"/>
      <c r="BR874"/>
      <c r="BY874"/>
      <c r="BZ874"/>
      <c r="CA874"/>
      <c r="CB874"/>
      <c r="CC874"/>
      <c r="CD874"/>
      <c r="CE874"/>
      <c r="CF874"/>
      <c r="CG874"/>
      <c r="CH874"/>
      <c r="CI874"/>
      <c r="CJ874"/>
      <c r="CK874"/>
      <c r="CL874"/>
      <c r="CM874"/>
      <c r="CN874"/>
      <c r="CO874"/>
      <c r="CP874"/>
      <c r="CQ874"/>
      <c r="CR874"/>
      <c r="CS874"/>
      <c r="CT874"/>
      <c r="CU874"/>
      <c r="CV874"/>
      <c r="CW874"/>
      <c r="CX874"/>
      <c r="CY874"/>
    </row>
    <row r="875" spans="50:103" ht="20.100000000000001" customHeight="1" x14ac:dyDescent="0.25">
      <c r="AX875"/>
      <c r="AY875"/>
      <c r="AZ875"/>
      <c r="BA875"/>
      <c r="BB875"/>
      <c r="BC875"/>
      <c r="BD875"/>
      <c r="BE875"/>
      <c r="BF875"/>
      <c r="BG875"/>
      <c r="BH875"/>
      <c r="BI875"/>
      <c r="BJ875"/>
      <c r="BK875"/>
      <c r="BL875"/>
      <c r="BM875"/>
      <c r="BN875"/>
      <c r="BO875"/>
      <c r="BP875"/>
      <c r="BQ875"/>
      <c r="BR875"/>
      <c r="BY875"/>
      <c r="BZ875"/>
      <c r="CA875"/>
      <c r="CB875"/>
      <c r="CC875"/>
      <c r="CD875"/>
      <c r="CE875"/>
      <c r="CF875"/>
      <c r="CG875"/>
      <c r="CH875"/>
      <c r="CI875"/>
      <c r="CJ875"/>
      <c r="CK875"/>
      <c r="CL875"/>
      <c r="CM875"/>
      <c r="CN875"/>
      <c r="CO875"/>
      <c r="CP875"/>
      <c r="CQ875"/>
      <c r="CR875"/>
      <c r="CS875"/>
      <c r="CT875"/>
      <c r="CU875"/>
      <c r="CV875"/>
      <c r="CW875"/>
      <c r="CX875"/>
      <c r="CY875"/>
    </row>
    <row r="876" spans="50:103" ht="20.100000000000001" customHeight="1" x14ac:dyDescent="0.25">
      <c r="AX876"/>
      <c r="AY876"/>
      <c r="AZ876"/>
      <c r="BA876"/>
      <c r="BB876"/>
      <c r="BC876"/>
      <c r="BD876"/>
      <c r="BE876"/>
      <c r="BF876"/>
      <c r="BG876"/>
      <c r="BH876"/>
      <c r="BI876"/>
      <c r="BJ876"/>
      <c r="BK876"/>
      <c r="BL876"/>
      <c r="BM876"/>
      <c r="BN876"/>
      <c r="BO876"/>
      <c r="BP876"/>
      <c r="BQ876"/>
      <c r="BR876"/>
      <c r="BY876"/>
      <c r="BZ876"/>
      <c r="CA876"/>
      <c r="CB876"/>
      <c r="CC876"/>
      <c r="CD876"/>
      <c r="CE876"/>
      <c r="CF876"/>
      <c r="CG876"/>
      <c r="CH876"/>
      <c r="CI876"/>
      <c r="CJ876"/>
      <c r="CK876"/>
      <c r="CL876"/>
      <c r="CM876"/>
      <c r="CN876"/>
      <c r="CO876"/>
      <c r="CP876"/>
      <c r="CQ876"/>
      <c r="CR876"/>
      <c r="CS876"/>
      <c r="CT876"/>
      <c r="CU876"/>
      <c r="CV876"/>
      <c r="CW876"/>
      <c r="CX876"/>
      <c r="CY876"/>
    </row>
    <row r="877" spans="50:103" ht="20.100000000000001" customHeight="1" x14ac:dyDescent="0.25">
      <c r="AX877"/>
      <c r="AY877"/>
      <c r="AZ877"/>
      <c r="BA877"/>
      <c r="BB877"/>
      <c r="BC877"/>
      <c r="BD877"/>
      <c r="BE877"/>
      <c r="BF877"/>
      <c r="BG877"/>
      <c r="BH877"/>
      <c r="BI877"/>
      <c r="BJ877"/>
      <c r="BK877"/>
      <c r="BL877"/>
      <c r="BM877"/>
      <c r="BN877"/>
      <c r="BO877"/>
      <c r="BP877"/>
      <c r="BQ877"/>
      <c r="BR877"/>
      <c r="BY877"/>
      <c r="BZ877"/>
      <c r="CA877"/>
      <c r="CB877"/>
      <c r="CC877"/>
      <c r="CD877"/>
      <c r="CE877"/>
      <c r="CF877"/>
      <c r="CG877"/>
      <c r="CH877"/>
      <c r="CI877"/>
      <c r="CJ877"/>
      <c r="CK877"/>
      <c r="CL877"/>
      <c r="CM877"/>
      <c r="CN877"/>
      <c r="CO877"/>
      <c r="CP877"/>
      <c r="CQ877"/>
      <c r="CR877"/>
      <c r="CS877"/>
      <c r="CT877"/>
      <c r="CU877"/>
      <c r="CV877"/>
      <c r="CW877"/>
      <c r="CX877"/>
      <c r="CY877"/>
    </row>
    <row r="878" spans="50:103" ht="20.100000000000001" customHeight="1" x14ac:dyDescent="0.25">
      <c r="AX878"/>
      <c r="AY878"/>
      <c r="AZ878"/>
      <c r="BA878"/>
      <c r="BB878"/>
      <c r="BC878"/>
      <c r="BD878"/>
      <c r="BE878"/>
      <c r="BF878"/>
      <c r="BG878"/>
      <c r="BH878"/>
      <c r="BI878"/>
      <c r="BJ878"/>
      <c r="BK878"/>
      <c r="BL878"/>
      <c r="BM878"/>
      <c r="BN878"/>
      <c r="BO878"/>
      <c r="BP878"/>
      <c r="BQ878"/>
      <c r="BR878"/>
      <c r="BY878"/>
      <c r="BZ878"/>
      <c r="CA878"/>
      <c r="CB878"/>
      <c r="CC878"/>
      <c r="CD878"/>
      <c r="CE878"/>
      <c r="CF878"/>
      <c r="CG878"/>
      <c r="CH878"/>
      <c r="CI878"/>
      <c r="CJ878"/>
      <c r="CK878"/>
      <c r="CL878"/>
      <c r="CM878"/>
      <c r="CN878"/>
      <c r="CO878"/>
      <c r="CP878"/>
      <c r="CQ878"/>
      <c r="CR878"/>
      <c r="CS878"/>
      <c r="CT878"/>
      <c r="CU878"/>
      <c r="CV878"/>
      <c r="CW878"/>
      <c r="CX878"/>
      <c r="CY878"/>
    </row>
    <row r="879" spans="50:103" ht="20.100000000000001" customHeight="1" x14ac:dyDescent="0.25">
      <c r="AX879"/>
      <c r="AY879"/>
      <c r="AZ879"/>
      <c r="BA879"/>
      <c r="BB879"/>
      <c r="BC879"/>
      <c r="BD879"/>
      <c r="BE879"/>
      <c r="BF879"/>
      <c r="BG879"/>
      <c r="BH879"/>
      <c r="BI879"/>
      <c r="BJ879"/>
      <c r="BK879"/>
      <c r="BL879"/>
      <c r="BM879"/>
      <c r="BN879"/>
      <c r="BO879"/>
      <c r="BP879"/>
      <c r="BQ879"/>
      <c r="BR879"/>
      <c r="BY879"/>
      <c r="BZ879"/>
      <c r="CA879"/>
      <c r="CB879"/>
      <c r="CC879"/>
      <c r="CD879"/>
      <c r="CE879"/>
      <c r="CF879"/>
      <c r="CG879"/>
      <c r="CH879"/>
      <c r="CI879"/>
      <c r="CJ879"/>
      <c r="CK879"/>
      <c r="CL879"/>
      <c r="CM879"/>
      <c r="CN879"/>
      <c r="CO879"/>
      <c r="CP879"/>
      <c r="CQ879"/>
      <c r="CR879"/>
      <c r="CS879"/>
      <c r="CT879"/>
      <c r="CU879"/>
      <c r="CV879"/>
      <c r="CW879"/>
      <c r="CX879"/>
      <c r="CY879"/>
    </row>
    <row r="880" spans="50:103" ht="20.100000000000001" customHeight="1" x14ac:dyDescent="0.25">
      <c r="AX880"/>
      <c r="AY880"/>
      <c r="AZ880"/>
      <c r="BA880"/>
      <c r="BB880"/>
      <c r="BC880"/>
      <c r="BD880"/>
      <c r="BE880"/>
      <c r="BF880"/>
      <c r="BG880"/>
      <c r="BH880"/>
      <c r="BI880"/>
      <c r="BJ880"/>
      <c r="BK880"/>
      <c r="BL880"/>
      <c r="BM880"/>
      <c r="BN880"/>
      <c r="BO880"/>
      <c r="BP880"/>
      <c r="BQ880"/>
      <c r="BR880"/>
      <c r="BY880"/>
      <c r="BZ880"/>
      <c r="CA880"/>
      <c r="CB880"/>
      <c r="CC880"/>
      <c r="CD880"/>
      <c r="CE880"/>
      <c r="CF880"/>
      <c r="CG880"/>
      <c r="CH880"/>
      <c r="CI880"/>
      <c r="CJ880"/>
      <c r="CK880"/>
      <c r="CL880"/>
      <c r="CM880"/>
      <c r="CN880"/>
      <c r="CO880"/>
      <c r="CP880"/>
      <c r="CQ880"/>
      <c r="CR880"/>
      <c r="CS880"/>
      <c r="CT880"/>
      <c r="CU880"/>
      <c r="CV880"/>
      <c r="CW880"/>
      <c r="CX880"/>
      <c r="CY880"/>
    </row>
    <row r="881" spans="50:103" ht="20.100000000000001" customHeight="1" x14ac:dyDescent="0.25">
      <c r="AX881"/>
      <c r="AY881"/>
      <c r="AZ881"/>
      <c r="BA881"/>
      <c r="BB881"/>
      <c r="BC881"/>
      <c r="BD881"/>
      <c r="BE881"/>
      <c r="BF881"/>
      <c r="BG881"/>
      <c r="BH881"/>
      <c r="BI881"/>
      <c r="BJ881"/>
      <c r="BK881"/>
      <c r="BL881"/>
      <c r="BM881"/>
      <c r="BN881"/>
      <c r="BO881"/>
      <c r="BP881"/>
      <c r="BQ881"/>
      <c r="BR881"/>
      <c r="BY881"/>
      <c r="BZ881"/>
      <c r="CA881"/>
      <c r="CB881"/>
      <c r="CC881"/>
      <c r="CD881"/>
      <c r="CE881"/>
      <c r="CF881"/>
      <c r="CG881"/>
      <c r="CH881"/>
      <c r="CI881"/>
      <c r="CJ881"/>
      <c r="CK881"/>
      <c r="CL881"/>
      <c r="CM881"/>
      <c r="CN881"/>
      <c r="CO881"/>
      <c r="CP881"/>
      <c r="CQ881"/>
      <c r="CR881"/>
      <c r="CS881"/>
      <c r="CT881"/>
      <c r="CU881"/>
      <c r="CV881"/>
      <c r="CW881"/>
      <c r="CX881"/>
      <c r="CY881"/>
    </row>
    <row r="882" spans="50:103" ht="20.100000000000001" customHeight="1" x14ac:dyDescent="0.25">
      <c r="AX882"/>
      <c r="AY882"/>
      <c r="AZ882"/>
      <c r="BA882"/>
      <c r="BB882"/>
      <c r="BC882"/>
      <c r="BD882"/>
      <c r="BE882"/>
      <c r="BF882"/>
      <c r="BG882"/>
      <c r="BH882"/>
      <c r="BI882"/>
      <c r="BJ882"/>
      <c r="BK882"/>
      <c r="BL882"/>
      <c r="BM882"/>
      <c r="BN882"/>
      <c r="BO882"/>
      <c r="BP882"/>
      <c r="BQ882"/>
      <c r="BR882"/>
      <c r="BY882"/>
      <c r="BZ882"/>
      <c r="CA882"/>
      <c r="CB882"/>
      <c r="CC882"/>
      <c r="CD882"/>
      <c r="CE882"/>
      <c r="CF882"/>
      <c r="CG882"/>
      <c r="CH882"/>
      <c r="CI882"/>
      <c r="CJ882"/>
      <c r="CK882"/>
      <c r="CL882"/>
      <c r="CM882"/>
      <c r="CN882"/>
      <c r="CO882"/>
      <c r="CP882"/>
      <c r="CQ882"/>
      <c r="CR882"/>
      <c r="CS882"/>
      <c r="CT882"/>
      <c r="CU882"/>
      <c r="CV882"/>
      <c r="CW882"/>
      <c r="CX882"/>
      <c r="CY882"/>
    </row>
    <row r="883" spans="50:103" ht="20.100000000000001" customHeight="1" x14ac:dyDescent="0.25">
      <c r="AX883"/>
      <c r="AY883"/>
      <c r="AZ883"/>
      <c r="BA883"/>
      <c r="BB883"/>
      <c r="BC883"/>
      <c r="BD883"/>
      <c r="BE883"/>
      <c r="BF883"/>
      <c r="BG883"/>
      <c r="BH883"/>
      <c r="BI883"/>
      <c r="BJ883"/>
      <c r="BK883"/>
      <c r="BL883"/>
      <c r="BM883"/>
      <c r="BN883"/>
      <c r="BO883"/>
      <c r="BP883"/>
      <c r="BQ883"/>
      <c r="BR883"/>
      <c r="BY883"/>
      <c r="BZ883"/>
      <c r="CA883"/>
      <c r="CB883"/>
      <c r="CC883"/>
      <c r="CD883"/>
      <c r="CE883"/>
      <c r="CF883"/>
      <c r="CG883"/>
      <c r="CH883"/>
      <c r="CI883"/>
      <c r="CJ883"/>
      <c r="CK883"/>
      <c r="CL883"/>
      <c r="CM883"/>
      <c r="CN883"/>
      <c r="CO883"/>
      <c r="CP883"/>
      <c r="CQ883"/>
      <c r="CR883"/>
      <c r="CS883"/>
      <c r="CT883"/>
      <c r="CU883"/>
      <c r="CV883"/>
      <c r="CW883"/>
      <c r="CX883"/>
      <c r="CY883"/>
    </row>
    <row r="884" spans="50:103" ht="20.100000000000001" customHeight="1" x14ac:dyDescent="0.25">
      <c r="AX884"/>
      <c r="AY884"/>
      <c r="AZ884"/>
      <c r="BA884"/>
      <c r="BB884"/>
      <c r="BC884"/>
      <c r="BD884"/>
      <c r="BE884"/>
      <c r="BF884"/>
      <c r="BG884"/>
      <c r="BH884"/>
      <c r="BI884"/>
      <c r="BJ884"/>
      <c r="BK884"/>
      <c r="BL884"/>
      <c r="BM884"/>
      <c r="BN884"/>
      <c r="BO884"/>
      <c r="BP884"/>
      <c r="BQ884"/>
      <c r="BR884"/>
      <c r="BY884"/>
      <c r="BZ884"/>
      <c r="CA884"/>
      <c r="CB884"/>
      <c r="CC884"/>
      <c r="CD884"/>
      <c r="CE884"/>
      <c r="CF884"/>
      <c r="CG884"/>
      <c r="CH884"/>
      <c r="CI884"/>
      <c r="CJ884"/>
      <c r="CK884"/>
      <c r="CL884"/>
      <c r="CM884"/>
      <c r="CN884"/>
      <c r="CO884"/>
      <c r="CP884"/>
      <c r="CQ884"/>
      <c r="CR884"/>
      <c r="CS884"/>
      <c r="CT884"/>
      <c r="CU884"/>
      <c r="CV884"/>
      <c r="CW884"/>
      <c r="CX884"/>
      <c r="CY884"/>
    </row>
    <row r="885" spans="50:103" ht="20.100000000000001" customHeight="1" x14ac:dyDescent="0.25">
      <c r="AX885"/>
      <c r="AY885"/>
      <c r="AZ885"/>
      <c r="BA885"/>
      <c r="BB885"/>
      <c r="BC885"/>
      <c r="BD885"/>
      <c r="BE885"/>
      <c r="BF885"/>
      <c r="BG885"/>
      <c r="BH885"/>
      <c r="BI885"/>
      <c r="BJ885"/>
      <c r="BK885"/>
      <c r="BL885"/>
      <c r="BM885"/>
      <c r="BN885"/>
      <c r="BO885"/>
      <c r="BP885"/>
      <c r="BQ885"/>
      <c r="BR885"/>
      <c r="BY885"/>
      <c r="BZ885"/>
      <c r="CA885"/>
      <c r="CB885"/>
      <c r="CC885"/>
      <c r="CD885"/>
      <c r="CE885"/>
      <c r="CF885"/>
      <c r="CG885"/>
      <c r="CH885"/>
      <c r="CI885"/>
      <c r="CJ885"/>
      <c r="CK885"/>
      <c r="CL885"/>
      <c r="CM885"/>
      <c r="CN885"/>
      <c r="CO885"/>
      <c r="CP885"/>
      <c r="CQ885"/>
      <c r="CR885"/>
      <c r="CS885"/>
      <c r="CT885"/>
      <c r="CU885"/>
      <c r="CV885"/>
      <c r="CW885"/>
      <c r="CX885"/>
      <c r="CY885"/>
    </row>
    <row r="886" spans="50:103" ht="20.100000000000001" customHeight="1" x14ac:dyDescent="0.25">
      <c r="AX886"/>
      <c r="AY886"/>
      <c r="AZ886"/>
      <c r="BA886"/>
      <c r="BB886"/>
      <c r="BC886"/>
      <c r="BD886"/>
      <c r="BE886"/>
      <c r="BF886"/>
      <c r="BG886"/>
      <c r="BH886"/>
      <c r="BI886"/>
      <c r="BJ886"/>
      <c r="BK886"/>
      <c r="BL886"/>
      <c r="BM886"/>
      <c r="BN886"/>
      <c r="BO886"/>
      <c r="BP886"/>
      <c r="BQ886"/>
      <c r="BR886"/>
      <c r="BY886"/>
      <c r="BZ886"/>
      <c r="CA886"/>
      <c r="CB886"/>
      <c r="CC886"/>
      <c r="CD886"/>
      <c r="CE886"/>
      <c r="CF886"/>
      <c r="CG886"/>
      <c r="CH886"/>
      <c r="CI886"/>
      <c r="CJ886"/>
      <c r="CK886"/>
      <c r="CL886"/>
      <c r="CM886"/>
      <c r="CN886"/>
      <c r="CO886"/>
      <c r="CP886"/>
      <c r="CQ886"/>
      <c r="CR886"/>
      <c r="CS886"/>
      <c r="CT886"/>
      <c r="CU886"/>
      <c r="CV886"/>
      <c r="CW886"/>
      <c r="CX886"/>
      <c r="CY886"/>
    </row>
    <row r="887" spans="50:103" ht="20.100000000000001" customHeight="1" x14ac:dyDescent="0.25">
      <c r="AX887"/>
      <c r="AY887"/>
      <c r="AZ887"/>
      <c r="BA887"/>
      <c r="BB887"/>
      <c r="BC887"/>
      <c r="BD887"/>
      <c r="BE887"/>
      <c r="BF887"/>
      <c r="BG887"/>
      <c r="BH887"/>
      <c r="BI887"/>
      <c r="BJ887"/>
      <c r="BK887"/>
      <c r="BL887"/>
      <c r="BM887"/>
      <c r="BN887"/>
      <c r="BO887"/>
      <c r="BP887"/>
      <c r="BQ887"/>
      <c r="BR887"/>
      <c r="BY887"/>
      <c r="BZ887"/>
      <c r="CA887"/>
      <c r="CB887"/>
      <c r="CC887"/>
      <c r="CD887"/>
      <c r="CE887"/>
      <c r="CF887"/>
      <c r="CG887"/>
      <c r="CH887"/>
      <c r="CI887"/>
      <c r="CJ887"/>
      <c r="CK887"/>
      <c r="CL887"/>
      <c r="CM887"/>
      <c r="CN887"/>
      <c r="CO887"/>
      <c r="CP887"/>
      <c r="CQ887"/>
      <c r="CR887"/>
      <c r="CS887"/>
      <c r="CT887"/>
      <c r="CU887"/>
      <c r="CV887"/>
      <c r="CW887"/>
      <c r="CX887"/>
      <c r="CY887"/>
    </row>
    <row r="888" spans="50:103" ht="20.100000000000001" customHeight="1" x14ac:dyDescent="0.25">
      <c r="AX888"/>
      <c r="AY888"/>
      <c r="AZ888"/>
      <c r="BA888"/>
      <c r="BB888"/>
      <c r="BC888"/>
      <c r="BD888"/>
      <c r="BE888"/>
      <c r="BF888"/>
      <c r="BG888"/>
      <c r="BH888"/>
      <c r="BI888"/>
      <c r="BJ888"/>
      <c r="BK888"/>
      <c r="BL888"/>
      <c r="BM888"/>
      <c r="BN888"/>
      <c r="BO888"/>
      <c r="BP888"/>
      <c r="BQ888"/>
      <c r="BR888"/>
      <c r="BY888"/>
      <c r="BZ888"/>
      <c r="CA888"/>
      <c r="CB888"/>
      <c r="CC888"/>
      <c r="CD888"/>
      <c r="CE888"/>
      <c r="CF888"/>
      <c r="CG888"/>
      <c r="CH888"/>
      <c r="CI888"/>
      <c r="CJ888"/>
      <c r="CK888"/>
      <c r="CL888"/>
      <c r="CM888"/>
      <c r="CN888"/>
      <c r="CO888"/>
      <c r="CP888"/>
      <c r="CQ888"/>
      <c r="CR888"/>
      <c r="CS888"/>
      <c r="CT888"/>
      <c r="CU888"/>
      <c r="CV888"/>
      <c r="CW888"/>
      <c r="CX888"/>
      <c r="CY888"/>
    </row>
    <row r="889" spans="50:103" ht="20.100000000000001" customHeight="1" x14ac:dyDescent="0.25">
      <c r="AX889"/>
      <c r="AY889"/>
      <c r="AZ889"/>
      <c r="BA889"/>
      <c r="BB889"/>
      <c r="BC889"/>
      <c r="BD889"/>
      <c r="BE889"/>
      <c r="BF889"/>
      <c r="BG889"/>
      <c r="BH889"/>
      <c r="BI889"/>
      <c r="BJ889"/>
      <c r="BK889"/>
      <c r="BL889"/>
      <c r="BM889"/>
      <c r="BN889"/>
      <c r="BO889"/>
      <c r="BP889"/>
      <c r="BQ889"/>
      <c r="BR889"/>
      <c r="BY889"/>
      <c r="BZ889"/>
      <c r="CA889"/>
      <c r="CB889"/>
      <c r="CC889"/>
      <c r="CD889"/>
      <c r="CE889"/>
      <c r="CF889"/>
      <c r="CG889"/>
      <c r="CH889"/>
      <c r="CI889"/>
      <c r="CJ889"/>
      <c r="CK889"/>
      <c r="CL889"/>
      <c r="CM889"/>
      <c r="CN889"/>
      <c r="CO889"/>
      <c r="CP889"/>
      <c r="CQ889"/>
      <c r="CR889"/>
      <c r="CS889"/>
      <c r="CT889"/>
      <c r="CU889"/>
      <c r="CV889"/>
      <c r="CW889"/>
      <c r="CX889"/>
      <c r="CY889"/>
    </row>
    <row r="890" spans="50:103" ht="20.100000000000001" customHeight="1" x14ac:dyDescent="0.25">
      <c r="AX890"/>
      <c r="AY890"/>
      <c r="AZ890"/>
      <c r="BA890"/>
      <c r="BB890"/>
      <c r="BC890"/>
      <c r="BD890"/>
      <c r="BE890"/>
      <c r="BF890"/>
      <c r="BG890"/>
      <c r="BH890"/>
      <c r="BI890"/>
      <c r="BJ890"/>
      <c r="BK890"/>
      <c r="BL890"/>
      <c r="BM890"/>
      <c r="BN890"/>
      <c r="BO890"/>
      <c r="BP890"/>
      <c r="BQ890"/>
      <c r="BR890"/>
      <c r="BY890"/>
      <c r="BZ890"/>
      <c r="CA890"/>
      <c r="CB890"/>
      <c r="CC890"/>
      <c r="CD890"/>
      <c r="CE890"/>
      <c r="CF890"/>
      <c r="CG890"/>
      <c r="CH890"/>
      <c r="CI890"/>
      <c r="CJ890"/>
      <c r="CK890"/>
      <c r="CL890"/>
      <c r="CM890"/>
      <c r="CN890"/>
      <c r="CO890"/>
      <c r="CP890"/>
      <c r="CQ890"/>
      <c r="CR890"/>
      <c r="CS890"/>
      <c r="CT890"/>
      <c r="CU890"/>
      <c r="CV890"/>
      <c r="CW890"/>
      <c r="CX890"/>
      <c r="CY890"/>
    </row>
    <row r="891" spans="50:103" ht="20.100000000000001" customHeight="1" x14ac:dyDescent="0.25">
      <c r="AX891"/>
      <c r="AY891"/>
      <c r="AZ891"/>
      <c r="BA891"/>
      <c r="BB891"/>
      <c r="BC891"/>
      <c r="BD891"/>
      <c r="BE891"/>
      <c r="BF891"/>
      <c r="BG891"/>
      <c r="BH891"/>
      <c r="BI891"/>
      <c r="BJ891"/>
      <c r="BK891"/>
      <c r="BL891"/>
      <c r="BM891"/>
      <c r="BN891"/>
      <c r="BO891"/>
      <c r="BP891"/>
      <c r="BQ891"/>
      <c r="BR891"/>
      <c r="BY891"/>
      <c r="BZ891"/>
      <c r="CA891"/>
      <c r="CB891"/>
      <c r="CC891"/>
      <c r="CD891"/>
      <c r="CE891"/>
      <c r="CF891"/>
      <c r="CG891"/>
      <c r="CH891"/>
      <c r="CI891"/>
      <c r="CJ891"/>
      <c r="CK891"/>
      <c r="CL891"/>
      <c r="CM891"/>
      <c r="CN891"/>
      <c r="CO891"/>
      <c r="CP891"/>
      <c r="CQ891"/>
      <c r="CR891"/>
      <c r="CS891"/>
      <c r="CT891"/>
      <c r="CU891"/>
      <c r="CV891"/>
      <c r="CW891"/>
      <c r="CX891"/>
      <c r="CY891"/>
    </row>
    <row r="892" spans="50:103" ht="20.100000000000001" customHeight="1" x14ac:dyDescent="0.25">
      <c r="AX892"/>
      <c r="AY892"/>
      <c r="AZ892"/>
      <c r="BA892"/>
      <c r="BB892"/>
      <c r="BC892"/>
      <c r="BD892"/>
      <c r="BE892"/>
      <c r="BF892"/>
      <c r="BG892"/>
      <c r="BH892"/>
      <c r="BI892"/>
      <c r="BJ892"/>
      <c r="BK892"/>
      <c r="BL892"/>
      <c r="BM892"/>
      <c r="BN892"/>
      <c r="BO892"/>
      <c r="BP892"/>
      <c r="BQ892"/>
      <c r="BR892"/>
      <c r="BY892"/>
      <c r="BZ892"/>
      <c r="CA892"/>
      <c r="CB892"/>
      <c r="CC892"/>
      <c r="CD892"/>
      <c r="CE892"/>
      <c r="CF892"/>
      <c r="CG892"/>
      <c r="CH892"/>
      <c r="CI892"/>
      <c r="CJ892"/>
      <c r="CK892"/>
      <c r="CL892"/>
      <c r="CM892"/>
      <c r="CN892"/>
      <c r="CO892"/>
      <c r="CP892"/>
      <c r="CQ892"/>
      <c r="CR892"/>
      <c r="CS892"/>
      <c r="CT892"/>
      <c r="CU892"/>
      <c r="CV892"/>
      <c r="CW892"/>
      <c r="CX892"/>
      <c r="CY892"/>
    </row>
    <row r="893" spans="50:103" ht="20.100000000000001" customHeight="1" x14ac:dyDescent="0.25">
      <c r="AX893"/>
      <c r="AY893"/>
      <c r="AZ893"/>
      <c r="BA893"/>
      <c r="BB893"/>
      <c r="BC893"/>
      <c r="BD893"/>
      <c r="BE893"/>
      <c r="BF893"/>
      <c r="BG893"/>
      <c r="BH893"/>
      <c r="BI893"/>
      <c r="BJ893"/>
      <c r="BK893"/>
      <c r="BL893"/>
      <c r="BM893"/>
      <c r="BN893"/>
      <c r="BO893"/>
      <c r="BP893"/>
      <c r="BQ893"/>
      <c r="BR893"/>
      <c r="BY893"/>
      <c r="BZ893"/>
      <c r="CA893"/>
      <c r="CB893"/>
      <c r="CC893"/>
      <c r="CD893"/>
      <c r="CE893"/>
      <c r="CF893"/>
      <c r="CG893"/>
      <c r="CH893"/>
      <c r="CI893"/>
      <c r="CJ893"/>
      <c r="CK893"/>
      <c r="CL893"/>
      <c r="CM893"/>
      <c r="CN893"/>
      <c r="CO893"/>
      <c r="CP893"/>
      <c r="CQ893"/>
      <c r="CR893"/>
      <c r="CS893"/>
      <c r="CT893"/>
      <c r="CU893"/>
      <c r="CV893"/>
      <c r="CW893"/>
      <c r="CX893"/>
      <c r="CY893"/>
    </row>
    <row r="894" spans="50:103" ht="20.100000000000001" customHeight="1" x14ac:dyDescent="0.25">
      <c r="AX894"/>
      <c r="AY894"/>
      <c r="AZ894"/>
      <c r="BA894"/>
      <c r="BB894"/>
      <c r="BC894"/>
      <c r="BD894"/>
      <c r="BE894"/>
      <c r="BF894"/>
      <c r="BG894"/>
      <c r="BH894"/>
      <c r="BI894"/>
      <c r="BJ894"/>
      <c r="BK894"/>
      <c r="BL894"/>
      <c r="BM894"/>
      <c r="BN894"/>
      <c r="BO894"/>
      <c r="BP894"/>
      <c r="BQ894"/>
      <c r="BR894"/>
      <c r="BY894"/>
      <c r="BZ894"/>
      <c r="CA894"/>
      <c r="CB894"/>
      <c r="CC894"/>
      <c r="CD894"/>
      <c r="CE894"/>
      <c r="CF894"/>
      <c r="CG894"/>
      <c r="CH894"/>
      <c r="CI894"/>
      <c r="CJ894"/>
      <c r="CK894"/>
      <c r="CL894"/>
      <c r="CM894"/>
      <c r="CN894"/>
      <c r="CO894"/>
      <c r="CP894"/>
      <c r="CQ894"/>
      <c r="CR894"/>
      <c r="CS894"/>
      <c r="CT894"/>
      <c r="CU894"/>
      <c r="CV894"/>
      <c r="CW894"/>
      <c r="CX894"/>
      <c r="CY894"/>
    </row>
    <row r="895" spans="50:103" ht="20.100000000000001" customHeight="1" x14ac:dyDescent="0.25">
      <c r="AX895"/>
      <c r="AY895"/>
      <c r="AZ895"/>
      <c r="BA895"/>
      <c r="BB895"/>
      <c r="BC895"/>
      <c r="BD895"/>
      <c r="BE895"/>
      <c r="BF895"/>
      <c r="BG895"/>
      <c r="BH895"/>
      <c r="BI895"/>
      <c r="BJ895"/>
      <c r="BK895"/>
      <c r="BL895"/>
      <c r="BM895"/>
      <c r="BN895"/>
      <c r="BO895"/>
      <c r="BP895"/>
      <c r="BQ895"/>
      <c r="BR895"/>
      <c r="BY895"/>
      <c r="BZ895"/>
      <c r="CA895"/>
      <c r="CB895"/>
      <c r="CC895"/>
      <c r="CD895"/>
      <c r="CE895"/>
      <c r="CF895"/>
      <c r="CG895"/>
      <c r="CH895"/>
      <c r="CI895"/>
      <c r="CJ895"/>
      <c r="CK895"/>
      <c r="CL895"/>
      <c r="CM895"/>
      <c r="CN895"/>
      <c r="CO895"/>
      <c r="CP895"/>
      <c r="CQ895"/>
      <c r="CR895"/>
      <c r="CS895"/>
      <c r="CT895"/>
      <c r="CU895"/>
      <c r="CV895"/>
      <c r="CW895"/>
      <c r="CX895"/>
      <c r="CY895"/>
    </row>
    <row r="896" spans="50:103" ht="20.100000000000001" customHeight="1" x14ac:dyDescent="0.25">
      <c r="AX896"/>
      <c r="AY896"/>
      <c r="AZ896"/>
      <c r="BA896"/>
      <c r="BB896"/>
      <c r="BC896"/>
      <c r="BD896"/>
      <c r="BE896"/>
      <c r="BF896"/>
      <c r="BG896"/>
      <c r="BH896"/>
      <c r="BI896"/>
      <c r="BJ896"/>
      <c r="BK896"/>
      <c r="BL896"/>
      <c r="BM896"/>
      <c r="BN896"/>
      <c r="BO896"/>
      <c r="BP896"/>
      <c r="BQ896"/>
      <c r="BR896"/>
      <c r="BY896"/>
      <c r="BZ896"/>
      <c r="CA896"/>
      <c r="CB896"/>
      <c r="CC896"/>
      <c r="CD896"/>
      <c r="CE896"/>
      <c r="CF896"/>
      <c r="CG896"/>
      <c r="CH896"/>
      <c r="CI896"/>
      <c r="CJ896"/>
      <c r="CK896"/>
      <c r="CL896"/>
      <c r="CM896"/>
      <c r="CN896"/>
      <c r="CO896"/>
      <c r="CP896"/>
      <c r="CQ896"/>
      <c r="CR896"/>
      <c r="CS896"/>
      <c r="CT896"/>
      <c r="CU896"/>
      <c r="CV896"/>
      <c r="CW896"/>
      <c r="CX896"/>
      <c r="CY896"/>
    </row>
    <row r="897" spans="50:103" ht="20.100000000000001" customHeight="1" x14ac:dyDescent="0.25">
      <c r="AX897"/>
      <c r="AY897"/>
      <c r="AZ897"/>
      <c r="BA897"/>
      <c r="BB897"/>
      <c r="BC897"/>
      <c r="BD897"/>
      <c r="BE897"/>
      <c r="BF897"/>
      <c r="BG897"/>
      <c r="BH897"/>
      <c r="BI897"/>
      <c r="BJ897"/>
      <c r="BK897"/>
      <c r="BL897"/>
      <c r="BM897"/>
      <c r="BN897"/>
      <c r="BO897"/>
      <c r="BP897"/>
      <c r="BQ897"/>
      <c r="BR897"/>
      <c r="BY897"/>
      <c r="BZ897"/>
      <c r="CA897"/>
      <c r="CB897"/>
      <c r="CC897"/>
      <c r="CD897"/>
      <c r="CE897"/>
      <c r="CF897"/>
      <c r="CG897"/>
      <c r="CH897"/>
      <c r="CI897"/>
      <c r="CJ897"/>
      <c r="CK897"/>
      <c r="CL897"/>
      <c r="CM897"/>
      <c r="CN897"/>
      <c r="CO897"/>
      <c r="CP897"/>
      <c r="CQ897"/>
      <c r="CR897"/>
      <c r="CS897"/>
      <c r="CT897"/>
      <c r="CU897"/>
      <c r="CV897"/>
      <c r="CW897"/>
      <c r="CX897"/>
      <c r="CY897"/>
    </row>
    <row r="898" spans="50:103" ht="20.100000000000001" customHeight="1" x14ac:dyDescent="0.25">
      <c r="AX898"/>
      <c r="AY898"/>
      <c r="AZ898"/>
      <c r="BA898"/>
      <c r="BB898"/>
      <c r="BC898"/>
      <c r="BD898"/>
      <c r="BE898"/>
      <c r="BF898"/>
      <c r="BG898"/>
      <c r="BH898"/>
      <c r="BI898"/>
      <c r="BJ898"/>
      <c r="BK898"/>
      <c r="BL898"/>
      <c r="BM898"/>
      <c r="BN898"/>
      <c r="BO898"/>
      <c r="BP898"/>
      <c r="BQ898"/>
      <c r="BR898"/>
      <c r="BY898"/>
      <c r="BZ898"/>
      <c r="CA898"/>
      <c r="CB898"/>
      <c r="CC898"/>
      <c r="CD898"/>
      <c r="CE898"/>
      <c r="CF898"/>
      <c r="CG898"/>
      <c r="CH898"/>
      <c r="CI898"/>
      <c r="CJ898"/>
      <c r="CK898"/>
      <c r="CL898"/>
      <c r="CM898"/>
      <c r="CN898"/>
      <c r="CO898"/>
      <c r="CP898"/>
      <c r="CQ898"/>
      <c r="CR898"/>
      <c r="CS898"/>
      <c r="CT898"/>
      <c r="CU898"/>
      <c r="CV898"/>
      <c r="CW898"/>
      <c r="CX898"/>
      <c r="CY898"/>
    </row>
    <row r="899" spans="50:103" ht="20.100000000000001" customHeight="1" x14ac:dyDescent="0.25">
      <c r="AX899"/>
      <c r="AY899"/>
      <c r="AZ899"/>
      <c r="BA899"/>
      <c r="BB899"/>
      <c r="BC899"/>
      <c r="BD899"/>
      <c r="BE899"/>
      <c r="BF899"/>
      <c r="BG899"/>
      <c r="BH899"/>
      <c r="BI899"/>
      <c r="BJ899"/>
      <c r="BK899"/>
      <c r="BL899"/>
      <c r="BM899"/>
      <c r="BN899"/>
      <c r="BO899"/>
      <c r="BP899"/>
      <c r="BQ899"/>
      <c r="BR899"/>
      <c r="BY899"/>
      <c r="BZ899"/>
      <c r="CA899"/>
      <c r="CB899"/>
      <c r="CC899"/>
      <c r="CD899"/>
      <c r="CE899"/>
      <c r="CF899"/>
      <c r="CG899"/>
      <c r="CH899"/>
      <c r="CI899"/>
      <c r="CJ899"/>
      <c r="CK899"/>
      <c r="CL899"/>
      <c r="CM899"/>
      <c r="CN899"/>
      <c r="CO899"/>
      <c r="CP899"/>
      <c r="CQ899"/>
      <c r="CR899"/>
      <c r="CS899"/>
      <c r="CT899"/>
      <c r="CU899"/>
      <c r="CV899"/>
      <c r="CW899"/>
      <c r="CX899"/>
      <c r="CY899"/>
    </row>
    <row r="900" spans="50:103" ht="20.100000000000001" customHeight="1" x14ac:dyDescent="0.25">
      <c r="AX900"/>
      <c r="AY900"/>
      <c r="AZ900"/>
      <c r="BA900"/>
      <c r="BB900"/>
      <c r="BC900"/>
      <c r="BD900"/>
      <c r="BE900"/>
      <c r="BF900"/>
      <c r="BG900"/>
      <c r="BH900"/>
      <c r="BI900"/>
      <c r="BJ900"/>
      <c r="BK900"/>
      <c r="BL900"/>
      <c r="BM900"/>
      <c r="BN900"/>
      <c r="BO900"/>
      <c r="BP900"/>
      <c r="BQ900"/>
      <c r="BR900"/>
      <c r="BY900"/>
      <c r="BZ900"/>
      <c r="CA900"/>
      <c r="CB900"/>
      <c r="CC900"/>
      <c r="CD900"/>
      <c r="CE900"/>
      <c r="CF900"/>
      <c r="CG900"/>
      <c r="CH900"/>
      <c r="CI900"/>
      <c r="CJ900"/>
      <c r="CK900"/>
      <c r="CL900"/>
      <c r="CM900"/>
      <c r="CN900"/>
      <c r="CO900"/>
      <c r="CP900"/>
      <c r="CQ900"/>
      <c r="CR900"/>
      <c r="CS900"/>
      <c r="CT900"/>
      <c r="CU900"/>
      <c r="CV900"/>
      <c r="CW900"/>
      <c r="CX900"/>
      <c r="CY900"/>
    </row>
    <row r="901" spans="50:103" ht="20.100000000000001" customHeight="1" x14ac:dyDescent="0.25">
      <c r="AX901"/>
      <c r="AY901"/>
      <c r="AZ901"/>
      <c r="BA901"/>
      <c r="BB901"/>
      <c r="BC901"/>
      <c r="BD901"/>
      <c r="BE901"/>
      <c r="BF901"/>
      <c r="BG901"/>
      <c r="BH901"/>
      <c r="BI901"/>
      <c r="BJ901"/>
      <c r="BK901"/>
      <c r="BL901"/>
      <c r="BM901"/>
      <c r="BN901"/>
      <c r="BO901"/>
      <c r="BP901"/>
      <c r="BQ901"/>
      <c r="BR901"/>
      <c r="BY901"/>
      <c r="BZ901"/>
      <c r="CA901"/>
      <c r="CB901"/>
      <c r="CC901"/>
      <c r="CD901"/>
      <c r="CE901"/>
      <c r="CF901"/>
      <c r="CG901"/>
      <c r="CH901"/>
      <c r="CI901"/>
      <c r="CJ901"/>
      <c r="CK901"/>
      <c r="CL901"/>
      <c r="CM901"/>
      <c r="CN901"/>
      <c r="CO901"/>
      <c r="CP901"/>
      <c r="CQ901"/>
      <c r="CR901"/>
      <c r="CS901"/>
      <c r="CT901"/>
      <c r="CU901"/>
      <c r="CV901"/>
      <c r="CW901"/>
      <c r="CX901"/>
      <c r="CY901"/>
    </row>
    <row r="902" spans="50:103" ht="20.100000000000001" customHeight="1" x14ac:dyDescent="0.25">
      <c r="AX902"/>
      <c r="AY902"/>
      <c r="AZ902"/>
      <c r="BA902"/>
      <c r="BB902"/>
      <c r="BC902"/>
      <c r="BD902"/>
      <c r="BE902"/>
      <c r="BF902"/>
      <c r="BG902"/>
      <c r="BH902"/>
      <c r="BI902"/>
      <c r="BJ902"/>
      <c r="BK902"/>
      <c r="BL902"/>
      <c r="BM902"/>
      <c r="BN902"/>
      <c r="BO902"/>
      <c r="BP902"/>
      <c r="BQ902"/>
      <c r="BR902"/>
      <c r="BY902"/>
      <c r="BZ902"/>
      <c r="CA902"/>
      <c r="CB902"/>
      <c r="CC902"/>
      <c r="CD902"/>
      <c r="CE902"/>
      <c r="CF902"/>
      <c r="CG902"/>
      <c r="CH902"/>
      <c r="CI902"/>
      <c r="CJ902"/>
      <c r="CK902"/>
      <c r="CL902"/>
      <c r="CM902"/>
      <c r="CN902"/>
      <c r="CO902"/>
      <c r="CP902"/>
      <c r="CQ902"/>
      <c r="CR902"/>
      <c r="CS902"/>
      <c r="CT902"/>
      <c r="CU902"/>
      <c r="CV902"/>
      <c r="CW902"/>
      <c r="CX902"/>
      <c r="CY902"/>
    </row>
    <row r="903" spans="50:103" ht="20.100000000000001" customHeight="1" x14ac:dyDescent="0.25">
      <c r="AX903"/>
      <c r="AY903"/>
      <c r="AZ903"/>
      <c r="BA903"/>
      <c r="BB903"/>
      <c r="BC903"/>
      <c r="BD903"/>
      <c r="BE903"/>
      <c r="BF903"/>
      <c r="BG903"/>
      <c r="BH903"/>
      <c r="BI903"/>
      <c r="BJ903"/>
      <c r="BK903"/>
      <c r="BL903"/>
      <c r="BM903"/>
      <c r="BN903"/>
      <c r="BO903"/>
      <c r="BP903"/>
      <c r="BQ903"/>
      <c r="BR903"/>
      <c r="BY903"/>
      <c r="BZ903"/>
      <c r="CA903"/>
      <c r="CB903"/>
      <c r="CC903"/>
      <c r="CD903"/>
      <c r="CE903"/>
      <c r="CF903"/>
      <c r="CG903"/>
      <c r="CH903"/>
      <c r="CI903"/>
      <c r="CJ903"/>
      <c r="CK903"/>
      <c r="CL903"/>
      <c r="CM903"/>
      <c r="CN903"/>
      <c r="CO903"/>
      <c r="CP903"/>
      <c r="CQ903"/>
      <c r="CR903"/>
      <c r="CS903"/>
      <c r="CT903"/>
      <c r="CU903"/>
      <c r="CV903"/>
      <c r="CW903"/>
      <c r="CX903"/>
      <c r="CY903"/>
    </row>
    <row r="904" spans="50:103" ht="20.100000000000001" customHeight="1" x14ac:dyDescent="0.25">
      <c r="AX904"/>
      <c r="AY904"/>
      <c r="AZ904"/>
      <c r="BA904"/>
      <c r="BB904"/>
      <c r="BC904"/>
      <c r="BD904"/>
      <c r="BE904"/>
      <c r="BF904"/>
      <c r="BG904"/>
      <c r="BH904"/>
      <c r="BI904"/>
      <c r="BJ904"/>
      <c r="BK904"/>
      <c r="BL904"/>
      <c r="BM904"/>
      <c r="BN904"/>
      <c r="BO904"/>
      <c r="BP904"/>
      <c r="BQ904"/>
      <c r="BR904"/>
      <c r="BY904"/>
      <c r="BZ904"/>
      <c r="CA904"/>
      <c r="CB904"/>
      <c r="CC904"/>
      <c r="CD904"/>
      <c r="CE904"/>
      <c r="CF904"/>
      <c r="CG904"/>
      <c r="CH904"/>
      <c r="CI904"/>
      <c r="CJ904"/>
      <c r="CK904"/>
      <c r="CL904"/>
      <c r="CM904"/>
      <c r="CN904"/>
      <c r="CO904"/>
      <c r="CP904"/>
      <c r="CQ904"/>
      <c r="CR904"/>
      <c r="CS904"/>
      <c r="CT904"/>
      <c r="CU904"/>
      <c r="CV904"/>
      <c r="CW904"/>
      <c r="CX904"/>
      <c r="CY904"/>
    </row>
    <row r="905" spans="50:103" ht="20.100000000000001" customHeight="1" x14ac:dyDescent="0.25">
      <c r="AX905"/>
      <c r="AY905"/>
      <c r="AZ905"/>
      <c r="BA905"/>
      <c r="BB905"/>
      <c r="BC905"/>
      <c r="BD905"/>
      <c r="BE905"/>
      <c r="BF905"/>
      <c r="BG905"/>
      <c r="BH905"/>
      <c r="BI905"/>
      <c r="BJ905"/>
      <c r="BK905"/>
      <c r="BL905"/>
      <c r="BM905"/>
      <c r="BN905"/>
      <c r="BO905"/>
      <c r="BP905"/>
      <c r="BQ905"/>
      <c r="BR905"/>
      <c r="BY905"/>
      <c r="BZ905"/>
      <c r="CA905"/>
      <c r="CB905"/>
      <c r="CC905"/>
      <c r="CD905"/>
      <c r="CE905"/>
      <c r="CF905"/>
      <c r="CG905"/>
      <c r="CH905"/>
      <c r="CI905"/>
      <c r="CJ905"/>
      <c r="CK905"/>
      <c r="CL905"/>
      <c r="CM905"/>
      <c r="CN905"/>
      <c r="CO905"/>
      <c r="CP905"/>
      <c r="CQ905"/>
      <c r="CR905"/>
      <c r="CS905"/>
      <c r="CT905"/>
      <c r="CU905"/>
      <c r="CV905"/>
      <c r="CW905"/>
      <c r="CX905"/>
      <c r="CY905"/>
    </row>
    <row r="906" spans="50:103" ht="20.100000000000001" customHeight="1" x14ac:dyDescent="0.25">
      <c r="AX906"/>
      <c r="AY906"/>
      <c r="AZ906"/>
      <c r="BA906"/>
      <c r="BB906"/>
      <c r="BC906"/>
      <c r="BD906"/>
      <c r="BE906"/>
      <c r="BF906"/>
      <c r="BG906"/>
      <c r="BH906"/>
      <c r="BI906"/>
      <c r="BJ906"/>
      <c r="BK906"/>
      <c r="BL906"/>
      <c r="BM906"/>
      <c r="BN906"/>
      <c r="BO906"/>
      <c r="BP906"/>
      <c r="BQ906"/>
      <c r="BR906"/>
      <c r="BY906"/>
      <c r="BZ906"/>
      <c r="CA906"/>
      <c r="CB906"/>
      <c r="CC906"/>
      <c r="CD906"/>
      <c r="CE906"/>
      <c r="CF906"/>
      <c r="CG906"/>
      <c r="CH906"/>
      <c r="CI906"/>
      <c r="CJ906"/>
      <c r="CK906"/>
      <c r="CL906"/>
      <c r="CM906"/>
      <c r="CN906"/>
      <c r="CO906"/>
      <c r="CP906"/>
      <c r="CQ906"/>
      <c r="CR906"/>
      <c r="CS906"/>
      <c r="CT906"/>
      <c r="CU906"/>
      <c r="CV906"/>
      <c r="CW906"/>
      <c r="CX906"/>
      <c r="CY906"/>
    </row>
    <row r="907" spans="50:103" ht="20.100000000000001" customHeight="1" x14ac:dyDescent="0.25">
      <c r="AX907"/>
      <c r="AY907"/>
      <c r="AZ907"/>
      <c r="BA907"/>
      <c r="BB907"/>
      <c r="BC907"/>
      <c r="BD907"/>
      <c r="BE907"/>
      <c r="BF907"/>
      <c r="BG907"/>
      <c r="BH907"/>
      <c r="BI907"/>
      <c r="BJ907"/>
      <c r="BK907"/>
      <c r="BL907"/>
      <c r="BM907"/>
      <c r="BN907"/>
      <c r="BO907"/>
      <c r="BP907"/>
      <c r="BQ907"/>
      <c r="BR907"/>
      <c r="BY907"/>
      <c r="BZ907"/>
      <c r="CA907"/>
      <c r="CB907"/>
      <c r="CC907"/>
      <c r="CD907"/>
      <c r="CE907"/>
      <c r="CF907"/>
      <c r="CG907"/>
      <c r="CH907"/>
      <c r="CI907"/>
      <c r="CJ907"/>
      <c r="CK907"/>
      <c r="CL907"/>
      <c r="CM907"/>
      <c r="CN907"/>
      <c r="CO907"/>
      <c r="CP907"/>
      <c r="CQ907"/>
      <c r="CR907"/>
      <c r="CS907"/>
      <c r="CT907"/>
      <c r="CU907"/>
      <c r="CV907"/>
      <c r="CW907"/>
      <c r="CX907"/>
      <c r="CY907"/>
    </row>
    <row r="908" spans="50:103" ht="20.100000000000001" customHeight="1" x14ac:dyDescent="0.25">
      <c r="AX908"/>
      <c r="AY908"/>
      <c r="AZ908"/>
      <c r="BA908"/>
      <c r="BB908"/>
      <c r="BC908"/>
      <c r="BD908"/>
      <c r="BE908"/>
      <c r="BF908"/>
      <c r="BG908"/>
      <c r="BH908"/>
      <c r="BI908"/>
      <c r="BJ908"/>
      <c r="BK908"/>
      <c r="BL908"/>
      <c r="BM908"/>
      <c r="BN908"/>
      <c r="BO908"/>
      <c r="BP908"/>
      <c r="BQ908"/>
      <c r="BR908"/>
      <c r="BY908"/>
      <c r="BZ908"/>
      <c r="CA908"/>
      <c r="CB908"/>
      <c r="CC908"/>
      <c r="CD908"/>
      <c r="CE908"/>
      <c r="CF908"/>
      <c r="CG908"/>
      <c r="CH908"/>
      <c r="CI908"/>
      <c r="CJ908"/>
      <c r="CK908"/>
      <c r="CL908"/>
      <c r="CM908"/>
      <c r="CN908"/>
      <c r="CO908"/>
      <c r="CP908"/>
      <c r="CQ908"/>
      <c r="CR908"/>
      <c r="CS908"/>
      <c r="CT908"/>
      <c r="CU908"/>
      <c r="CV908"/>
      <c r="CW908"/>
      <c r="CX908"/>
      <c r="CY908"/>
    </row>
    <row r="909" spans="50:103" ht="20.100000000000001" customHeight="1" x14ac:dyDescent="0.25">
      <c r="AX909"/>
      <c r="AY909"/>
      <c r="AZ909"/>
      <c r="BA909"/>
      <c r="BB909"/>
      <c r="BC909"/>
      <c r="BD909"/>
      <c r="BE909"/>
      <c r="BF909"/>
      <c r="BG909"/>
      <c r="BH909"/>
      <c r="BI909"/>
      <c r="BJ909"/>
      <c r="BK909"/>
      <c r="BL909"/>
      <c r="BM909"/>
      <c r="BN909"/>
      <c r="BO909"/>
      <c r="BP909"/>
      <c r="BQ909"/>
      <c r="BR909"/>
      <c r="BY909"/>
      <c r="BZ909"/>
      <c r="CA909"/>
      <c r="CB909"/>
      <c r="CC909"/>
      <c r="CD909"/>
      <c r="CE909"/>
      <c r="CF909"/>
      <c r="CG909"/>
      <c r="CH909"/>
      <c r="CI909"/>
      <c r="CJ909"/>
      <c r="CK909"/>
      <c r="CL909"/>
      <c r="CM909"/>
      <c r="CN909"/>
      <c r="CO909"/>
      <c r="CP909"/>
      <c r="CQ909"/>
      <c r="CR909"/>
      <c r="CS909"/>
      <c r="CT909"/>
      <c r="CU909"/>
      <c r="CV909"/>
      <c r="CW909"/>
      <c r="CX909"/>
      <c r="CY909"/>
    </row>
    <row r="910" spans="50:103" ht="20.100000000000001" customHeight="1" x14ac:dyDescent="0.25">
      <c r="AX910"/>
      <c r="AY910"/>
      <c r="AZ910"/>
      <c r="BA910"/>
      <c r="BB910"/>
      <c r="BC910"/>
      <c r="BD910"/>
      <c r="BE910"/>
      <c r="BF910"/>
      <c r="BG910"/>
      <c r="BH910"/>
      <c r="BI910"/>
      <c r="BJ910"/>
      <c r="BK910"/>
      <c r="BL910"/>
      <c r="BM910"/>
      <c r="BN910"/>
      <c r="BO910"/>
      <c r="BP910"/>
      <c r="BQ910"/>
      <c r="BR910"/>
      <c r="BY910"/>
      <c r="BZ910"/>
      <c r="CA910"/>
      <c r="CB910"/>
      <c r="CC910"/>
      <c r="CD910"/>
      <c r="CE910"/>
      <c r="CF910"/>
      <c r="CG910"/>
      <c r="CH910"/>
      <c r="CI910"/>
      <c r="CJ910"/>
      <c r="CK910"/>
      <c r="CL910"/>
      <c r="CM910"/>
      <c r="CN910"/>
      <c r="CO910"/>
      <c r="CP910"/>
      <c r="CQ910"/>
      <c r="CR910"/>
      <c r="CS910"/>
      <c r="CT910"/>
      <c r="CU910"/>
      <c r="CV910"/>
      <c r="CW910"/>
      <c r="CX910"/>
      <c r="CY910"/>
    </row>
    <row r="911" spans="50:103" ht="20.100000000000001" customHeight="1" x14ac:dyDescent="0.25">
      <c r="AX911"/>
      <c r="AY911"/>
      <c r="AZ911"/>
      <c r="BA911"/>
      <c r="BB911"/>
      <c r="BC911"/>
      <c r="BD911"/>
      <c r="BE911"/>
      <c r="BF911"/>
      <c r="BG911"/>
      <c r="BH911"/>
      <c r="BI911"/>
      <c r="BJ911"/>
      <c r="BK911"/>
      <c r="BL911"/>
      <c r="BM911"/>
      <c r="BN911"/>
      <c r="BO911"/>
      <c r="BP911"/>
      <c r="BQ911"/>
      <c r="BR911"/>
      <c r="BY911"/>
      <c r="BZ911"/>
      <c r="CA911"/>
      <c r="CB911"/>
      <c r="CC911"/>
      <c r="CD911"/>
      <c r="CE911"/>
      <c r="CF911"/>
      <c r="CG911"/>
      <c r="CH911"/>
      <c r="CI911"/>
      <c r="CJ911"/>
      <c r="CK911"/>
      <c r="CL911"/>
      <c r="CM911"/>
      <c r="CN911"/>
      <c r="CO911"/>
      <c r="CP911"/>
      <c r="CQ911"/>
      <c r="CR911"/>
      <c r="CS911"/>
      <c r="CT911"/>
      <c r="CU911"/>
      <c r="CV911"/>
      <c r="CW911"/>
      <c r="CX911"/>
      <c r="CY911"/>
    </row>
    <row r="912" spans="50:103" ht="20.100000000000001" customHeight="1" x14ac:dyDescent="0.25">
      <c r="AX912"/>
      <c r="AY912"/>
      <c r="AZ912"/>
      <c r="BA912"/>
      <c r="BB912"/>
      <c r="BC912"/>
      <c r="BD912"/>
      <c r="BE912"/>
      <c r="BF912"/>
      <c r="BG912"/>
      <c r="BH912"/>
      <c r="BI912"/>
      <c r="BJ912"/>
      <c r="BK912"/>
      <c r="BL912"/>
      <c r="BM912"/>
      <c r="BN912"/>
      <c r="BO912"/>
      <c r="BP912"/>
      <c r="BQ912"/>
      <c r="BR912"/>
      <c r="BY912"/>
      <c r="BZ912"/>
      <c r="CA912"/>
      <c r="CB912"/>
      <c r="CC912"/>
      <c r="CD912"/>
      <c r="CE912"/>
      <c r="CF912"/>
      <c r="CG912"/>
      <c r="CH912"/>
      <c r="CI912"/>
      <c r="CJ912"/>
      <c r="CK912"/>
      <c r="CL912"/>
      <c r="CM912"/>
      <c r="CN912"/>
      <c r="CO912"/>
      <c r="CP912"/>
      <c r="CQ912"/>
      <c r="CR912"/>
      <c r="CS912"/>
      <c r="CT912"/>
      <c r="CU912"/>
      <c r="CV912"/>
      <c r="CW912"/>
      <c r="CX912"/>
      <c r="CY912"/>
    </row>
    <row r="913" spans="50:103" ht="20.100000000000001" customHeight="1" x14ac:dyDescent="0.25">
      <c r="AX913"/>
      <c r="AY913"/>
      <c r="AZ913"/>
      <c r="BA913"/>
      <c r="BB913"/>
      <c r="BC913"/>
      <c r="BD913"/>
      <c r="BE913"/>
      <c r="BF913"/>
      <c r="BG913"/>
      <c r="BH913"/>
      <c r="BI913"/>
      <c r="BJ913"/>
      <c r="BK913"/>
      <c r="BL913"/>
      <c r="BM913"/>
      <c r="BN913"/>
      <c r="BO913"/>
      <c r="BP913"/>
      <c r="BQ913"/>
      <c r="BR913"/>
      <c r="BY913"/>
      <c r="BZ913"/>
      <c r="CA913"/>
      <c r="CB913"/>
      <c r="CC913"/>
      <c r="CD913"/>
      <c r="CE913"/>
      <c r="CF913"/>
      <c r="CG913"/>
      <c r="CH913"/>
      <c r="CI913"/>
      <c r="CJ913"/>
      <c r="CK913"/>
      <c r="CL913"/>
      <c r="CM913"/>
      <c r="CN913"/>
      <c r="CO913"/>
      <c r="CP913"/>
      <c r="CQ913"/>
      <c r="CR913"/>
      <c r="CS913"/>
      <c r="CT913"/>
      <c r="CU913"/>
      <c r="CV913"/>
      <c r="CW913"/>
      <c r="CX913"/>
      <c r="CY913"/>
    </row>
    <row r="914" spans="50:103" ht="20.100000000000001" customHeight="1" x14ac:dyDescent="0.25">
      <c r="AX914"/>
      <c r="AY914"/>
      <c r="AZ914"/>
      <c r="BA914"/>
      <c r="BB914"/>
      <c r="BC914"/>
      <c r="BD914"/>
      <c r="BE914"/>
      <c r="BF914"/>
      <c r="BG914"/>
      <c r="BH914"/>
      <c r="BI914"/>
      <c r="BJ914"/>
      <c r="BK914"/>
      <c r="BL914"/>
      <c r="BM914"/>
      <c r="BN914"/>
      <c r="BO914"/>
      <c r="BP914"/>
      <c r="BQ914"/>
      <c r="BR914"/>
      <c r="BY914"/>
      <c r="BZ914"/>
      <c r="CA914"/>
      <c r="CB914"/>
      <c r="CC914"/>
      <c r="CD914"/>
      <c r="CE914"/>
      <c r="CF914"/>
      <c r="CG914"/>
      <c r="CH914"/>
      <c r="CI914"/>
      <c r="CJ914"/>
      <c r="CK914"/>
      <c r="CL914"/>
      <c r="CM914"/>
      <c r="CN914"/>
      <c r="CO914"/>
      <c r="CP914"/>
      <c r="CQ914"/>
      <c r="CR914"/>
      <c r="CS914"/>
      <c r="CT914"/>
      <c r="CU914"/>
      <c r="CV914"/>
      <c r="CW914"/>
      <c r="CX914"/>
      <c r="CY914"/>
    </row>
    <row r="915" spans="50:103" ht="20.100000000000001" customHeight="1" x14ac:dyDescent="0.25">
      <c r="AX915"/>
      <c r="AY915"/>
      <c r="AZ915"/>
      <c r="BA915"/>
      <c r="BB915"/>
      <c r="BC915"/>
      <c r="BD915"/>
      <c r="BE915"/>
      <c r="BF915"/>
      <c r="BG915"/>
      <c r="BH915"/>
      <c r="BI915"/>
      <c r="BJ915"/>
      <c r="BK915"/>
      <c r="BL915"/>
      <c r="BM915"/>
      <c r="BN915"/>
      <c r="BO915"/>
      <c r="BP915"/>
      <c r="BQ915"/>
      <c r="BR915"/>
      <c r="BY915"/>
      <c r="BZ915"/>
      <c r="CA915"/>
      <c r="CB915"/>
      <c r="CC915"/>
      <c r="CD915"/>
      <c r="CE915"/>
      <c r="CF915"/>
      <c r="CG915"/>
      <c r="CH915"/>
      <c r="CI915"/>
      <c r="CJ915"/>
      <c r="CK915"/>
      <c r="CL915"/>
      <c r="CM915"/>
      <c r="CN915"/>
      <c r="CO915"/>
      <c r="CP915"/>
      <c r="CQ915"/>
      <c r="CR915"/>
      <c r="CS915"/>
      <c r="CT915"/>
      <c r="CU915"/>
      <c r="CV915"/>
      <c r="CW915"/>
      <c r="CX915"/>
      <c r="CY915"/>
    </row>
    <row r="916" spans="50:103" ht="20.100000000000001" customHeight="1" x14ac:dyDescent="0.25">
      <c r="AX916"/>
      <c r="AY916"/>
      <c r="AZ916"/>
      <c r="BA916"/>
      <c r="BB916"/>
      <c r="BC916"/>
      <c r="BD916"/>
      <c r="BE916"/>
      <c r="BF916"/>
      <c r="BG916"/>
      <c r="BH916"/>
      <c r="BI916"/>
      <c r="BJ916"/>
      <c r="BK916"/>
      <c r="BL916"/>
      <c r="BM916"/>
      <c r="BN916"/>
      <c r="BO916"/>
      <c r="BP916"/>
      <c r="BQ916"/>
      <c r="BR916"/>
      <c r="BY916"/>
      <c r="BZ916"/>
      <c r="CA916"/>
      <c r="CB916"/>
      <c r="CC916"/>
      <c r="CD916"/>
      <c r="CE916"/>
      <c r="CF916"/>
      <c r="CG916"/>
      <c r="CH916"/>
      <c r="CI916"/>
      <c r="CJ916"/>
      <c r="CK916"/>
      <c r="CL916"/>
      <c r="CM916"/>
      <c r="CN916"/>
      <c r="CO916"/>
      <c r="CP916"/>
      <c r="CQ916"/>
      <c r="CR916"/>
      <c r="CS916"/>
      <c r="CT916"/>
      <c r="CU916"/>
      <c r="CV916"/>
      <c r="CW916"/>
      <c r="CX916"/>
      <c r="CY916"/>
    </row>
    <row r="917" spans="50:103" ht="20.100000000000001" customHeight="1" x14ac:dyDescent="0.25">
      <c r="AX917"/>
      <c r="AY917"/>
      <c r="AZ917"/>
      <c r="BA917"/>
      <c r="BB917"/>
      <c r="BC917"/>
      <c r="BD917"/>
      <c r="BE917"/>
      <c r="BF917"/>
      <c r="BG917"/>
      <c r="BH917"/>
      <c r="BI917"/>
      <c r="BJ917"/>
      <c r="BK917"/>
      <c r="BL917"/>
      <c r="BM917"/>
      <c r="BN917"/>
      <c r="BO917"/>
      <c r="BP917"/>
      <c r="BQ917"/>
      <c r="BR917"/>
      <c r="BY917"/>
      <c r="BZ917"/>
      <c r="CA917"/>
      <c r="CB917"/>
      <c r="CC917"/>
      <c r="CD917"/>
      <c r="CE917"/>
      <c r="CF917"/>
      <c r="CG917"/>
      <c r="CH917"/>
      <c r="CI917"/>
      <c r="CJ917"/>
      <c r="CK917"/>
      <c r="CL917"/>
      <c r="CM917"/>
      <c r="CN917"/>
      <c r="CO917"/>
      <c r="CP917"/>
      <c r="CQ917"/>
      <c r="CR917"/>
      <c r="CS917"/>
      <c r="CT917"/>
      <c r="CU917"/>
      <c r="CV917"/>
      <c r="CW917"/>
      <c r="CX917"/>
      <c r="CY917"/>
    </row>
    <row r="918" spans="50:103" ht="20.100000000000001" customHeight="1" x14ac:dyDescent="0.25">
      <c r="AX918"/>
      <c r="AY918"/>
      <c r="AZ918"/>
      <c r="BA918"/>
      <c r="BB918"/>
      <c r="BC918"/>
      <c r="BD918"/>
      <c r="BE918"/>
      <c r="BF918"/>
      <c r="BG918"/>
      <c r="BH918"/>
      <c r="BI918"/>
      <c r="BJ918"/>
      <c r="BK918"/>
      <c r="BL918"/>
      <c r="BM918"/>
      <c r="BN918"/>
      <c r="BO918"/>
      <c r="BP918"/>
      <c r="BQ918"/>
      <c r="BR918"/>
      <c r="BY918"/>
      <c r="BZ918"/>
      <c r="CA918"/>
      <c r="CB918"/>
      <c r="CC918"/>
      <c r="CD918"/>
      <c r="CE918"/>
      <c r="CF918"/>
      <c r="CG918"/>
      <c r="CH918"/>
      <c r="CI918"/>
      <c r="CJ918"/>
      <c r="CK918"/>
      <c r="CL918"/>
      <c r="CM918"/>
      <c r="CN918"/>
      <c r="CO918"/>
      <c r="CP918"/>
      <c r="CQ918"/>
      <c r="CR918"/>
      <c r="CS918"/>
      <c r="CT918"/>
      <c r="CU918"/>
      <c r="CV918"/>
      <c r="CW918"/>
      <c r="CX918"/>
      <c r="CY918"/>
    </row>
    <row r="919" spans="50:103" ht="20.100000000000001" customHeight="1" x14ac:dyDescent="0.25">
      <c r="AX919"/>
      <c r="AY919"/>
      <c r="AZ919"/>
      <c r="BA919"/>
      <c r="BB919"/>
      <c r="BC919"/>
      <c r="BD919"/>
      <c r="BE919"/>
      <c r="BF919"/>
      <c r="BG919"/>
      <c r="BH919"/>
      <c r="BI919"/>
      <c r="BJ919"/>
      <c r="BK919"/>
      <c r="BL919"/>
      <c r="BM919"/>
      <c r="BN919"/>
      <c r="BO919"/>
      <c r="BP919"/>
      <c r="BQ919"/>
      <c r="BR919"/>
      <c r="BY919"/>
      <c r="BZ919"/>
      <c r="CA919"/>
      <c r="CB919"/>
      <c r="CC919"/>
      <c r="CD919"/>
      <c r="CE919"/>
      <c r="CF919"/>
      <c r="CG919"/>
      <c r="CH919"/>
      <c r="CI919"/>
      <c r="CJ919"/>
      <c r="CK919"/>
      <c r="CL919"/>
      <c r="CM919"/>
      <c r="CN919"/>
      <c r="CO919"/>
      <c r="CP919"/>
      <c r="CQ919"/>
      <c r="CR919"/>
      <c r="CS919"/>
      <c r="CT919"/>
      <c r="CU919"/>
      <c r="CV919"/>
      <c r="CW919"/>
      <c r="CX919"/>
      <c r="CY919"/>
    </row>
    <row r="920" spans="50:103" ht="20.100000000000001" customHeight="1" x14ac:dyDescent="0.25">
      <c r="AX920"/>
      <c r="AY920"/>
      <c r="AZ920"/>
      <c r="BA920"/>
      <c r="BB920"/>
      <c r="BC920"/>
      <c r="BD920"/>
      <c r="BE920"/>
      <c r="BF920"/>
      <c r="BG920"/>
      <c r="BH920"/>
      <c r="BI920"/>
      <c r="BJ920"/>
      <c r="BK920"/>
      <c r="BL920"/>
      <c r="BM920"/>
      <c r="BN920"/>
      <c r="BO920"/>
      <c r="BP920"/>
      <c r="BQ920"/>
      <c r="BR920"/>
      <c r="BY920"/>
      <c r="BZ920"/>
      <c r="CA920"/>
      <c r="CB920"/>
      <c r="CC920"/>
      <c r="CD920"/>
      <c r="CE920"/>
      <c r="CF920"/>
      <c r="CG920"/>
      <c r="CH920"/>
      <c r="CI920"/>
      <c r="CJ920"/>
      <c r="CK920"/>
      <c r="CL920"/>
      <c r="CM920"/>
      <c r="CN920"/>
      <c r="CO920"/>
      <c r="CP920"/>
      <c r="CQ920"/>
      <c r="CR920"/>
      <c r="CS920"/>
      <c r="CT920"/>
      <c r="CU920"/>
      <c r="CV920"/>
      <c r="CW920"/>
      <c r="CX920"/>
      <c r="CY920"/>
    </row>
    <row r="921" spans="50:103" ht="20.100000000000001" customHeight="1" x14ac:dyDescent="0.25">
      <c r="AX921"/>
      <c r="AY921"/>
      <c r="AZ921"/>
      <c r="BA921"/>
      <c r="BB921"/>
      <c r="BC921"/>
      <c r="BD921"/>
      <c r="BE921"/>
      <c r="BF921"/>
      <c r="BG921"/>
      <c r="BH921"/>
      <c r="BI921"/>
      <c r="BJ921"/>
      <c r="BK921"/>
      <c r="BL921"/>
      <c r="BM921"/>
      <c r="BN921"/>
      <c r="BO921"/>
      <c r="BP921"/>
      <c r="BQ921"/>
      <c r="BR921"/>
      <c r="BY921"/>
      <c r="BZ921"/>
      <c r="CA921"/>
      <c r="CB921"/>
      <c r="CC921"/>
      <c r="CD921"/>
      <c r="CE921"/>
      <c r="CF921"/>
      <c r="CG921"/>
      <c r="CH921"/>
      <c r="CI921"/>
      <c r="CJ921"/>
      <c r="CK921"/>
      <c r="CL921"/>
      <c r="CM921"/>
      <c r="CN921"/>
      <c r="CO921"/>
      <c r="CP921"/>
      <c r="CQ921"/>
      <c r="CR921"/>
      <c r="CS921"/>
      <c r="CT921"/>
      <c r="CU921"/>
      <c r="CV921"/>
      <c r="CW921"/>
      <c r="CX921"/>
      <c r="CY921"/>
    </row>
    <row r="922" spans="50:103" ht="20.100000000000001" customHeight="1" x14ac:dyDescent="0.25">
      <c r="AX922"/>
      <c r="AY922"/>
      <c r="AZ922"/>
      <c r="BA922"/>
      <c r="BB922"/>
      <c r="BC922"/>
      <c r="BD922"/>
      <c r="BE922"/>
      <c r="BF922"/>
      <c r="BG922"/>
      <c r="BH922"/>
      <c r="BI922"/>
      <c r="BJ922"/>
      <c r="BK922"/>
      <c r="BL922"/>
      <c r="BM922"/>
      <c r="BN922"/>
      <c r="BO922"/>
      <c r="BP922"/>
      <c r="BQ922"/>
      <c r="BR922"/>
      <c r="BY922"/>
      <c r="BZ922"/>
      <c r="CA922"/>
      <c r="CB922"/>
      <c r="CC922"/>
      <c r="CD922"/>
      <c r="CE922"/>
      <c r="CF922"/>
      <c r="CG922"/>
      <c r="CH922"/>
      <c r="CI922"/>
      <c r="CJ922"/>
      <c r="CK922"/>
      <c r="CL922"/>
      <c r="CM922"/>
      <c r="CN922"/>
      <c r="CO922"/>
      <c r="CP922"/>
      <c r="CQ922"/>
      <c r="CR922"/>
      <c r="CS922"/>
      <c r="CT922"/>
      <c r="CU922"/>
      <c r="CV922"/>
      <c r="CW922"/>
      <c r="CX922"/>
      <c r="CY922"/>
    </row>
    <row r="923" spans="50:103" ht="20.100000000000001" customHeight="1" x14ac:dyDescent="0.25">
      <c r="AX923"/>
      <c r="AY923"/>
      <c r="AZ923"/>
      <c r="BA923"/>
      <c r="BB923"/>
      <c r="BC923"/>
      <c r="BD923"/>
      <c r="BE923"/>
      <c r="BF923"/>
      <c r="BG923"/>
      <c r="BH923"/>
      <c r="BI923"/>
      <c r="BJ923"/>
      <c r="BK923"/>
      <c r="BL923"/>
      <c r="BM923"/>
      <c r="BN923"/>
      <c r="BO923"/>
      <c r="BP923"/>
      <c r="BQ923"/>
      <c r="BR923"/>
      <c r="BY923"/>
      <c r="BZ923"/>
      <c r="CA923"/>
      <c r="CB923"/>
      <c r="CC923"/>
      <c r="CD923"/>
      <c r="CE923"/>
      <c r="CF923"/>
      <c r="CG923"/>
      <c r="CH923"/>
      <c r="CI923"/>
      <c r="CJ923"/>
      <c r="CK923"/>
      <c r="CL923"/>
      <c r="CM923"/>
      <c r="CN923"/>
      <c r="CO923"/>
      <c r="CP923"/>
      <c r="CQ923"/>
      <c r="CR923"/>
      <c r="CS923"/>
      <c r="CT923"/>
      <c r="CU923"/>
      <c r="CV923"/>
      <c r="CW923"/>
      <c r="CX923"/>
      <c r="CY923"/>
    </row>
    <row r="924" spans="50:103" ht="20.100000000000001" customHeight="1" x14ac:dyDescent="0.25">
      <c r="AX924"/>
      <c r="AY924"/>
      <c r="AZ924"/>
      <c r="BA924"/>
      <c r="BB924"/>
      <c r="BC924"/>
      <c r="BD924"/>
      <c r="BE924"/>
      <c r="BF924"/>
      <c r="BG924"/>
      <c r="BH924"/>
      <c r="BI924"/>
      <c r="BJ924"/>
      <c r="BK924"/>
      <c r="BL924"/>
      <c r="BM924"/>
      <c r="BN924"/>
      <c r="BO924"/>
      <c r="BP924"/>
      <c r="BQ924"/>
      <c r="BR924"/>
      <c r="BY924"/>
      <c r="BZ924"/>
      <c r="CA924"/>
      <c r="CB924"/>
      <c r="CC924"/>
      <c r="CD924"/>
      <c r="CE924"/>
      <c r="CF924"/>
      <c r="CG924"/>
      <c r="CH924"/>
      <c r="CI924"/>
      <c r="CJ924"/>
      <c r="CK924"/>
      <c r="CL924"/>
      <c r="CM924"/>
      <c r="CN924"/>
      <c r="CO924"/>
      <c r="CP924"/>
      <c r="CQ924"/>
      <c r="CR924"/>
      <c r="CS924"/>
      <c r="CT924"/>
      <c r="CU924"/>
      <c r="CV924"/>
      <c r="CW924"/>
      <c r="CX924"/>
      <c r="CY924"/>
    </row>
    <row r="925" spans="50:103" ht="20.100000000000001" customHeight="1" x14ac:dyDescent="0.25">
      <c r="AX925"/>
      <c r="AY925"/>
      <c r="AZ925"/>
      <c r="BA925"/>
      <c r="BB925"/>
      <c r="BC925"/>
      <c r="BD925"/>
      <c r="BE925"/>
      <c r="BF925"/>
      <c r="BG925"/>
      <c r="BH925"/>
      <c r="BI925"/>
      <c r="BJ925"/>
      <c r="BK925"/>
      <c r="BL925"/>
      <c r="BM925"/>
      <c r="BN925"/>
      <c r="BO925"/>
      <c r="BP925"/>
      <c r="BQ925"/>
      <c r="BR925"/>
      <c r="BY925"/>
      <c r="BZ925"/>
      <c r="CA925"/>
      <c r="CB925"/>
      <c r="CC925"/>
      <c r="CD925"/>
      <c r="CE925"/>
      <c r="CF925"/>
      <c r="CG925"/>
      <c r="CH925"/>
      <c r="CI925"/>
      <c r="CJ925"/>
      <c r="CK925"/>
      <c r="CL925"/>
      <c r="CM925"/>
      <c r="CN925"/>
      <c r="CO925"/>
      <c r="CP925"/>
      <c r="CQ925"/>
      <c r="CR925"/>
      <c r="CS925"/>
      <c r="CT925"/>
      <c r="CU925"/>
      <c r="CV925"/>
      <c r="CW925"/>
      <c r="CX925"/>
      <c r="CY925"/>
    </row>
    <row r="926" spans="50:103" ht="20.100000000000001" customHeight="1" x14ac:dyDescent="0.25">
      <c r="AX926"/>
      <c r="AY926"/>
      <c r="AZ926"/>
      <c r="BA926"/>
      <c r="BB926"/>
      <c r="BC926"/>
      <c r="BD926"/>
      <c r="BE926"/>
      <c r="BF926"/>
      <c r="BG926"/>
      <c r="BH926"/>
      <c r="BI926"/>
      <c r="BJ926"/>
      <c r="BK926"/>
      <c r="BL926"/>
      <c r="BM926"/>
      <c r="BN926"/>
      <c r="BO926"/>
      <c r="BP926"/>
      <c r="BQ926"/>
      <c r="BR926"/>
      <c r="BY926"/>
      <c r="BZ926"/>
      <c r="CA926"/>
      <c r="CB926"/>
      <c r="CC926"/>
      <c r="CD926"/>
      <c r="CE926"/>
      <c r="CF926"/>
      <c r="CG926"/>
      <c r="CH926"/>
      <c r="CI926"/>
      <c r="CJ926"/>
      <c r="CK926"/>
      <c r="CL926"/>
      <c r="CM926"/>
      <c r="CN926"/>
      <c r="CO926"/>
      <c r="CP926"/>
      <c r="CQ926"/>
      <c r="CR926"/>
      <c r="CS926"/>
      <c r="CT926"/>
      <c r="CU926"/>
      <c r="CV926"/>
      <c r="CW926"/>
      <c r="CX926"/>
      <c r="CY926"/>
    </row>
    <row r="927" spans="50:103" ht="20.100000000000001" customHeight="1" x14ac:dyDescent="0.25">
      <c r="AX927"/>
      <c r="AY927"/>
      <c r="AZ927"/>
      <c r="BA927"/>
      <c r="BB927"/>
      <c r="BC927"/>
      <c r="BD927"/>
      <c r="BE927"/>
      <c r="BF927"/>
      <c r="BG927"/>
      <c r="BH927"/>
      <c r="BI927"/>
      <c r="BJ927"/>
      <c r="BK927"/>
      <c r="BL927"/>
      <c r="BM927"/>
      <c r="BN927"/>
      <c r="BO927"/>
      <c r="BP927"/>
      <c r="BQ927"/>
      <c r="BR927"/>
      <c r="BY927"/>
      <c r="BZ927"/>
      <c r="CA927"/>
      <c r="CB927"/>
      <c r="CC927"/>
      <c r="CD927"/>
      <c r="CE927"/>
      <c r="CF927"/>
      <c r="CG927"/>
      <c r="CH927"/>
      <c r="CI927"/>
      <c r="CJ927"/>
      <c r="CK927"/>
      <c r="CL927"/>
      <c r="CM927"/>
      <c r="CN927"/>
      <c r="CO927"/>
      <c r="CP927"/>
      <c r="CQ927"/>
      <c r="CR927"/>
      <c r="CS927"/>
      <c r="CT927"/>
      <c r="CU927"/>
      <c r="CV927"/>
      <c r="CW927"/>
      <c r="CX927"/>
      <c r="CY927"/>
    </row>
    <row r="928" spans="50:103" ht="20.100000000000001" customHeight="1" x14ac:dyDescent="0.25">
      <c r="AX928"/>
      <c r="AY928"/>
      <c r="AZ928"/>
      <c r="BA928"/>
      <c r="BB928"/>
      <c r="BC928"/>
      <c r="BD928"/>
      <c r="BE928"/>
      <c r="BF928"/>
      <c r="BG928"/>
      <c r="BH928"/>
      <c r="BI928"/>
      <c r="BJ928"/>
      <c r="BK928"/>
      <c r="BL928"/>
      <c r="BM928"/>
      <c r="BN928"/>
      <c r="BO928"/>
      <c r="BP928"/>
      <c r="BQ928"/>
      <c r="BR928"/>
      <c r="BY928"/>
      <c r="BZ928"/>
      <c r="CA928"/>
      <c r="CB928"/>
      <c r="CC928"/>
      <c r="CD928"/>
      <c r="CE928"/>
      <c r="CF928"/>
      <c r="CG928"/>
      <c r="CH928"/>
      <c r="CI928"/>
      <c r="CJ928"/>
      <c r="CK928"/>
      <c r="CL928"/>
      <c r="CM928"/>
      <c r="CN928"/>
      <c r="CO928"/>
      <c r="CP928"/>
      <c r="CQ928"/>
      <c r="CR928"/>
      <c r="CS928"/>
      <c r="CT928"/>
      <c r="CU928"/>
      <c r="CV928"/>
      <c r="CW928"/>
      <c r="CX928"/>
      <c r="CY928"/>
    </row>
    <row r="929" spans="50:103" ht="20.100000000000001" customHeight="1" x14ac:dyDescent="0.25">
      <c r="AX929"/>
      <c r="AY929"/>
      <c r="AZ929"/>
      <c r="BA929"/>
      <c r="BB929"/>
      <c r="BC929"/>
      <c r="BD929"/>
      <c r="BE929"/>
      <c r="BF929"/>
      <c r="BG929"/>
      <c r="BH929"/>
      <c r="BI929"/>
      <c r="BJ929"/>
      <c r="BK929"/>
      <c r="BL929"/>
      <c r="BM929"/>
      <c r="BN929"/>
      <c r="BO929"/>
      <c r="BP929"/>
      <c r="BQ929"/>
      <c r="BR929"/>
      <c r="BY929"/>
      <c r="BZ929"/>
      <c r="CA929"/>
      <c r="CB929"/>
      <c r="CC929"/>
      <c r="CD929"/>
      <c r="CE929"/>
      <c r="CF929"/>
      <c r="CG929"/>
      <c r="CH929"/>
      <c r="CI929"/>
      <c r="CJ929"/>
      <c r="CK929"/>
      <c r="CL929"/>
      <c r="CM929"/>
      <c r="CN929"/>
      <c r="CO929"/>
      <c r="CP929"/>
      <c r="CQ929"/>
      <c r="CR929"/>
      <c r="CS929"/>
      <c r="CT929"/>
      <c r="CU929"/>
      <c r="CV929"/>
      <c r="CW929"/>
      <c r="CX929"/>
      <c r="CY929"/>
    </row>
    <row r="930" spans="50:103" ht="20.100000000000001" customHeight="1" x14ac:dyDescent="0.25">
      <c r="AX930"/>
      <c r="AY930"/>
      <c r="AZ930"/>
      <c r="BA930"/>
      <c r="BB930"/>
      <c r="BC930"/>
      <c r="BD930"/>
      <c r="BE930"/>
      <c r="BF930"/>
      <c r="BG930"/>
      <c r="BH930"/>
      <c r="BI930"/>
      <c r="BJ930"/>
      <c r="BK930"/>
      <c r="BL930"/>
      <c r="BM930"/>
      <c r="BN930"/>
      <c r="BO930"/>
      <c r="BP930"/>
      <c r="BQ930"/>
      <c r="BR930"/>
      <c r="BY930"/>
      <c r="BZ930"/>
      <c r="CA930"/>
      <c r="CB930"/>
      <c r="CC930"/>
      <c r="CD930"/>
      <c r="CE930"/>
      <c r="CF930"/>
      <c r="CG930"/>
      <c r="CH930"/>
      <c r="CI930"/>
      <c r="CJ930"/>
      <c r="CK930"/>
      <c r="CL930"/>
      <c r="CM930"/>
      <c r="CN930"/>
      <c r="CO930"/>
      <c r="CP930"/>
      <c r="CQ930"/>
      <c r="CR930"/>
      <c r="CS930"/>
      <c r="CT930"/>
      <c r="CU930"/>
      <c r="CV930"/>
      <c r="CW930"/>
      <c r="CX930"/>
      <c r="CY930"/>
    </row>
    <row r="931" spans="50:103" ht="20.100000000000001" customHeight="1" x14ac:dyDescent="0.25">
      <c r="AX931"/>
      <c r="AY931"/>
      <c r="AZ931"/>
      <c r="BA931"/>
      <c r="BB931"/>
      <c r="BC931"/>
      <c r="BD931"/>
      <c r="BE931"/>
      <c r="BF931"/>
      <c r="BG931"/>
      <c r="BH931"/>
      <c r="BI931"/>
      <c r="BJ931"/>
      <c r="BK931"/>
      <c r="BL931"/>
      <c r="BM931"/>
      <c r="BN931"/>
      <c r="BO931"/>
      <c r="BP931"/>
      <c r="BQ931"/>
      <c r="BR931"/>
      <c r="BY931"/>
      <c r="BZ931"/>
      <c r="CA931"/>
      <c r="CB931"/>
      <c r="CC931"/>
      <c r="CD931"/>
      <c r="CE931"/>
      <c r="CF931"/>
      <c r="CG931"/>
      <c r="CH931"/>
      <c r="CI931"/>
      <c r="CJ931"/>
      <c r="CK931"/>
      <c r="CL931"/>
      <c r="CM931"/>
      <c r="CN931"/>
      <c r="CO931"/>
      <c r="CP931"/>
      <c r="CQ931"/>
      <c r="CR931"/>
      <c r="CS931"/>
      <c r="CT931"/>
      <c r="CU931"/>
      <c r="CV931"/>
      <c r="CW931"/>
      <c r="CX931"/>
      <c r="CY931"/>
    </row>
    <row r="932" spans="50:103" ht="20.100000000000001" customHeight="1" x14ac:dyDescent="0.25">
      <c r="AX932"/>
      <c r="AY932"/>
      <c r="AZ932"/>
      <c r="BA932"/>
      <c r="BB932"/>
      <c r="BC932"/>
      <c r="BD932"/>
      <c r="BE932"/>
      <c r="BF932"/>
      <c r="BG932"/>
      <c r="BH932"/>
      <c r="BI932"/>
      <c r="BJ932"/>
      <c r="BK932"/>
      <c r="BL932"/>
      <c r="BM932"/>
      <c r="BN932"/>
      <c r="BO932"/>
      <c r="BP932"/>
      <c r="BQ932"/>
      <c r="BR932"/>
      <c r="BY932"/>
      <c r="BZ932"/>
      <c r="CA932"/>
      <c r="CB932"/>
      <c r="CC932"/>
      <c r="CD932"/>
      <c r="CE932"/>
      <c r="CF932"/>
      <c r="CG932"/>
      <c r="CH932"/>
      <c r="CI932"/>
      <c r="CJ932"/>
      <c r="CK932"/>
      <c r="CL932"/>
      <c r="CM932"/>
      <c r="CN932"/>
      <c r="CO932"/>
      <c r="CP932"/>
      <c r="CQ932"/>
      <c r="CR932"/>
      <c r="CS932"/>
      <c r="CT932"/>
      <c r="CU932"/>
      <c r="CV932"/>
      <c r="CW932"/>
      <c r="CX932"/>
      <c r="CY932"/>
    </row>
    <row r="933" spans="50:103" ht="20.100000000000001" customHeight="1" x14ac:dyDescent="0.25">
      <c r="AX933"/>
      <c r="AY933"/>
      <c r="AZ933"/>
      <c r="BA933"/>
      <c r="BB933"/>
      <c r="BC933"/>
      <c r="BD933"/>
      <c r="BE933"/>
      <c r="BF933"/>
      <c r="BG933"/>
      <c r="BH933"/>
      <c r="BI933"/>
      <c r="BJ933"/>
      <c r="BK933"/>
      <c r="BL933"/>
      <c r="BM933"/>
      <c r="BN933"/>
      <c r="BO933"/>
      <c r="BP933"/>
      <c r="BQ933"/>
      <c r="BR933"/>
      <c r="BY933"/>
      <c r="BZ933"/>
      <c r="CA933"/>
      <c r="CB933"/>
      <c r="CC933"/>
      <c r="CD933"/>
      <c r="CE933"/>
      <c r="CF933"/>
      <c r="CG933"/>
      <c r="CH933"/>
      <c r="CI933"/>
      <c r="CJ933"/>
      <c r="CK933"/>
      <c r="CL933"/>
      <c r="CM933"/>
      <c r="CN933"/>
      <c r="CO933"/>
      <c r="CP933"/>
      <c r="CQ933"/>
      <c r="CR933"/>
      <c r="CS933"/>
      <c r="CT933"/>
      <c r="CU933"/>
      <c r="CV933"/>
      <c r="CW933"/>
      <c r="CX933"/>
      <c r="CY933"/>
    </row>
    <row r="934" spans="50:103" ht="20.100000000000001" customHeight="1" x14ac:dyDescent="0.25">
      <c r="AX934"/>
      <c r="AY934"/>
      <c r="AZ934"/>
      <c r="BA934"/>
      <c r="BB934"/>
      <c r="BC934"/>
      <c r="BD934"/>
      <c r="BE934"/>
      <c r="BF934"/>
      <c r="BG934"/>
      <c r="BH934"/>
      <c r="BI934"/>
      <c r="BJ934"/>
      <c r="BK934"/>
      <c r="BL934"/>
      <c r="BM934"/>
      <c r="BN934"/>
      <c r="BO934"/>
      <c r="BP934"/>
      <c r="BQ934"/>
      <c r="BR934"/>
      <c r="BY934"/>
      <c r="BZ934"/>
      <c r="CA934"/>
      <c r="CB934"/>
      <c r="CC934"/>
      <c r="CD934"/>
      <c r="CE934"/>
      <c r="CF934"/>
      <c r="CG934"/>
      <c r="CH934"/>
      <c r="CI934"/>
      <c r="CJ934"/>
      <c r="CK934"/>
      <c r="CL934"/>
      <c r="CM934"/>
      <c r="CN934"/>
      <c r="CO934"/>
      <c r="CP934"/>
      <c r="CQ934"/>
      <c r="CR934"/>
      <c r="CS934"/>
      <c r="CT934"/>
      <c r="CU934"/>
      <c r="CV934"/>
      <c r="CW934"/>
      <c r="CX934"/>
      <c r="CY934"/>
    </row>
    <row r="935" spans="50:103" ht="20.100000000000001" customHeight="1" x14ac:dyDescent="0.25">
      <c r="AX935"/>
      <c r="AY935"/>
      <c r="AZ935"/>
      <c r="BA935"/>
      <c r="BB935"/>
      <c r="BC935"/>
      <c r="BD935"/>
      <c r="BE935"/>
      <c r="BF935"/>
      <c r="BG935"/>
      <c r="BH935"/>
      <c r="BI935"/>
      <c r="BJ935"/>
      <c r="BK935"/>
      <c r="BL935"/>
      <c r="BM935"/>
      <c r="BN935"/>
      <c r="BO935"/>
      <c r="BP935"/>
      <c r="BQ935"/>
      <c r="BR935"/>
      <c r="BY935"/>
      <c r="BZ935"/>
      <c r="CA935"/>
      <c r="CB935"/>
      <c r="CC935"/>
      <c r="CD935"/>
      <c r="CE935"/>
      <c r="CF935"/>
      <c r="CG935"/>
      <c r="CH935"/>
      <c r="CI935"/>
      <c r="CJ935"/>
      <c r="CK935"/>
      <c r="CL935"/>
      <c r="CM935"/>
      <c r="CN935"/>
      <c r="CO935"/>
      <c r="CP935"/>
      <c r="CQ935"/>
      <c r="CR935"/>
      <c r="CS935"/>
      <c r="CT935"/>
      <c r="CU935"/>
      <c r="CV935"/>
      <c r="CW935"/>
      <c r="CX935"/>
      <c r="CY935"/>
    </row>
    <row r="936" spans="50:103" ht="20.100000000000001" customHeight="1" x14ac:dyDescent="0.25">
      <c r="AX936"/>
      <c r="AY936"/>
      <c r="AZ936"/>
      <c r="BA936"/>
      <c r="BB936"/>
      <c r="BC936"/>
      <c r="BD936"/>
      <c r="BE936"/>
      <c r="BF936"/>
      <c r="BG936"/>
      <c r="BH936"/>
      <c r="BI936"/>
      <c r="BJ936"/>
      <c r="BK936"/>
      <c r="BL936"/>
      <c r="BM936"/>
      <c r="BN936"/>
      <c r="BO936"/>
      <c r="BP936"/>
      <c r="BQ936"/>
      <c r="BR936"/>
      <c r="BY936"/>
      <c r="BZ936"/>
      <c r="CA936"/>
      <c r="CB936"/>
      <c r="CC936"/>
      <c r="CD936"/>
      <c r="CE936"/>
      <c r="CF936"/>
      <c r="CG936"/>
      <c r="CH936"/>
      <c r="CI936"/>
      <c r="CJ936"/>
      <c r="CK936"/>
      <c r="CL936"/>
      <c r="CM936"/>
      <c r="CN936"/>
      <c r="CO936"/>
      <c r="CP936"/>
      <c r="CQ936"/>
      <c r="CR936"/>
      <c r="CS936"/>
      <c r="CT936"/>
      <c r="CU936"/>
      <c r="CV936"/>
      <c r="CW936"/>
      <c r="CX936"/>
      <c r="CY936"/>
    </row>
    <row r="937" spans="50:103" ht="20.100000000000001" customHeight="1" x14ac:dyDescent="0.25">
      <c r="AX937"/>
      <c r="AY937"/>
      <c r="AZ937"/>
      <c r="BA937"/>
      <c r="BB937"/>
      <c r="BC937"/>
      <c r="BD937"/>
      <c r="BE937"/>
      <c r="BF937"/>
      <c r="BG937"/>
      <c r="BH937"/>
      <c r="BI937"/>
      <c r="BJ937"/>
      <c r="BK937"/>
      <c r="BL937"/>
      <c r="BM937"/>
      <c r="BN937"/>
      <c r="BO937"/>
      <c r="BP937"/>
      <c r="BQ937"/>
      <c r="BR937"/>
      <c r="BY937"/>
      <c r="BZ937"/>
      <c r="CA937"/>
      <c r="CB937"/>
      <c r="CC937"/>
      <c r="CD937"/>
      <c r="CE937"/>
      <c r="CF937"/>
      <c r="CG937"/>
      <c r="CH937"/>
      <c r="CI937"/>
      <c r="CJ937"/>
      <c r="CK937"/>
      <c r="CL937"/>
      <c r="CM937"/>
      <c r="CN937"/>
      <c r="CO937"/>
      <c r="CP937"/>
      <c r="CQ937"/>
      <c r="CR937"/>
      <c r="CS937"/>
      <c r="CT937"/>
      <c r="CU937"/>
      <c r="CV937"/>
      <c r="CW937"/>
      <c r="CX937"/>
      <c r="CY937"/>
    </row>
    <row r="938" spans="50:103" ht="20.100000000000001" customHeight="1" x14ac:dyDescent="0.25">
      <c r="AX938"/>
      <c r="AY938"/>
      <c r="AZ938"/>
      <c r="BA938"/>
      <c r="BB938"/>
      <c r="BC938"/>
      <c r="BD938"/>
      <c r="BE938"/>
      <c r="BF938"/>
      <c r="BG938"/>
      <c r="BH938"/>
      <c r="BI938"/>
      <c r="BJ938"/>
      <c r="BK938"/>
      <c r="BL938"/>
      <c r="BM938"/>
      <c r="BN938"/>
      <c r="BO938"/>
      <c r="BP938"/>
      <c r="BQ938"/>
      <c r="BR938"/>
      <c r="BY938"/>
      <c r="BZ938"/>
      <c r="CA938"/>
      <c r="CB938"/>
      <c r="CC938"/>
      <c r="CD938"/>
      <c r="CE938"/>
      <c r="CF938"/>
      <c r="CG938"/>
      <c r="CH938"/>
      <c r="CI938"/>
      <c r="CJ938"/>
      <c r="CK938"/>
      <c r="CL938"/>
      <c r="CM938"/>
      <c r="CN938"/>
      <c r="CO938"/>
      <c r="CP938"/>
      <c r="CQ938"/>
      <c r="CR938"/>
      <c r="CS938"/>
      <c r="CT938"/>
      <c r="CU938"/>
      <c r="CV938"/>
      <c r="CW938"/>
      <c r="CX938"/>
      <c r="CY938"/>
    </row>
    <row r="939" spans="50:103" ht="20.100000000000001" customHeight="1" x14ac:dyDescent="0.25">
      <c r="AX939"/>
      <c r="AY939"/>
      <c r="AZ939"/>
      <c r="BA939"/>
      <c r="BB939"/>
      <c r="BC939"/>
      <c r="BD939"/>
      <c r="BE939"/>
      <c r="BF939"/>
      <c r="BG939"/>
      <c r="BH939"/>
      <c r="BI939"/>
      <c r="BJ939"/>
      <c r="BK939"/>
      <c r="BL939"/>
      <c r="BM939"/>
      <c r="BN939"/>
      <c r="BO939"/>
      <c r="BP939"/>
      <c r="BQ939"/>
      <c r="BR939"/>
      <c r="BY939"/>
      <c r="BZ939"/>
      <c r="CA939"/>
      <c r="CB939"/>
      <c r="CC939"/>
      <c r="CD939"/>
      <c r="CE939"/>
      <c r="CF939"/>
      <c r="CG939"/>
      <c r="CH939"/>
      <c r="CI939"/>
      <c r="CJ939"/>
      <c r="CK939"/>
      <c r="CL939"/>
      <c r="CM939"/>
      <c r="CN939"/>
      <c r="CO939"/>
      <c r="CP939"/>
      <c r="CQ939"/>
      <c r="CR939"/>
      <c r="CS939"/>
      <c r="CT939"/>
      <c r="CU939"/>
      <c r="CV939"/>
      <c r="CW939"/>
      <c r="CX939"/>
      <c r="CY939"/>
    </row>
    <row r="940" spans="50:103" ht="20.100000000000001" customHeight="1" x14ac:dyDescent="0.25">
      <c r="AX940"/>
      <c r="AY940"/>
      <c r="AZ940"/>
      <c r="BA940"/>
      <c r="BB940"/>
      <c r="BC940"/>
      <c r="BD940"/>
      <c r="BE940"/>
      <c r="BF940"/>
      <c r="BG940"/>
      <c r="BH940"/>
      <c r="BI940"/>
      <c r="BJ940"/>
      <c r="BK940"/>
      <c r="BL940"/>
      <c r="BM940"/>
      <c r="BN940"/>
      <c r="BO940"/>
      <c r="BP940"/>
      <c r="BQ940"/>
      <c r="BR940"/>
      <c r="BY940"/>
      <c r="BZ940"/>
      <c r="CA940"/>
      <c r="CB940"/>
      <c r="CC940"/>
      <c r="CD940"/>
      <c r="CE940"/>
      <c r="CF940"/>
      <c r="CG940"/>
      <c r="CH940"/>
      <c r="CI940"/>
      <c r="CJ940"/>
      <c r="CK940"/>
      <c r="CL940"/>
      <c r="CM940"/>
      <c r="CN940"/>
      <c r="CO940"/>
      <c r="CP940"/>
      <c r="CQ940"/>
      <c r="CR940"/>
      <c r="CS940"/>
      <c r="CT940"/>
      <c r="CU940"/>
      <c r="CV940"/>
      <c r="CW940"/>
      <c r="CX940"/>
      <c r="CY940"/>
    </row>
    <row r="941" spans="50:103" ht="20.100000000000001" customHeight="1" x14ac:dyDescent="0.25">
      <c r="AX941"/>
      <c r="AY941"/>
      <c r="AZ941"/>
      <c r="BA941"/>
      <c r="BB941"/>
      <c r="BC941"/>
      <c r="BD941"/>
      <c r="BE941"/>
      <c r="BF941"/>
      <c r="BG941"/>
      <c r="BH941"/>
      <c r="BI941"/>
      <c r="BJ941"/>
      <c r="BK941"/>
      <c r="BL941"/>
      <c r="BM941"/>
      <c r="BN941"/>
      <c r="BO941"/>
      <c r="BP941"/>
      <c r="BQ941"/>
      <c r="BR941"/>
      <c r="BY941"/>
      <c r="BZ941"/>
      <c r="CA941"/>
      <c r="CB941"/>
      <c r="CC941"/>
      <c r="CD941"/>
      <c r="CE941"/>
      <c r="CF941"/>
      <c r="CG941"/>
      <c r="CH941"/>
      <c r="CI941"/>
      <c r="CJ941"/>
      <c r="CK941"/>
      <c r="CL941"/>
      <c r="CM941"/>
      <c r="CN941"/>
      <c r="CO941"/>
      <c r="CP941"/>
      <c r="CQ941"/>
      <c r="CR941"/>
      <c r="CS941"/>
      <c r="CT941"/>
      <c r="CU941"/>
      <c r="CV941"/>
      <c r="CW941"/>
      <c r="CX941"/>
      <c r="CY941"/>
    </row>
    <row r="942" spans="50:103" ht="20.100000000000001" customHeight="1" x14ac:dyDescent="0.25">
      <c r="AX942"/>
      <c r="AY942"/>
      <c r="AZ942"/>
      <c r="BA942"/>
      <c r="BB942"/>
      <c r="BC942"/>
      <c r="BD942"/>
      <c r="BE942"/>
      <c r="BF942"/>
      <c r="BG942"/>
      <c r="BH942"/>
      <c r="BI942"/>
      <c r="BJ942"/>
      <c r="BK942"/>
      <c r="BL942"/>
      <c r="BM942"/>
      <c r="BN942"/>
      <c r="BO942"/>
      <c r="BP942"/>
      <c r="BQ942"/>
      <c r="BR942"/>
      <c r="BY942"/>
      <c r="BZ942"/>
      <c r="CA942"/>
      <c r="CB942"/>
      <c r="CC942"/>
      <c r="CD942"/>
      <c r="CE942"/>
      <c r="CF942"/>
      <c r="CG942"/>
      <c r="CH942"/>
      <c r="CI942"/>
      <c r="CJ942"/>
      <c r="CK942"/>
      <c r="CL942"/>
      <c r="CM942"/>
      <c r="CN942"/>
      <c r="CO942"/>
      <c r="CP942"/>
      <c r="CQ942"/>
      <c r="CR942"/>
      <c r="CS942"/>
      <c r="CT942"/>
      <c r="CU942"/>
      <c r="CV942"/>
      <c r="CW942"/>
      <c r="CX942"/>
      <c r="CY942"/>
    </row>
    <row r="943" spans="50:103" ht="20.100000000000001" customHeight="1" x14ac:dyDescent="0.25">
      <c r="AX943"/>
      <c r="AY943"/>
      <c r="AZ943"/>
      <c r="BA943"/>
      <c r="BB943"/>
      <c r="BC943"/>
      <c r="BD943"/>
      <c r="BE943"/>
      <c r="BF943"/>
      <c r="BG943"/>
      <c r="BH943"/>
      <c r="BI943"/>
      <c r="BJ943"/>
      <c r="BK943"/>
      <c r="BL943"/>
      <c r="BM943"/>
      <c r="BN943"/>
      <c r="BO943"/>
      <c r="BP943"/>
      <c r="BQ943"/>
      <c r="BR943"/>
      <c r="BY943"/>
      <c r="BZ943"/>
      <c r="CA943"/>
      <c r="CB943"/>
      <c r="CC943"/>
      <c r="CD943"/>
      <c r="CE943"/>
      <c r="CF943"/>
      <c r="CG943"/>
      <c r="CH943"/>
      <c r="CI943"/>
      <c r="CJ943"/>
      <c r="CK943"/>
      <c r="CL943"/>
      <c r="CM943"/>
      <c r="CN943"/>
      <c r="CO943"/>
      <c r="CP943"/>
      <c r="CQ943"/>
      <c r="CR943"/>
      <c r="CS943"/>
      <c r="CT943"/>
      <c r="CU943"/>
      <c r="CV943"/>
      <c r="CW943"/>
      <c r="CX943"/>
      <c r="CY943"/>
    </row>
    <row r="944" spans="50:103" ht="20.100000000000001" customHeight="1" x14ac:dyDescent="0.25">
      <c r="AX944"/>
      <c r="AY944"/>
      <c r="AZ944"/>
      <c r="BA944"/>
      <c r="BB944"/>
      <c r="BC944"/>
      <c r="BD944"/>
      <c r="BE944"/>
      <c r="BF944"/>
      <c r="BG944"/>
      <c r="BH944"/>
      <c r="BI944"/>
      <c r="BJ944"/>
      <c r="BK944"/>
      <c r="BL944"/>
      <c r="BM944"/>
      <c r="BN944"/>
      <c r="BO944"/>
      <c r="BP944"/>
      <c r="BQ944"/>
      <c r="BR944"/>
      <c r="BY944"/>
      <c r="BZ944"/>
      <c r="CA944"/>
      <c r="CB944"/>
      <c r="CC944"/>
      <c r="CD944"/>
      <c r="CE944"/>
      <c r="CF944"/>
      <c r="CG944"/>
      <c r="CH944"/>
      <c r="CI944"/>
      <c r="CJ944"/>
      <c r="CK944"/>
      <c r="CL944"/>
      <c r="CM944"/>
      <c r="CN944"/>
      <c r="CO944"/>
      <c r="CP944"/>
      <c r="CQ944"/>
      <c r="CR944"/>
      <c r="CS944"/>
      <c r="CT944"/>
      <c r="CU944"/>
      <c r="CV944"/>
      <c r="CW944"/>
      <c r="CX944"/>
      <c r="CY944"/>
    </row>
    <row r="945" spans="50:103" ht="20.100000000000001" customHeight="1" x14ac:dyDescent="0.25">
      <c r="AX945"/>
      <c r="AY945"/>
      <c r="AZ945"/>
      <c r="BA945"/>
      <c r="BB945"/>
      <c r="BC945"/>
      <c r="BD945"/>
      <c r="BE945"/>
      <c r="BF945"/>
      <c r="BG945"/>
      <c r="BH945"/>
      <c r="BI945"/>
      <c r="BJ945"/>
      <c r="BK945"/>
      <c r="BL945"/>
      <c r="BM945"/>
      <c r="BN945"/>
      <c r="BO945"/>
      <c r="BP945"/>
      <c r="BQ945"/>
      <c r="BR945"/>
      <c r="BY945"/>
      <c r="BZ945"/>
      <c r="CA945"/>
      <c r="CB945"/>
      <c r="CC945"/>
      <c r="CD945"/>
      <c r="CE945"/>
      <c r="CF945"/>
      <c r="CG945"/>
      <c r="CH945"/>
      <c r="CI945"/>
      <c r="CJ945"/>
      <c r="CK945"/>
      <c r="CL945"/>
      <c r="CM945"/>
      <c r="CN945"/>
      <c r="CO945"/>
      <c r="CP945"/>
      <c r="CQ945"/>
      <c r="CR945"/>
      <c r="CS945"/>
      <c r="CT945"/>
      <c r="CU945"/>
      <c r="CV945"/>
      <c r="CW945"/>
      <c r="CX945"/>
      <c r="CY945"/>
    </row>
    <row r="946" spans="50:103" ht="20.100000000000001" customHeight="1" x14ac:dyDescent="0.25">
      <c r="AX946"/>
      <c r="AY946"/>
      <c r="AZ946"/>
      <c r="BA946"/>
      <c r="BB946"/>
      <c r="BC946"/>
      <c r="BD946"/>
      <c r="BE946"/>
      <c r="BF946"/>
      <c r="BG946"/>
      <c r="BH946"/>
      <c r="BI946"/>
      <c r="BJ946"/>
      <c r="BK946"/>
      <c r="BL946"/>
      <c r="BM946"/>
      <c r="BN946"/>
      <c r="BO946"/>
      <c r="BP946"/>
      <c r="BQ946"/>
      <c r="BR946"/>
      <c r="BY946"/>
      <c r="BZ946"/>
      <c r="CA946"/>
      <c r="CB946"/>
      <c r="CC946"/>
      <c r="CD946"/>
      <c r="CE946"/>
      <c r="CF946"/>
      <c r="CG946"/>
      <c r="CH946"/>
      <c r="CI946"/>
      <c r="CJ946"/>
      <c r="CK946"/>
      <c r="CL946"/>
      <c r="CM946"/>
      <c r="CN946"/>
      <c r="CO946"/>
      <c r="CP946"/>
      <c r="CQ946"/>
      <c r="CR946"/>
      <c r="CS946"/>
      <c r="CT946"/>
      <c r="CU946"/>
      <c r="CV946"/>
      <c r="CW946"/>
      <c r="CX946"/>
      <c r="CY946"/>
    </row>
    <row r="947" spans="50:103" ht="20.100000000000001" customHeight="1" x14ac:dyDescent="0.25">
      <c r="AX947"/>
      <c r="AY947"/>
      <c r="AZ947"/>
      <c r="BA947"/>
      <c r="BB947"/>
      <c r="BC947"/>
      <c r="BD947"/>
      <c r="BE947"/>
      <c r="BF947"/>
      <c r="BG947"/>
      <c r="BH947"/>
      <c r="BI947"/>
      <c r="BJ947"/>
      <c r="BK947"/>
      <c r="BL947"/>
      <c r="BM947"/>
      <c r="BN947"/>
      <c r="BO947"/>
      <c r="BP947"/>
      <c r="BQ947"/>
      <c r="BR947"/>
      <c r="BY947"/>
      <c r="BZ947"/>
      <c r="CA947"/>
      <c r="CB947"/>
      <c r="CC947"/>
      <c r="CD947"/>
      <c r="CE947"/>
      <c r="CF947"/>
      <c r="CG947"/>
      <c r="CH947"/>
      <c r="CI947"/>
      <c r="CJ947"/>
      <c r="CK947"/>
      <c r="CL947"/>
      <c r="CM947"/>
      <c r="CN947"/>
      <c r="CO947"/>
      <c r="CP947"/>
      <c r="CQ947"/>
      <c r="CR947"/>
      <c r="CS947"/>
      <c r="CT947"/>
      <c r="CU947"/>
      <c r="CV947"/>
      <c r="CW947"/>
      <c r="CX947"/>
      <c r="CY947"/>
    </row>
    <row r="948" spans="50:103" ht="20.100000000000001" customHeight="1" x14ac:dyDescent="0.25">
      <c r="AX948"/>
      <c r="AY948"/>
      <c r="AZ948"/>
      <c r="BA948"/>
      <c r="BB948"/>
      <c r="BC948"/>
      <c r="BD948"/>
      <c r="BE948"/>
      <c r="BF948"/>
      <c r="BG948"/>
      <c r="BH948"/>
      <c r="BI948"/>
      <c r="BJ948"/>
      <c r="BK948"/>
      <c r="BL948"/>
      <c r="BM948"/>
      <c r="BN948"/>
      <c r="BO948"/>
      <c r="BP948"/>
      <c r="BQ948"/>
      <c r="BR948"/>
      <c r="BY948"/>
      <c r="BZ948"/>
      <c r="CA948"/>
      <c r="CB948"/>
      <c r="CC948"/>
      <c r="CD948"/>
      <c r="CE948"/>
      <c r="CF948"/>
      <c r="CG948"/>
      <c r="CH948"/>
      <c r="CI948"/>
      <c r="CJ948"/>
      <c r="CK948"/>
      <c r="CL948"/>
      <c r="CM948"/>
      <c r="CN948"/>
      <c r="CO948"/>
      <c r="CP948"/>
      <c r="CQ948"/>
      <c r="CR948"/>
      <c r="CS948"/>
      <c r="CT948"/>
      <c r="CU948"/>
      <c r="CV948"/>
      <c r="CW948"/>
      <c r="CX948"/>
      <c r="CY948"/>
    </row>
    <row r="949" spans="50:103" ht="20.100000000000001" customHeight="1" x14ac:dyDescent="0.25">
      <c r="AX949"/>
      <c r="AY949"/>
      <c r="AZ949"/>
      <c r="BA949"/>
      <c r="BB949"/>
      <c r="BC949"/>
      <c r="BD949"/>
      <c r="BE949"/>
      <c r="BF949"/>
      <c r="BG949"/>
      <c r="BH949"/>
      <c r="BI949"/>
      <c r="BJ949"/>
      <c r="BK949"/>
      <c r="BL949"/>
      <c r="BM949"/>
      <c r="BN949"/>
      <c r="BO949"/>
      <c r="BP949"/>
      <c r="BQ949"/>
      <c r="BR949"/>
      <c r="BY949"/>
      <c r="BZ949"/>
      <c r="CA949"/>
      <c r="CB949"/>
      <c r="CC949"/>
      <c r="CD949"/>
      <c r="CE949"/>
      <c r="CF949"/>
      <c r="CG949"/>
      <c r="CH949"/>
      <c r="CI949"/>
      <c r="CJ949"/>
      <c r="CK949"/>
      <c r="CL949"/>
      <c r="CM949"/>
      <c r="CN949"/>
      <c r="CO949"/>
      <c r="CP949"/>
      <c r="CQ949"/>
      <c r="CR949"/>
      <c r="CS949"/>
      <c r="CT949"/>
      <c r="CU949"/>
      <c r="CV949"/>
      <c r="CW949"/>
      <c r="CX949"/>
      <c r="CY949"/>
    </row>
    <row r="950" spans="50:103" ht="20.100000000000001" customHeight="1" x14ac:dyDescent="0.25">
      <c r="AX950"/>
      <c r="AY950"/>
      <c r="AZ950"/>
      <c r="BA950"/>
      <c r="BB950"/>
      <c r="BC950"/>
      <c r="BD950"/>
      <c r="BE950"/>
      <c r="BF950"/>
      <c r="BG950"/>
      <c r="BH950"/>
      <c r="BI950"/>
      <c r="BJ950"/>
      <c r="BK950"/>
      <c r="BL950"/>
      <c r="BM950"/>
      <c r="BN950"/>
      <c r="BO950"/>
      <c r="BP950"/>
      <c r="BQ950"/>
      <c r="BR950"/>
      <c r="BY950"/>
      <c r="BZ950"/>
      <c r="CA950"/>
      <c r="CB950"/>
      <c r="CC950"/>
      <c r="CD950"/>
      <c r="CE950"/>
      <c r="CF950"/>
      <c r="CG950"/>
      <c r="CH950"/>
      <c r="CI950"/>
      <c r="CJ950"/>
      <c r="CK950"/>
      <c r="CL950"/>
      <c r="CM950"/>
      <c r="CN950"/>
      <c r="CO950"/>
      <c r="CP950"/>
      <c r="CQ950"/>
      <c r="CR950"/>
      <c r="CS950"/>
      <c r="CT950"/>
      <c r="CU950"/>
      <c r="CV950"/>
      <c r="CW950"/>
      <c r="CX950"/>
      <c r="CY950"/>
    </row>
    <row r="951" spans="50:103" ht="20.100000000000001" customHeight="1" x14ac:dyDescent="0.25">
      <c r="AX951"/>
      <c r="AY951"/>
      <c r="AZ951"/>
      <c r="BA951"/>
      <c r="BB951"/>
      <c r="BC951"/>
      <c r="BD951"/>
      <c r="BE951"/>
      <c r="BF951"/>
      <c r="BG951"/>
      <c r="BH951"/>
      <c r="BI951"/>
      <c r="BJ951"/>
      <c r="BK951"/>
      <c r="BL951"/>
      <c r="BM951"/>
      <c r="BN951"/>
      <c r="BO951"/>
      <c r="BP951"/>
      <c r="BQ951"/>
      <c r="BR951"/>
      <c r="BY951"/>
      <c r="BZ951"/>
      <c r="CA951"/>
      <c r="CB951"/>
      <c r="CC951"/>
      <c r="CD951"/>
      <c r="CE951"/>
      <c r="CF951"/>
      <c r="CG951"/>
      <c r="CH951"/>
      <c r="CI951"/>
      <c r="CJ951"/>
      <c r="CK951"/>
      <c r="CL951"/>
      <c r="CM951"/>
      <c r="CN951"/>
      <c r="CO951"/>
      <c r="CP951"/>
      <c r="CQ951"/>
      <c r="CR951"/>
      <c r="CS951"/>
      <c r="CT951"/>
      <c r="CU951"/>
      <c r="CV951"/>
      <c r="CW951"/>
      <c r="CX951"/>
      <c r="CY951"/>
    </row>
    <row r="952" spans="50:103" ht="20.100000000000001" customHeight="1" x14ac:dyDescent="0.25">
      <c r="AX952"/>
      <c r="AY952"/>
      <c r="AZ952"/>
      <c r="BA952"/>
      <c r="BB952"/>
      <c r="BC952"/>
      <c r="BD952"/>
      <c r="BE952"/>
      <c r="BF952"/>
      <c r="BG952"/>
      <c r="BH952"/>
      <c r="BI952"/>
      <c r="BJ952"/>
      <c r="BK952"/>
      <c r="BL952"/>
      <c r="BM952"/>
      <c r="BN952"/>
      <c r="BO952"/>
      <c r="BP952"/>
      <c r="BQ952"/>
      <c r="BR952"/>
      <c r="BY952"/>
      <c r="BZ952"/>
      <c r="CA952"/>
      <c r="CB952"/>
      <c r="CC952"/>
      <c r="CD952"/>
      <c r="CE952"/>
      <c r="CF952"/>
      <c r="CG952"/>
      <c r="CH952"/>
      <c r="CI952"/>
      <c r="CJ952"/>
      <c r="CK952"/>
      <c r="CL952"/>
      <c r="CM952"/>
      <c r="CN952"/>
      <c r="CO952"/>
      <c r="CP952"/>
      <c r="CQ952"/>
      <c r="CR952"/>
      <c r="CS952"/>
      <c r="CT952"/>
      <c r="CU952"/>
      <c r="CV952"/>
      <c r="CW952"/>
      <c r="CX952"/>
      <c r="CY952"/>
    </row>
    <row r="953" spans="50:103" ht="20.100000000000001" customHeight="1" x14ac:dyDescent="0.25">
      <c r="AX953"/>
      <c r="AY953"/>
      <c r="AZ953"/>
      <c r="BA953"/>
      <c r="BB953"/>
      <c r="BC953"/>
      <c r="BD953"/>
      <c r="BE953"/>
      <c r="BF953"/>
      <c r="BG953"/>
      <c r="BH953"/>
      <c r="BI953"/>
      <c r="BJ953"/>
      <c r="BK953"/>
      <c r="BL953"/>
      <c r="BM953"/>
      <c r="BN953"/>
      <c r="BO953"/>
      <c r="BP953"/>
      <c r="BQ953"/>
      <c r="BR953"/>
      <c r="BY953"/>
      <c r="BZ953"/>
      <c r="CA953"/>
      <c r="CB953"/>
      <c r="CC953"/>
      <c r="CD953"/>
      <c r="CE953"/>
      <c r="CF953"/>
      <c r="CG953"/>
      <c r="CH953"/>
      <c r="CI953"/>
      <c r="CJ953"/>
      <c r="CK953"/>
      <c r="CL953"/>
      <c r="CM953"/>
      <c r="CN953"/>
      <c r="CO953"/>
      <c r="CP953"/>
      <c r="CQ953"/>
      <c r="CR953"/>
      <c r="CS953"/>
      <c r="CT953"/>
      <c r="CU953"/>
      <c r="CV953"/>
      <c r="CW953"/>
      <c r="CX953"/>
      <c r="CY953"/>
    </row>
    <row r="954" spans="50:103" ht="20.100000000000001" customHeight="1" x14ac:dyDescent="0.25">
      <c r="AX954"/>
      <c r="AY954"/>
      <c r="AZ954"/>
      <c r="BA954"/>
      <c r="BB954"/>
      <c r="BC954"/>
      <c r="BD954"/>
      <c r="BE954"/>
      <c r="BF954"/>
      <c r="BG954"/>
      <c r="BH954"/>
      <c r="BI954"/>
      <c r="BJ954"/>
      <c r="BK954"/>
      <c r="BL954"/>
      <c r="BM954"/>
      <c r="BN954"/>
      <c r="BO954"/>
      <c r="BP954"/>
      <c r="BQ954"/>
      <c r="BR954"/>
      <c r="BY954"/>
      <c r="BZ954"/>
      <c r="CA954"/>
      <c r="CB954"/>
      <c r="CC954"/>
      <c r="CD954"/>
      <c r="CE954"/>
      <c r="CF954"/>
      <c r="CG954"/>
      <c r="CH954"/>
      <c r="CI954"/>
      <c r="CJ954"/>
      <c r="CK954"/>
      <c r="CL954"/>
      <c r="CM954"/>
      <c r="CN954"/>
      <c r="CO954"/>
      <c r="CP954"/>
      <c r="CQ954"/>
      <c r="CR954"/>
      <c r="CS954"/>
      <c r="CT954"/>
      <c r="CU954"/>
      <c r="CV954"/>
      <c r="CW954"/>
      <c r="CX954"/>
      <c r="CY954"/>
    </row>
    <row r="955" spans="50:103" ht="20.100000000000001" customHeight="1" x14ac:dyDescent="0.25">
      <c r="AX955"/>
      <c r="AY955"/>
      <c r="AZ955"/>
      <c r="BA955"/>
      <c r="BB955"/>
      <c r="BC955"/>
      <c r="BD955"/>
      <c r="BE955"/>
      <c r="BF955"/>
      <c r="BG955"/>
      <c r="BH955"/>
      <c r="BI955"/>
      <c r="BJ955"/>
      <c r="BK955"/>
      <c r="BL955"/>
      <c r="BM955"/>
      <c r="BN955"/>
      <c r="BO955"/>
      <c r="BP955"/>
      <c r="BQ955"/>
      <c r="BR955"/>
      <c r="BY955"/>
      <c r="BZ955"/>
      <c r="CA955"/>
      <c r="CB955"/>
      <c r="CC955"/>
      <c r="CD955"/>
      <c r="CE955"/>
      <c r="CF955"/>
      <c r="CG955"/>
      <c r="CH955"/>
      <c r="CI955"/>
      <c r="CJ955"/>
      <c r="CK955"/>
      <c r="CL955"/>
      <c r="CM955"/>
      <c r="CN955"/>
      <c r="CO955"/>
      <c r="CP955"/>
      <c r="CQ955"/>
      <c r="CR955"/>
      <c r="CS955"/>
      <c r="CT955"/>
      <c r="CU955"/>
      <c r="CV955"/>
      <c r="CW955"/>
      <c r="CX955"/>
      <c r="CY955"/>
    </row>
    <row r="956" spans="50:103" ht="20.100000000000001" customHeight="1" x14ac:dyDescent="0.25">
      <c r="AX956"/>
      <c r="AY956"/>
      <c r="AZ956"/>
      <c r="BA956"/>
      <c r="BB956"/>
      <c r="BC956"/>
      <c r="BD956"/>
      <c r="BE956"/>
      <c r="BF956"/>
      <c r="BG956"/>
      <c r="BH956"/>
      <c r="BI956"/>
      <c r="BJ956"/>
      <c r="BK956"/>
      <c r="BL956"/>
      <c r="BM956"/>
      <c r="BN956"/>
      <c r="BO956"/>
      <c r="BP956"/>
      <c r="BQ956"/>
      <c r="BR956"/>
      <c r="BY956"/>
      <c r="BZ956"/>
      <c r="CA956"/>
      <c r="CB956"/>
      <c r="CC956"/>
      <c r="CD956"/>
      <c r="CE956"/>
      <c r="CF956"/>
      <c r="CG956"/>
      <c r="CH956"/>
      <c r="CI956"/>
      <c r="CJ956"/>
      <c r="CK956"/>
      <c r="CL956"/>
      <c r="CM956"/>
      <c r="CN956"/>
      <c r="CO956"/>
      <c r="CP956"/>
      <c r="CQ956"/>
      <c r="CR956"/>
      <c r="CS956"/>
      <c r="CT956"/>
      <c r="CU956"/>
      <c r="CV956"/>
      <c r="CW956"/>
      <c r="CX956"/>
      <c r="CY956"/>
    </row>
    <row r="957" spans="50:103" ht="20.100000000000001" customHeight="1" x14ac:dyDescent="0.25">
      <c r="AX957"/>
      <c r="AY957"/>
      <c r="AZ957"/>
      <c r="BA957"/>
      <c r="BB957"/>
      <c r="BC957"/>
      <c r="BD957"/>
      <c r="BE957"/>
      <c r="BF957"/>
      <c r="BG957"/>
      <c r="BH957"/>
      <c r="BI957"/>
      <c r="BJ957"/>
      <c r="BK957"/>
      <c r="BL957"/>
      <c r="BM957"/>
      <c r="BN957"/>
      <c r="BO957"/>
      <c r="BP957"/>
      <c r="BQ957"/>
      <c r="BR957"/>
      <c r="BY957"/>
      <c r="BZ957"/>
      <c r="CA957"/>
      <c r="CB957"/>
      <c r="CC957"/>
      <c r="CD957"/>
      <c r="CE957"/>
      <c r="CF957"/>
      <c r="CG957"/>
      <c r="CH957"/>
      <c r="CI957"/>
      <c r="CJ957"/>
      <c r="CK957"/>
      <c r="CL957"/>
      <c r="CM957"/>
      <c r="CN957"/>
      <c r="CO957"/>
      <c r="CP957"/>
      <c r="CQ957"/>
      <c r="CR957"/>
      <c r="CS957"/>
      <c r="CT957"/>
      <c r="CU957"/>
      <c r="CV957"/>
      <c r="CW957"/>
      <c r="CX957"/>
      <c r="CY957"/>
    </row>
    <row r="958" spans="50:103" ht="20.100000000000001" customHeight="1" x14ac:dyDescent="0.25">
      <c r="AX958"/>
      <c r="AY958"/>
      <c r="AZ958"/>
      <c r="BA958"/>
      <c r="BB958"/>
      <c r="BC958"/>
      <c r="BD958"/>
      <c r="BE958"/>
      <c r="BF958"/>
      <c r="BG958"/>
      <c r="BH958"/>
      <c r="BI958"/>
      <c r="BJ958"/>
      <c r="BK958"/>
      <c r="BL958"/>
      <c r="BM958"/>
      <c r="BN958"/>
      <c r="BO958"/>
      <c r="BP958"/>
      <c r="BQ958"/>
      <c r="BR958"/>
      <c r="BY958"/>
      <c r="BZ958"/>
      <c r="CA958"/>
      <c r="CB958"/>
      <c r="CC958"/>
      <c r="CD958"/>
      <c r="CE958"/>
      <c r="CF958"/>
      <c r="CG958"/>
      <c r="CH958"/>
      <c r="CI958"/>
      <c r="CJ958"/>
      <c r="CK958"/>
      <c r="CL958"/>
      <c r="CM958"/>
      <c r="CN958"/>
      <c r="CO958"/>
      <c r="CP958"/>
      <c r="CQ958"/>
      <c r="CR958"/>
      <c r="CS958"/>
      <c r="CT958"/>
      <c r="CU958"/>
      <c r="CV958"/>
      <c r="CW958"/>
      <c r="CX958"/>
      <c r="CY958"/>
    </row>
    <row r="959" spans="50:103" ht="20.100000000000001" customHeight="1" x14ac:dyDescent="0.25">
      <c r="AX959"/>
      <c r="AY959"/>
      <c r="AZ959"/>
      <c r="BA959"/>
      <c r="BB959"/>
      <c r="BC959"/>
      <c r="BD959"/>
      <c r="BE959"/>
      <c r="BF959"/>
      <c r="BG959"/>
      <c r="BH959"/>
      <c r="BI959"/>
      <c r="BJ959"/>
      <c r="BK959"/>
      <c r="BL959"/>
      <c r="BM959"/>
      <c r="BN959"/>
      <c r="BO959"/>
      <c r="BP959"/>
      <c r="BQ959"/>
      <c r="BR959"/>
      <c r="BY959"/>
      <c r="BZ959"/>
      <c r="CA959"/>
      <c r="CB959"/>
      <c r="CC959"/>
      <c r="CD959"/>
      <c r="CE959"/>
      <c r="CF959"/>
      <c r="CG959"/>
      <c r="CH959"/>
      <c r="CI959"/>
      <c r="CJ959"/>
      <c r="CK959"/>
      <c r="CL959"/>
      <c r="CM959"/>
      <c r="CN959"/>
      <c r="CO959"/>
      <c r="CP959"/>
      <c r="CQ959"/>
      <c r="CR959"/>
      <c r="CS959"/>
      <c r="CT959"/>
      <c r="CU959"/>
      <c r="CV959"/>
      <c r="CW959"/>
      <c r="CX959"/>
      <c r="CY959"/>
    </row>
    <row r="960" spans="50:103" ht="20.100000000000001" customHeight="1" x14ac:dyDescent="0.25">
      <c r="AX960"/>
      <c r="AY960"/>
      <c r="AZ960"/>
      <c r="BA960"/>
      <c r="BB960"/>
      <c r="BC960"/>
      <c r="BD960"/>
      <c r="BE960"/>
      <c r="BF960"/>
      <c r="BG960"/>
      <c r="BH960"/>
      <c r="BI960"/>
      <c r="BJ960"/>
      <c r="BK960"/>
      <c r="BL960"/>
      <c r="BM960"/>
      <c r="BN960"/>
      <c r="BO960"/>
      <c r="BP960"/>
      <c r="BQ960"/>
      <c r="BR960"/>
      <c r="BY960"/>
      <c r="BZ960"/>
      <c r="CA960"/>
      <c r="CB960"/>
      <c r="CC960"/>
      <c r="CD960"/>
      <c r="CE960"/>
      <c r="CF960"/>
      <c r="CG960"/>
      <c r="CH960"/>
      <c r="CI960"/>
      <c r="CJ960"/>
      <c r="CK960"/>
      <c r="CL960"/>
      <c r="CM960"/>
      <c r="CN960"/>
      <c r="CO960"/>
      <c r="CP960"/>
      <c r="CQ960"/>
      <c r="CR960"/>
      <c r="CS960"/>
      <c r="CT960"/>
      <c r="CU960"/>
      <c r="CV960"/>
      <c r="CW960"/>
      <c r="CX960"/>
      <c r="CY960"/>
    </row>
    <row r="961" spans="50:103" ht="20.100000000000001" customHeight="1" x14ac:dyDescent="0.25">
      <c r="AX961"/>
      <c r="AY961"/>
      <c r="AZ961"/>
      <c r="BA961"/>
      <c r="BB961"/>
      <c r="BC961"/>
      <c r="BD961"/>
      <c r="BE961"/>
      <c r="BF961"/>
      <c r="BG961"/>
      <c r="BH961"/>
      <c r="BI961"/>
      <c r="BJ961"/>
      <c r="BK961"/>
      <c r="BL961"/>
      <c r="BM961"/>
      <c r="BN961"/>
      <c r="BO961"/>
      <c r="BP961"/>
      <c r="BQ961"/>
      <c r="BR961"/>
      <c r="BY961"/>
      <c r="BZ961"/>
      <c r="CA961"/>
      <c r="CB961"/>
      <c r="CC961"/>
      <c r="CD961"/>
      <c r="CE961"/>
      <c r="CF961"/>
      <c r="CG961"/>
      <c r="CH961"/>
      <c r="CI961"/>
      <c r="CJ961"/>
      <c r="CK961"/>
      <c r="CL961"/>
      <c r="CM961"/>
      <c r="CN961"/>
      <c r="CO961"/>
      <c r="CP961"/>
      <c r="CQ961"/>
      <c r="CR961"/>
      <c r="CS961"/>
      <c r="CT961"/>
      <c r="CU961"/>
      <c r="CV961"/>
      <c r="CW961"/>
      <c r="CX961"/>
      <c r="CY961"/>
    </row>
    <row r="962" spans="50:103" ht="20.100000000000001" customHeight="1" x14ac:dyDescent="0.25">
      <c r="AX962"/>
      <c r="AY962"/>
      <c r="AZ962"/>
      <c r="BA962"/>
      <c r="BB962"/>
      <c r="BC962"/>
      <c r="BD962"/>
      <c r="BE962"/>
      <c r="BF962"/>
      <c r="BG962"/>
      <c r="BH962"/>
      <c r="BI962"/>
      <c r="BJ962"/>
      <c r="BK962"/>
      <c r="BL962"/>
      <c r="BM962"/>
      <c r="BN962"/>
      <c r="BO962"/>
      <c r="BP962"/>
      <c r="BQ962"/>
      <c r="BR962"/>
      <c r="BY962"/>
      <c r="BZ962"/>
      <c r="CA962"/>
      <c r="CB962"/>
      <c r="CC962"/>
      <c r="CD962"/>
      <c r="CE962"/>
      <c r="CF962"/>
      <c r="CG962"/>
      <c r="CH962"/>
      <c r="CI962"/>
      <c r="CJ962"/>
      <c r="CK962"/>
      <c r="CL962"/>
      <c r="CM962"/>
      <c r="CN962"/>
      <c r="CO962"/>
      <c r="CP962"/>
      <c r="CQ962"/>
      <c r="CR962"/>
      <c r="CS962"/>
      <c r="CT962"/>
      <c r="CU962"/>
      <c r="CV962"/>
      <c r="CW962"/>
      <c r="CX962"/>
      <c r="CY962"/>
    </row>
    <row r="963" spans="50:103" ht="20.100000000000001" customHeight="1" x14ac:dyDescent="0.25">
      <c r="AX963"/>
      <c r="AY963"/>
      <c r="AZ963"/>
      <c r="BA963"/>
      <c r="BB963"/>
      <c r="BC963"/>
      <c r="BD963"/>
      <c r="BE963"/>
      <c r="BF963"/>
      <c r="BG963"/>
      <c r="BH963"/>
      <c r="BI963"/>
      <c r="BJ963"/>
      <c r="BK963"/>
      <c r="BL963"/>
      <c r="BM963"/>
      <c r="BN963"/>
      <c r="BO963"/>
      <c r="BP963"/>
      <c r="BQ963"/>
      <c r="BR963"/>
      <c r="BY963"/>
      <c r="BZ963"/>
      <c r="CA963"/>
      <c r="CB963"/>
      <c r="CC963"/>
      <c r="CD963"/>
      <c r="CE963"/>
      <c r="CF963"/>
      <c r="CG963"/>
      <c r="CH963"/>
      <c r="CI963"/>
      <c r="CJ963"/>
      <c r="CK963"/>
      <c r="CL963"/>
      <c r="CM963"/>
      <c r="CN963"/>
      <c r="CO963"/>
      <c r="CP963"/>
      <c r="CQ963"/>
      <c r="CR963"/>
      <c r="CS963"/>
      <c r="CT963"/>
      <c r="CU963"/>
      <c r="CV963"/>
      <c r="CW963"/>
      <c r="CX963"/>
      <c r="CY963"/>
    </row>
    <row r="964" spans="50:103" ht="20.100000000000001" customHeight="1" x14ac:dyDescent="0.25">
      <c r="AX964"/>
      <c r="AY964"/>
      <c r="AZ964"/>
      <c r="BA964"/>
      <c r="BB964"/>
      <c r="BC964"/>
      <c r="BD964"/>
      <c r="BE964"/>
      <c r="BF964"/>
      <c r="BG964"/>
      <c r="BH964"/>
      <c r="BI964"/>
      <c r="BJ964"/>
      <c r="BK964"/>
      <c r="BL964"/>
      <c r="BM964"/>
      <c r="BN964"/>
      <c r="BO964"/>
      <c r="BP964"/>
      <c r="BQ964"/>
      <c r="BR964"/>
      <c r="BY964"/>
      <c r="BZ964"/>
      <c r="CA964"/>
      <c r="CB964"/>
      <c r="CC964"/>
      <c r="CD964"/>
      <c r="CE964"/>
      <c r="CF964"/>
      <c r="CG964"/>
      <c r="CH964"/>
      <c r="CI964"/>
      <c r="CJ964"/>
      <c r="CK964"/>
      <c r="CL964"/>
      <c r="CM964"/>
      <c r="CN964"/>
      <c r="CO964"/>
      <c r="CP964"/>
      <c r="CQ964"/>
      <c r="CR964"/>
      <c r="CS964"/>
      <c r="CT964"/>
      <c r="CU964"/>
      <c r="CV964"/>
      <c r="CW964"/>
      <c r="CX964"/>
      <c r="CY964"/>
    </row>
    <row r="965" spans="50:103" ht="20.100000000000001" customHeight="1" x14ac:dyDescent="0.25">
      <c r="AX965"/>
      <c r="AY965"/>
      <c r="AZ965"/>
      <c r="BA965"/>
      <c r="BB965"/>
      <c r="BC965"/>
      <c r="BD965"/>
      <c r="BE965"/>
      <c r="BF965"/>
      <c r="BG965"/>
      <c r="BH965"/>
      <c r="BI965"/>
      <c r="BJ965"/>
      <c r="BK965"/>
      <c r="BL965"/>
      <c r="BM965"/>
      <c r="BN965"/>
      <c r="BO965"/>
      <c r="BP965"/>
      <c r="BQ965"/>
      <c r="BR965"/>
      <c r="BY965"/>
      <c r="BZ965"/>
      <c r="CA965"/>
      <c r="CB965"/>
      <c r="CC965"/>
      <c r="CD965"/>
      <c r="CE965"/>
      <c r="CF965"/>
      <c r="CG965"/>
      <c r="CH965"/>
      <c r="CI965"/>
      <c r="CJ965"/>
      <c r="CK965"/>
      <c r="CL965"/>
      <c r="CM965"/>
      <c r="CN965"/>
      <c r="CO965"/>
      <c r="CP965"/>
      <c r="CQ965"/>
      <c r="CR965"/>
      <c r="CS965"/>
      <c r="CT965"/>
      <c r="CU965"/>
      <c r="CV965"/>
      <c r="CW965"/>
      <c r="CX965"/>
      <c r="CY965"/>
    </row>
    <row r="966" spans="50:103" ht="20.100000000000001" customHeight="1" x14ac:dyDescent="0.25">
      <c r="AX966"/>
      <c r="AY966"/>
      <c r="AZ966"/>
      <c r="BA966"/>
      <c r="BB966"/>
      <c r="BC966"/>
      <c r="BD966"/>
      <c r="BE966"/>
      <c r="BF966"/>
      <c r="BG966"/>
      <c r="BH966"/>
      <c r="BI966"/>
      <c r="BJ966"/>
      <c r="BK966"/>
      <c r="BL966"/>
      <c r="BM966"/>
      <c r="BN966"/>
      <c r="BO966"/>
      <c r="BP966"/>
      <c r="BQ966"/>
      <c r="BR966"/>
      <c r="BY966"/>
      <c r="BZ966"/>
      <c r="CA966"/>
      <c r="CB966"/>
      <c r="CC966"/>
      <c r="CD966"/>
      <c r="CE966"/>
      <c r="CF966"/>
      <c r="CG966"/>
      <c r="CH966"/>
      <c r="CI966"/>
      <c r="CJ966"/>
      <c r="CK966"/>
      <c r="CL966"/>
      <c r="CM966"/>
      <c r="CN966"/>
      <c r="CO966"/>
      <c r="CP966"/>
      <c r="CQ966"/>
      <c r="CR966"/>
      <c r="CS966"/>
      <c r="CT966"/>
      <c r="CU966"/>
      <c r="CV966"/>
      <c r="CW966"/>
      <c r="CX966"/>
      <c r="CY966"/>
    </row>
    <row r="967" spans="50:103" ht="20.100000000000001" customHeight="1" x14ac:dyDescent="0.25">
      <c r="AX967"/>
      <c r="AY967"/>
      <c r="AZ967"/>
      <c r="BA967"/>
      <c r="BB967"/>
      <c r="BC967"/>
      <c r="BD967"/>
      <c r="BE967"/>
      <c r="BF967"/>
      <c r="BG967"/>
      <c r="BH967"/>
      <c r="BI967"/>
      <c r="BJ967"/>
      <c r="BK967"/>
      <c r="BL967"/>
      <c r="BM967"/>
      <c r="BN967"/>
      <c r="BO967"/>
      <c r="BP967"/>
      <c r="BQ967"/>
      <c r="BR967"/>
      <c r="BY967"/>
      <c r="BZ967"/>
      <c r="CA967"/>
      <c r="CB967"/>
      <c r="CC967"/>
      <c r="CD967"/>
      <c r="CE967"/>
      <c r="CF967"/>
      <c r="CG967"/>
      <c r="CH967"/>
      <c r="CI967"/>
      <c r="CJ967"/>
      <c r="CK967"/>
      <c r="CL967"/>
      <c r="CM967"/>
      <c r="CN967"/>
      <c r="CO967"/>
      <c r="CP967"/>
      <c r="CQ967"/>
      <c r="CR967"/>
      <c r="CS967"/>
      <c r="CT967"/>
      <c r="CU967"/>
      <c r="CV967"/>
      <c r="CW967"/>
      <c r="CX967"/>
      <c r="CY967"/>
    </row>
    <row r="968" spans="50:103" ht="20.100000000000001" customHeight="1" x14ac:dyDescent="0.25">
      <c r="AX968"/>
      <c r="AY968"/>
      <c r="AZ968"/>
      <c r="BA968"/>
      <c r="BB968"/>
      <c r="BC968"/>
      <c r="BD968"/>
      <c r="BE968"/>
      <c r="BF968"/>
      <c r="BG968"/>
      <c r="BH968"/>
      <c r="BI968"/>
      <c r="BJ968"/>
      <c r="BK968"/>
      <c r="BL968"/>
      <c r="BM968"/>
      <c r="BN968"/>
      <c r="BO968"/>
      <c r="BP968"/>
      <c r="BQ968"/>
      <c r="BR968"/>
      <c r="BY968"/>
      <c r="BZ968"/>
      <c r="CA968"/>
      <c r="CB968"/>
      <c r="CC968"/>
      <c r="CD968"/>
      <c r="CE968"/>
      <c r="CF968"/>
      <c r="CG968"/>
      <c r="CH968"/>
      <c r="CI968"/>
      <c r="CJ968"/>
      <c r="CK968"/>
      <c r="CL968"/>
      <c r="CM968"/>
      <c r="CN968"/>
      <c r="CO968"/>
      <c r="CP968"/>
      <c r="CQ968"/>
      <c r="CR968"/>
      <c r="CS968"/>
      <c r="CT968"/>
      <c r="CU968"/>
      <c r="CV968"/>
      <c r="CW968"/>
      <c r="CX968"/>
      <c r="CY968"/>
    </row>
    <row r="969" spans="50:103" ht="20.100000000000001" customHeight="1" x14ac:dyDescent="0.25">
      <c r="AX969"/>
      <c r="AY969"/>
      <c r="AZ969"/>
      <c r="BA969"/>
      <c r="BB969"/>
      <c r="BC969"/>
      <c r="BD969"/>
      <c r="BE969"/>
      <c r="BF969"/>
      <c r="BG969"/>
      <c r="BH969"/>
      <c r="BI969"/>
      <c r="BJ969"/>
      <c r="BK969"/>
      <c r="BL969"/>
      <c r="BM969"/>
      <c r="BN969"/>
      <c r="BO969"/>
      <c r="BP969"/>
      <c r="BQ969"/>
      <c r="BR969"/>
      <c r="BY969"/>
      <c r="BZ969"/>
      <c r="CA969"/>
      <c r="CB969"/>
      <c r="CC969"/>
      <c r="CD969"/>
      <c r="CE969"/>
      <c r="CF969"/>
      <c r="CG969"/>
      <c r="CH969"/>
      <c r="CI969"/>
      <c r="CJ969"/>
      <c r="CK969"/>
      <c r="CL969"/>
      <c r="CM969"/>
      <c r="CN969"/>
      <c r="CO969"/>
      <c r="CP969"/>
      <c r="CQ969"/>
      <c r="CR969"/>
      <c r="CS969"/>
      <c r="CT969"/>
      <c r="CU969"/>
      <c r="CV969"/>
      <c r="CW969"/>
      <c r="CX969"/>
      <c r="CY969"/>
    </row>
    <row r="970" spans="50:103" ht="20.100000000000001" customHeight="1" x14ac:dyDescent="0.25">
      <c r="AX970"/>
      <c r="AY970"/>
      <c r="AZ970"/>
      <c r="BA970"/>
      <c r="BB970"/>
      <c r="BC970"/>
      <c r="BD970"/>
      <c r="BE970"/>
      <c r="BF970"/>
      <c r="BG970"/>
      <c r="BH970"/>
      <c r="BI970"/>
      <c r="BJ970"/>
      <c r="BK970"/>
      <c r="BL970"/>
      <c r="BM970"/>
      <c r="BN970"/>
      <c r="BO970"/>
      <c r="BP970"/>
      <c r="BQ970"/>
      <c r="BR970"/>
      <c r="BY970"/>
      <c r="BZ970"/>
      <c r="CA970"/>
      <c r="CB970"/>
      <c r="CC970"/>
      <c r="CD970"/>
      <c r="CE970"/>
      <c r="CF970"/>
      <c r="CG970"/>
      <c r="CH970"/>
      <c r="CI970"/>
      <c r="CJ970"/>
      <c r="CK970"/>
      <c r="CL970"/>
      <c r="CM970"/>
      <c r="CN970"/>
      <c r="CO970"/>
      <c r="CP970"/>
      <c r="CQ970"/>
      <c r="CR970"/>
      <c r="CS970"/>
      <c r="CT970"/>
      <c r="CU970"/>
      <c r="CV970"/>
      <c r="CW970"/>
      <c r="CX970"/>
      <c r="CY970"/>
    </row>
    <row r="971" spans="50:103" ht="20.100000000000001" customHeight="1" x14ac:dyDescent="0.25">
      <c r="AX971"/>
      <c r="AY971"/>
      <c r="AZ971"/>
      <c r="BA971"/>
      <c r="BB971"/>
      <c r="BC971"/>
      <c r="BD971"/>
      <c r="BE971"/>
      <c r="BF971"/>
      <c r="BG971"/>
      <c r="BH971"/>
      <c r="BI971"/>
      <c r="BJ971"/>
      <c r="BK971"/>
      <c r="BL971"/>
      <c r="BM971"/>
      <c r="BN971"/>
      <c r="BO971"/>
      <c r="BP971"/>
      <c r="BQ971"/>
      <c r="BR971"/>
      <c r="BY971"/>
      <c r="BZ971"/>
      <c r="CA971"/>
      <c r="CB971"/>
      <c r="CC971"/>
      <c r="CD971"/>
      <c r="CE971"/>
      <c r="CF971"/>
      <c r="CG971"/>
      <c r="CH971"/>
      <c r="CI971"/>
      <c r="CJ971"/>
      <c r="CK971"/>
      <c r="CL971"/>
      <c r="CM971"/>
      <c r="CN971"/>
      <c r="CO971"/>
      <c r="CP971"/>
      <c r="CQ971"/>
      <c r="CR971"/>
      <c r="CS971"/>
      <c r="CT971"/>
      <c r="CU971"/>
      <c r="CV971"/>
      <c r="CW971"/>
      <c r="CX971"/>
      <c r="CY971"/>
    </row>
    <row r="972" spans="50:103" ht="20.100000000000001" customHeight="1" x14ac:dyDescent="0.25">
      <c r="AX972"/>
      <c r="AY972"/>
      <c r="AZ972"/>
      <c r="BA972"/>
      <c r="BB972"/>
      <c r="BC972"/>
      <c r="BD972"/>
      <c r="BE972"/>
      <c r="BF972"/>
      <c r="BG972"/>
      <c r="BH972"/>
      <c r="BI972"/>
      <c r="BJ972"/>
      <c r="BK972"/>
      <c r="BL972"/>
      <c r="BM972"/>
      <c r="BN972"/>
      <c r="BO972"/>
      <c r="BP972"/>
      <c r="BQ972"/>
      <c r="BR972"/>
      <c r="BY972"/>
      <c r="BZ972"/>
      <c r="CA972"/>
      <c r="CB972"/>
      <c r="CC972"/>
      <c r="CD972"/>
      <c r="CE972"/>
      <c r="CF972"/>
      <c r="CG972"/>
      <c r="CH972"/>
      <c r="CI972"/>
      <c r="CJ972"/>
      <c r="CK972"/>
      <c r="CL972"/>
      <c r="CM972"/>
      <c r="CN972"/>
      <c r="CO972"/>
      <c r="CP972"/>
      <c r="CQ972"/>
      <c r="CR972"/>
      <c r="CS972"/>
      <c r="CT972"/>
      <c r="CU972"/>
      <c r="CV972"/>
      <c r="CW972"/>
      <c r="CX972"/>
      <c r="CY972"/>
    </row>
    <row r="973" spans="50:103" ht="20.100000000000001" customHeight="1" x14ac:dyDescent="0.25">
      <c r="AX973"/>
      <c r="AY973"/>
      <c r="AZ973"/>
      <c r="BA973"/>
      <c r="BB973"/>
      <c r="BC973"/>
      <c r="BD973"/>
      <c r="BE973"/>
      <c r="BF973"/>
      <c r="BG973"/>
      <c r="BH973"/>
      <c r="BI973"/>
      <c r="BJ973"/>
      <c r="BK973"/>
      <c r="BL973"/>
      <c r="BM973"/>
      <c r="BN973"/>
      <c r="BO973"/>
      <c r="BP973"/>
      <c r="BQ973"/>
      <c r="BR973"/>
      <c r="BY973"/>
      <c r="BZ973"/>
      <c r="CA973"/>
      <c r="CB973"/>
      <c r="CC973"/>
      <c r="CD973"/>
      <c r="CE973"/>
      <c r="CF973"/>
      <c r="CG973"/>
      <c r="CH973"/>
      <c r="CI973"/>
      <c r="CJ973"/>
      <c r="CK973"/>
      <c r="CL973"/>
      <c r="CM973"/>
      <c r="CN973"/>
      <c r="CO973"/>
      <c r="CP973"/>
      <c r="CQ973"/>
      <c r="CR973"/>
      <c r="CS973"/>
      <c r="CT973"/>
      <c r="CU973"/>
      <c r="CV973"/>
      <c r="CW973"/>
      <c r="CX973"/>
      <c r="CY973"/>
    </row>
    <row r="974" spans="50:103" ht="20.100000000000001" customHeight="1" x14ac:dyDescent="0.25">
      <c r="AX974"/>
      <c r="AY974"/>
      <c r="AZ974"/>
      <c r="BA974"/>
      <c r="BB974"/>
      <c r="BC974"/>
      <c r="BD974"/>
      <c r="BE974"/>
      <c r="BF974"/>
      <c r="BG974"/>
      <c r="BH974"/>
      <c r="BI974"/>
      <c r="BJ974"/>
      <c r="BK974"/>
      <c r="BL974"/>
      <c r="BM974"/>
      <c r="BN974"/>
      <c r="BO974"/>
      <c r="BP974"/>
      <c r="BQ974"/>
      <c r="BR974"/>
      <c r="BY974"/>
      <c r="BZ974"/>
      <c r="CA974"/>
      <c r="CB974"/>
      <c r="CC974"/>
      <c r="CD974"/>
      <c r="CE974"/>
      <c r="CF974"/>
      <c r="CG974"/>
      <c r="CH974"/>
      <c r="CI974"/>
      <c r="CJ974"/>
      <c r="CK974"/>
      <c r="CL974"/>
      <c r="CM974"/>
      <c r="CN974"/>
      <c r="CO974"/>
      <c r="CP974"/>
      <c r="CQ974"/>
      <c r="CR974"/>
      <c r="CS974"/>
      <c r="CT974"/>
      <c r="CU974"/>
      <c r="CV974"/>
      <c r="CW974"/>
      <c r="CX974"/>
      <c r="CY974"/>
    </row>
    <row r="975" spans="50:103" ht="20.100000000000001" customHeight="1" x14ac:dyDescent="0.25">
      <c r="AX975"/>
      <c r="AY975"/>
      <c r="AZ975"/>
      <c r="BA975"/>
      <c r="BB975"/>
      <c r="BC975"/>
      <c r="BD975"/>
      <c r="BE975"/>
      <c r="BF975"/>
      <c r="BG975"/>
      <c r="BH975"/>
      <c r="BI975"/>
      <c r="BJ975"/>
      <c r="BK975"/>
      <c r="BL975"/>
      <c r="BM975"/>
      <c r="BN975"/>
      <c r="BO975"/>
      <c r="BP975"/>
      <c r="BQ975"/>
      <c r="BR975"/>
      <c r="BY975"/>
      <c r="BZ975"/>
      <c r="CA975"/>
      <c r="CB975"/>
      <c r="CC975"/>
      <c r="CD975"/>
      <c r="CE975"/>
      <c r="CF975"/>
      <c r="CG975"/>
      <c r="CH975"/>
      <c r="CI975"/>
      <c r="CJ975"/>
      <c r="CK975"/>
      <c r="CL975"/>
      <c r="CM975"/>
      <c r="CN975"/>
      <c r="CO975"/>
      <c r="CP975"/>
      <c r="CQ975"/>
      <c r="CR975"/>
      <c r="CS975"/>
      <c r="CT975"/>
      <c r="CU975"/>
      <c r="CV975"/>
      <c r="CW975"/>
      <c r="CX975"/>
      <c r="CY975"/>
    </row>
    <row r="976" spans="50:103" ht="20.100000000000001" customHeight="1" x14ac:dyDescent="0.25">
      <c r="AX976"/>
      <c r="AY976"/>
      <c r="AZ976"/>
      <c r="BA976"/>
      <c r="BB976"/>
      <c r="BC976"/>
      <c r="BD976"/>
      <c r="BE976"/>
      <c r="BF976"/>
      <c r="BG976"/>
      <c r="BH976"/>
      <c r="BI976"/>
      <c r="BJ976"/>
      <c r="BK976"/>
      <c r="BL976"/>
      <c r="BM976"/>
      <c r="BN976"/>
      <c r="BO976"/>
      <c r="BP976"/>
      <c r="BQ976"/>
      <c r="BR976"/>
      <c r="BY976"/>
      <c r="BZ976"/>
      <c r="CA976"/>
      <c r="CB976"/>
      <c r="CC976"/>
      <c r="CD976"/>
      <c r="CE976"/>
      <c r="CF976"/>
      <c r="CG976"/>
      <c r="CH976"/>
      <c r="CI976"/>
      <c r="CJ976"/>
      <c r="CK976"/>
      <c r="CL976"/>
      <c r="CM976"/>
      <c r="CN976"/>
      <c r="CO976"/>
      <c r="CP976"/>
      <c r="CQ976"/>
      <c r="CR976"/>
      <c r="CS976"/>
      <c r="CT976"/>
      <c r="CU976"/>
      <c r="CV976"/>
      <c r="CW976"/>
      <c r="CX976"/>
      <c r="CY976"/>
    </row>
    <row r="977" spans="50:103" ht="20.100000000000001" customHeight="1" x14ac:dyDescent="0.25">
      <c r="AX977"/>
      <c r="AY977"/>
      <c r="AZ977"/>
      <c r="BA977"/>
      <c r="BB977"/>
      <c r="BC977"/>
      <c r="BD977"/>
      <c r="BE977"/>
      <c r="BF977"/>
      <c r="BG977"/>
      <c r="BH977"/>
      <c r="BI977"/>
      <c r="BJ977"/>
      <c r="BK977"/>
      <c r="BL977"/>
      <c r="BM977"/>
      <c r="BN977"/>
      <c r="BO977"/>
      <c r="BP977"/>
      <c r="BQ977"/>
      <c r="BR977"/>
      <c r="BY977"/>
      <c r="BZ977"/>
      <c r="CA977"/>
      <c r="CB977"/>
      <c r="CC977"/>
      <c r="CD977"/>
      <c r="CE977"/>
      <c r="CF977"/>
      <c r="CG977"/>
      <c r="CH977"/>
      <c r="CI977"/>
      <c r="CJ977"/>
      <c r="CK977"/>
      <c r="CL977"/>
      <c r="CM977"/>
      <c r="CN977"/>
      <c r="CO977"/>
      <c r="CP977"/>
      <c r="CQ977"/>
      <c r="CR977"/>
      <c r="CS977"/>
      <c r="CT977"/>
      <c r="CU977"/>
      <c r="CV977"/>
      <c r="CW977"/>
      <c r="CX977"/>
      <c r="CY977"/>
    </row>
    <row r="978" spans="50:103" ht="20.100000000000001" customHeight="1" x14ac:dyDescent="0.25">
      <c r="AX978"/>
      <c r="AY978"/>
      <c r="AZ978"/>
      <c r="BA978"/>
      <c r="BB978"/>
      <c r="BC978"/>
      <c r="BD978"/>
      <c r="BE978"/>
      <c r="BF978"/>
      <c r="BG978"/>
      <c r="BH978"/>
      <c r="BI978"/>
      <c r="BJ978"/>
      <c r="BK978"/>
      <c r="BL978"/>
      <c r="BM978"/>
      <c r="BN978"/>
      <c r="BO978"/>
      <c r="BP978"/>
      <c r="BQ978"/>
      <c r="BR978"/>
      <c r="BY978"/>
      <c r="BZ978"/>
      <c r="CA978"/>
      <c r="CB978"/>
      <c r="CC978"/>
      <c r="CD978"/>
      <c r="CE978"/>
      <c r="CF978"/>
      <c r="CG978"/>
      <c r="CH978"/>
      <c r="CI978"/>
      <c r="CJ978"/>
      <c r="CK978"/>
      <c r="CL978"/>
      <c r="CM978"/>
      <c r="CN978"/>
      <c r="CO978"/>
      <c r="CP978"/>
      <c r="CQ978"/>
      <c r="CR978"/>
      <c r="CS978"/>
      <c r="CT978"/>
      <c r="CU978"/>
      <c r="CV978"/>
      <c r="CW978"/>
      <c r="CX978"/>
      <c r="CY978"/>
    </row>
    <row r="979" spans="50:103" ht="20.100000000000001" customHeight="1" x14ac:dyDescent="0.25">
      <c r="AX979"/>
      <c r="AY979"/>
      <c r="AZ979"/>
      <c r="BA979"/>
      <c r="BB979"/>
      <c r="BC979"/>
      <c r="BD979"/>
      <c r="BE979"/>
      <c r="BF979"/>
      <c r="BG979"/>
      <c r="BH979"/>
      <c r="BI979"/>
      <c r="BJ979"/>
      <c r="BK979"/>
      <c r="BL979"/>
      <c r="BM979"/>
      <c r="BN979"/>
      <c r="BO979"/>
      <c r="BP979"/>
      <c r="BQ979"/>
      <c r="BR979"/>
      <c r="BY979"/>
      <c r="BZ979"/>
      <c r="CA979"/>
      <c r="CB979"/>
      <c r="CC979"/>
      <c r="CD979"/>
      <c r="CE979"/>
      <c r="CF979"/>
      <c r="CG979"/>
      <c r="CH979"/>
      <c r="CI979"/>
      <c r="CJ979"/>
      <c r="CK979"/>
      <c r="CL979"/>
      <c r="CM979"/>
      <c r="CN979"/>
      <c r="CO979"/>
      <c r="CP979"/>
      <c r="CQ979"/>
      <c r="CR979"/>
      <c r="CS979"/>
      <c r="CT979"/>
      <c r="CU979"/>
      <c r="CV979"/>
      <c r="CW979"/>
      <c r="CX979"/>
      <c r="CY979"/>
    </row>
    <row r="980" spans="50:103" ht="20.100000000000001" customHeight="1" x14ac:dyDescent="0.25">
      <c r="AX980"/>
      <c r="AY980"/>
      <c r="AZ980"/>
      <c r="BA980"/>
      <c r="BB980"/>
      <c r="BC980"/>
      <c r="BD980"/>
      <c r="BE980"/>
      <c r="BF980"/>
      <c r="BG980"/>
      <c r="BH980"/>
      <c r="BI980"/>
      <c r="BJ980"/>
      <c r="BK980"/>
      <c r="BL980"/>
      <c r="BM980"/>
      <c r="BN980"/>
      <c r="BO980"/>
      <c r="BP980"/>
      <c r="BQ980"/>
      <c r="BR980"/>
      <c r="BY980"/>
      <c r="BZ980"/>
      <c r="CA980"/>
      <c r="CB980"/>
      <c r="CC980"/>
      <c r="CD980"/>
      <c r="CE980"/>
      <c r="CF980"/>
      <c r="CG980"/>
      <c r="CH980"/>
      <c r="CI980"/>
      <c r="CJ980"/>
      <c r="CK980"/>
      <c r="CL980"/>
      <c r="CM980"/>
      <c r="CN980"/>
      <c r="CO980"/>
      <c r="CP980"/>
      <c r="CQ980"/>
      <c r="CR980"/>
      <c r="CS980"/>
      <c r="CT980"/>
      <c r="CU980"/>
      <c r="CV980"/>
      <c r="CW980"/>
      <c r="CX980"/>
      <c r="CY980"/>
    </row>
    <row r="981" spans="50:103" ht="20.100000000000001" customHeight="1" x14ac:dyDescent="0.25">
      <c r="AX981"/>
      <c r="AY981"/>
      <c r="AZ981"/>
      <c r="BA981"/>
      <c r="BB981"/>
      <c r="BC981"/>
      <c r="BD981"/>
      <c r="BE981"/>
      <c r="BF981"/>
      <c r="BG981"/>
      <c r="BH981"/>
      <c r="BI981"/>
      <c r="BJ981"/>
      <c r="BK981"/>
      <c r="BL981"/>
      <c r="BM981"/>
      <c r="BN981"/>
      <c r="BO981"/>
      <c r="BP981"/>
      <c r="BQ981"/>
      <c r="BR981"/>
      <c r="BY981"/>
      <c r="BZ981"/>
      <c r="CA981"/>
      <c r="CB981"/>
      <c r="CC981"/>
      <c r="CD981"/>
      <c r="CE981"/>
      <c r="CF981"/>
      <c r="CG981"/>
      <c r="CH981"/>
      <c r="CI981"/>
      <c r="CJ981"/>
      <c r="CK981"/>
      <c r="CL981"/>
      <c r="CM981"/>
      <c r="CN981"/>
      <c r="CO981"/>
      <c r="CP981"/>
      <c r="CQ981"/>
      <c r="CR981"/>
      <c r="CS981"/>
      <c r="CT981"/>
      <c r="CU981"/>
      <c r="CV981"/>
      <c r="CW981"/>
      <c r="CX981"/>
      <c r="CY981"/>
    </row>
    <row r="982" spans="50:103" ht="20.100000000000001" customHeight="1" x14ac:dyDescent="0.25">
      <c r="AX982"/>
      <c r="AY982"/>
      <c r="AZ982"/>
      <c r="BA982"/>
      <c r="BB982"/>
      <c r="BC982"/>
      <c r="BD982"/>
      <c r="BE982"/>
      <c r="BF982"/>
      <c r="BG982"/>
      <c r="BH982"/>
      <c r="BI982"/>
      <c r="BJ982"/>
      <c r="BK982"/>
      <c r="BL982"/>
      <c r="BM982"/>
      <c r="BN982"/>
      <c r="BO982"/>
      <c r="BP982"/>
      <c r="BQ982"/>
      <c r="BR982"/>
      <c r="BY982"/>
      <c r="BZ982"/>
      <c r="CA982"/>
      <c r="CB982"/>
      <c r="CC982"/>
      <c r="CD982"/>
      <c r="CE982"/>
      <c r="CF982"/>
      <c r="CG982"/>
      <c r="CH982"/>
      <c r="CI982"/>
      <c r="CJ982"/>
      <c r="CK982"/>
      <c r="CL982"/>
      <c r="CM982"/>
      <c r="CN982"/>
      <c r="CO982"/>
      <c r="CP982"/>
      <c r="CQ982"/>
      <c r="CR982"/>
      <c r="CS982"/>
      <c r="CT982"/>
      <c r="CU982"/>
      <c r="CV982"/>
      <c r="CW982"/>
      <c r="CX982"/>
      <c r="CY982"/>
    </row>
    <row r="983" spans="50:103" ht="20.100000000000001" customHeight="1" x14ac:dyDescent="0.25">
      <c r="AX983"/>
      <c r="AY983"/>
      <c r="AZ983"/>
      <c r="BA983"/>
      <c r="BB983"/>
      <c r="BC983"/>
      <c r="BD983"/>
      <c r="BE983"/>
      <c r="BF983"/>
      <c r="BG983"/>
      <c r="BH983"/>
      <c r="BI983"/>
      <c r="BJ983"/>
      <c r="BK983"/>
      <c r="BL983"/>
      <c r="BM983"/>
      <c r="BN983"/>
      <c r="BO983"/>
      <c r="BP983"/>
      <c r="BQ983"/>
      <c r="BR983"/>
      <c r="BY983"/>
      <c r="BZ983"/>
      <c r="CA983"/>
      <c r="CB983"/>
      <c r="CC983"/>
      <c r="CD983"/>
      <c r="CE983"/>
      <c r="CF983"/>
      <c r="CG983"/>
      <c r="CH983"/>
      <c r="CI983"/>
      <c r="CJ983"/>
      <c r="CK983"/>
      <c r="CL983"/>
      <c r="CM983"/>
      <c r="CN983"/>
      <c r="CO983"/>
      <c r="CP983"/>
      <c r="CQ983"/>
      <c r="CR983"/>
      <c r="CS983"/>
      <c r="CT983"/>
      <c r="CU983"/>
      <c r="CV983"/>
      <c r="CW983"/>
      <c r="CX983"/>
      <c r="CY983"/>
    </row>
    <row r="984" spans="50:103" ht="20.100000000000001" customHeight="1" x14ac:dyDescent="0.25">
      <c r="AX984"/>
      <c r="AY984"/>
      <c r="AZ984"/>
      <c r="BA984"/>
      <c r="BB984"/>
      <c r="BC984"/>
      <c r="BD984"/>
      <c r="BE984"/>
      <c r="BF984"/>
      <c r="BG984"/>
      <c r="BH984"/>
      <c r="BI984"/>
      <c r="BJ984"/>
      <c r="BK984"/>
      <c r="BL984"/>
      <c r="BM984"/>
      <c r="BN984"/>
      <c r="BO984"/>
      <c r="BP984"/>
      <c r="BQ984"/>
      <c r="BR984"/>
      <c r="BY984"/>
      <c r="BZ984"/>
      <c r="CA984"/>
      <c r="CB984"/>
      <c r="CC984"/>
      <c r="CD984"/>
      <c r="CE984"/>
      <c r="CF984"/>
      <c r="CG984"/>
      <c r="CH984"/>
      <c r="CI984"/>
      <c r="CJ984"/>
      <c r="CK984"/>
      <c r="CL984"/>
      <c r="CM984"/>
      <c r="CN984"/>
      <c r="CO984"/>
      <c r="CP984"/>
      <c r="CQ984"/>
      <c r="CR984"/>
      <c r="CS984"/>
      <c r="CT984"/>
      <c r="CU984"/>
      <c r="CV984"/>
      <c r="CW984"/>
      <c r="CX984"/>
      <c r="CY984"/>
    </row>
    <row r="985" spans="50:103" ht="20.100000000000001" customHeight="1" x14ac:dyDescent="0.25">
      <c r="AX985"/>
      <c r="AY985"/>
      <c r="AZ985"/>
      <c r="BA985"/>
      <c r="BB985"/>
      <c r="BC985"/>
      <c r="BD985"/>
      <c r="BE985"/>
      <c r="BF985"/>
      <c r="BG985"/>
      <c r="BH985"/>
      <c r="BI985"/>
      <c r="BJ985"/>
      <c r="BK985"/>
      <c r="BL985"/>
      <c r="BM985"/>
      <c r="BN985"/>
      <c r="BO985"/>
      <c r="BP985"/>
      <c r="BQ985"/>
      <c r="BR985"/>
      <c r="BY985"/>
      <c r="BZ985"/>
      <c r="CA985"/>
      <c r="CB985"/>
      <c r="CC985"/>
      <c r="CD985"/>
      <c r="CE985"/>
      <c r="CF985"/>
      <c r="CG985"/>
      <c r="CH985"/>
      <c r="CI985"/>
      <c r="CJ985"/>
      <c r="CK985"/>
      <c r="CL985"/>
      <c r="CM985"/>
      <c r="CN985"/>
      <c r="CO985"/>
      <c r="CP985"/>
      <c r="CQ985"/>
      <c r="CR985"/>
      <c r="CS985"/>
      <c r="CT985"/>
      <c r="CU985"/>
      <c r="CV985"/>
      <c r="CW985"/>
      <c r="CX985"/>
      <c r="CY985"/>
    </row>
    <row r="986" spans="50:103" ht="20.100000000000001" customHeight="1" x14ac:dyDescent="0.25">
      <c r="AX986"/>
      <c r="AY986"/>
      <c r="AZ986"/>
      <c r="BA986"/>
      <c r="BB986"/>
      <c r="BC986"/>
      <c r="BD986"/>
      <c r="BE986"/>
      <c r="BF986"/>
      <c r="BG986"/>
      <c r="BH986"/>
      <c r="BI986"/>
      <c r="BJ986"/>
      <c r="BK986"/>
      <c r="BL986"/>
      <c r="BM986"/>
      <c r="BN986"/>
      <c r="BO986"/>
      <c r="BP986"/>
      <c r="BQ986"/>
      <c r="BR986"/>
      <c r="BY986"/>
      <c r="BZ986"/>
      <c r="CA986"/>
      <c r="CB986"/>
      <c r="CC986"/>
      <c r="CD986"/>
      <c r="CE986"/>
      <c r="CF986"/>
      <c r="CG986"/>
      <c r="CH986"/>
      <c r="CI986"/>
      <c r="CJ986"/>
      <c r="CK986"/>
      <c r="CL986"/>
      <c r="CM986"/>
      <c r="CN986"/>
      <c r="CO986"/>
      <c r="CP986"/>
      <c r="CQ986"/>
      <c r="CR986"/>
      <c r="CS986"/>
      <c r="CT986"/>
      <c r="CU986"/>
      <c r="CV986"/>
      <c r="CW986"/>
      <c r="CX986"/>
      <c r="CY986"/>
    </row>
    <row r="987" spans="50:103" ht="20.100000000000001" customHeight="1" x14ac:dyDescent="0.25">
      <c r="AX987"/>
      <c r="AY987"/>
      <c r="AZ987"/>
      <c r="BA987"/>
      <c r="BB987"/>
      <c r="BC987"/>
      <c r="BD987"/>
      <c r="BE987"/>
      <c r="BF987"/>
      <c r="BG987"/>
      <c r="BH987"/>
      <c r="BI987"/>
      <c r="BJ987"/>
      <c r="BK987"/>
      <c r="BL987"/>
      <c r="BM987"/>
      <c r="BN987"/>
      <c r="BO987"/>
      <c r="BP987"/>
      <c r="BQ987"/>
      <c r="BR987"/>
      <c r="BY987"/>
      <c r="BZ987"/>
      <c r="CA987"/>
      <c r="CB987"/>
      <c r="CC987"/>
      <c r="CD987"/>
      <c r="CE987"/>
      <c r="CF987"/>
      <c r="CG987"/>
      <c r="CH987"/>
      <c r="CI987"/>
      <c r="CJ987"/>
      <c r="CK987"/>
      <c r="CL987"/>
      <c r="CM987"/>
      <c r="CN987"/>
      <c r="CO987"/>
      <c r="CP987"/>
      <c r="CQ987"/>
      <c r="CR987"/>
      <c r="CS987"/>
      <c r="CT987"/>
      <c r="CU987"/>
      <c r="CV987"/>
      <c r="CW987"/>
      <c r="CX987"/>
      <c r="CY987"/>
    </row>
    <row r="988" spans="50:103" ht="20.100000000000001" customHeight="1" x14ac:dyDescent="0.25">
      <c r="AX988"/>
      <c r="AY988"/>
      <c r="AZ988"/>
      <c r="BA988"/>
      <c r="BB988"/>
      <c r="BC988"/>
      <c r="BD988"/>
      <c r="BE988"/>
      <c r="BF988"/>
      <c r="BG988"/>
      <c r="BH988"/>
      <c r="BI988"/>
      <c r="BJ988"/>
      <c r="BK988"/>
      <c r="BL988"/>
      <c r="BM988"/>
      <c r="BN988"/>
      <c r="BO988"/>
      <c r="BP988"/>
      <c r="BQ988"/>
      <c r="BR988"/>
      <c r="BY988"/>
      <c r="BZ988"/>
      <c r="CA988"/>
      <c r="CB988"/>
      <c r="CC988"/>
      <c r="CD988"/>
      <c r="CE988"/>
      <c r="CF988"/>
      <c r="CG988"/>
      <c r="CH988"/>
      <c r="CI988"/>
      <c r="CJ988"/>
      <c r="CK988"/>
      <c r="CL988"/>
      <c r="CM988"/>
      <c r="CN988"/>
      <c r="CO988"/>
      <c r="CP988"/>
      <c r="CQ988"/>
      <c r="CR988"/>
      <c r="CS988"/>
      <c r="CT988"/>
      <c r="CU988"/>
      <c r="CV988"/>
      <c r="CW988"/>
      <c r="CX988"/>
      <c r="CY988"/>
    </row>
    <row r="989" spans="50:103" ht="20.100000000000001" customHeight="1" x14ac:dyDescent="0.25">
      <c r="AX989"/>
      <c r="AY989"/>
      <c r="AZ989"/>
      <c r="BA989"/>
      <c r="BB989"/>
      <c r="BC989"/>
      <c r="BD989"/>
      <c r="BE989"/>
      <c r="BF989"/>
      <c r="BG989"/>
      <c r="BH989"/>
      <c r="BI989"/>
      <c r="BJ989"/>
      <c r="BK989"/>
      <c r="BL989"/>
      <c r="BM989"/>
      <c r="BN989"/>
      <c r="BO989"/>
      <c r="BP989"/>
      <c r="BQ989"/>
      <c r="BR989"/>
      <c r="BY989"/>
      <c r="BZ989"/>
      <c r="CA989"/>
      <c r="CB989"/>
      <c r="CC989"/>
      <c r="CD989"/>
      <c r="CE989"/>
      <c r="CF989"/>
      <c r="CG989"/>
      <c r="CH989"/>
      <c r="CI989"/>
      <c r="CJ989"/>
      <c r="CK989"/>
      <c r="CL989"/>
      <c r="CM989"/>
      <c r="CN989"/>
      <c r="CO989"/>
      <c r="CP989"/>
      <c r="CQ989"/>
      <c r="CR989"/>
      <c r="CS989"/>
      <c r="CT989"/>
      <c r="CU989"/>
      <c r="CV989"/>
      <c r="CW989"/>
      <c r="CX989"/>
      <c r="CY989"/>
    </row>
    <row r="990" spans="50:103" ht="20.100000000000001" customHeight="1" x14ac:dyDescent="0.25">
      <c r="AX990"/>
      <c r="AY990"/>
      <c r="AZ990"/>
      <c r="BA990"/>
      <c r="BB990"/>
      <c r="BC990"/>
      <c r="BD990"/>
      <c r="BE990"/>
      <c r="BF990"/>
      <c r="BG990"/>
      <c r="BH990"/>
      <c r="BI990"/>
      <c r="BJ990"/>
      <c r="BK990"/>
      <c r="BL990"/>
      <c r="BM990"/>
      <c r="BN990"/>
      <c r="BO990"/>
      <c r="BP990"/>
      <c r="BQ990"/>
      <c r="BR990"/>
      <c r="BY990"/>
      <c r="BZ990"/>
      <c r="CA990"/>
      <c r="CB990"/>
      <c r="CC990"/>
      <c r="CD990"/>
      <c r="CE990"/>
      <c r="CF990"/>
      <c r="CG990"/>
      <c r="CH990"/>
      <c r="CI990"/>
      <c r="CJ990"/>
      <c r="CK990"/>
      <c r="CL990"/>
      <c r="CM990"/>
      <c r="CN990"/>
      <c r="CO990"/>
      <c r="CP990"/>
      <c r="CQ990"/>
      <c r="CR990"/>
      <c r="CS990"/>
      <c r="CT990"/>
      <c r="CU990"/>
      <c r="CV990"/>
      <c r="CW990"/>
      <c r="CX990"/>
      <c r="CY990"/>
    </row>
    <row r="991" spans="50:103" ht="20.100000000000001" customHeight="1" x14ac:dyDescent="0.25">
      <c r="AX991"/>
      <c r="AY991"/>
      <c r="AZ991"/>
      <c r="BA991"/>
      <c r="BB991"/>
      <c r="BC991"/>
      <c r="BD991"/>
      <c r="BE991"/>
      <c r="BF991"/>
      <c r="BG991"/>
      <c r="BH991"/>
      <c r="BI991"/>
      <c r="BJ991"/>
      <c r="BK991"/>
      <c r="BL991"/>
      <c r="BM991"/>
      <c r="BN991"/>
      <c r="BO991"/>
      <c r="BP991"/>
      <c r="BQ991"/>
      <c r="BR991"/>
      <c r="BY991"/>
      <c r="BZ991"/>
      <c r="CA991"/>
      <c r="CB991"/>
      <c r="CC991"/>
      <c r="CD991"/>
      <c r="CE991"/>
      <c r="CF991"/>
      <c r="CG991"/>
      <c r="CH991"/>
      <c r="CI991"/>
      <c r="CJ991"/>
      <c r="CK991"/>
      <c r="CL991"/>
      <c r="CM991"/>
      <c r="CN991"/>
      <c r="CO991"/>
      <c r="CP991"/>
      <c r="CQ991"/>
      <c r="CR991"/>
      <c r="CS991"/>
      <c r="CT991"/>
      <c r="CU991"/>
      <c r="CV991"/>
      <c r="CW991"/>
      <c r="CX991"/>
      <c r="CY991"/>
    </row>
    <row r="992" spans="50:103" ht="20.100000000000001" customHeight="1" x14ac:dyDescent="0.25">
      <c r="AX992"/>
      <c r="AY992"/>
      <c r="AZ992"/>
      <c r="BA992"/>
      <c r="BB992"/>
      <c r="BC992"/>
      <c r="BD992"/>
      <c r="BE992"/>
      <c r="BF992"/>
      <c r="BG992"/>
      <c r="BH992"/>
      <c r="BI992"/>
      <c r="BJ992"/>
      <c r="BK992"/>
      <c r="BL992"/>
      <c r="BM992"/>
      <c r="BN992"/>
      <c r="BO992"/>
      <c r="BP992"/>
      <c r="BQ992"/>
      <c r="BR992"/>
      <c r="BY992"/>
      <c r="BZ992"/>
      <c r="CA992"/>
      <c r="CB992"/>
      <c r="CC992"/>
      <c r="CD992"/>
      <c r="CE992"/>
      <c r="CF992"/>
      <c r="CG992"/>
      <c r="CH992"/>
      <c r="CI992"/>
      <c r="CJ992"/>
      <c r="CK992"/>
      <c r="CL992"/>
      <c r="CM992"/>
      <c r="CN992"/>
      <c r="CO992"/>
      <c r="CP992"/>
      <c r="CQ992"/>
      <c r="CR992"/>
      <c r="CS992"/>
      <c r="CT992"/>
      <c r="CU992"/>
      <c r="CV992"/>
      <c r="CW992"/>
      <c r="CX992"/>
      <c r="CY992"/>
    </row>
    <row r="993" spans="50:103" ht="20.100000000000001" customHeight="1" x14ac:dyDescent="0.25">
      <c r="AX993"/>
      <c r="AY993"/>
      <c r="AZ993"/>
      <c r="BA993"/>
      <c r="BB993"/>
      <c r="BC993"/>
      <c r="BD993"/>
      <c r="BE993"/>
      <c r="BF993"/>
      <c r="BG993"/>
      <c r="BH993"/>
      <c r="BI993"/>
      <c r="BJ993"/>
      <c r="BK993"/>
      <c r="BL993"/>
      <c r="BM993"/>
      <c r="BN993"/>
      <c r="BO993"/>
      <c r="BP993"/>
      <c r="BQ993"/>
      <c r="BR993"/>
      <c r="BY993"/>
      <c r="BZ993"/>
      <c r="CA993"/>
      <c r="CB993"/>
      <c r="CC993"/>
      <c r="CD993"/>
      <c r="CE993"/>
      <c r="CF993"/>
      <c r="CG993"/>
      <c r="CH993"/>
      <c r="CI993"/>
      <c r="CJ993"/>
      <c r="CK993"/>
      <c r="CL993"/>
      <c r="CM993"/>
      <c r="CN993"/>
      <c r="CO993"/>
      <c r="CP993"/>
      <c r="CQ993"/>
      <c r="CR993"/>
      <c r="CS993"/>
      <c r="CT993"/>
      <c r="CU993"/>
      <c r="CV993"/>
      <c r="CW993"/>
      <c r="CX993"/>
      <c r="CY993"/>
    </row>
    <row r="994" spans="50:103" ht="20.100000000000001" customHeight="1" x14ac:dyDescent="0.25">
      <c r="AX994"/>
      <c r="AY994"/>
      <c r="AZ994"/>
      <c r="BA994"/>
      <c r="BB994"/>
      <c r="BC994"/>
      <c r="BD994"/>
      <c r="BE994"/>
      <c r="BF994"/>
      <c r="BG994"/>
      <c r="BH994"/>
      <c r="BI994"/>
      <c r="BJ994"/>
      <c r="BK994"/>
      <c r="BL994"/>
      <c r="BM994"/>
      <c r="BN994"/>
      <c r="BO994"/>
      <c r="BP994"/>
      <c r="BQ994"/>
      <c r="BR994"/>
      <c r="BY994"/>
      <c r="BZ994"/>
      <c r="CA994"/>
      <c r="CB994"/>
      <c r="CC994"/>
      <c r="CD994"/>
      <c r="CE994"/>
      <c r="CF994"/>
      <c r="CG994"/>
      <c r="CH994"/>
      <c r="CI994"/>
      <c r="CJ994"/>
      <c r="CK994"/>
      <c r="CL994"/>
      <c r="CM994"/>
      <c r="CN994"/>
      <c r="CO994"/>
      <c r="CP994"/>
      <c r="CQ994"/>
      <c r="CR994"/>
      <c r="CS994"/>
      <c r="CT994"/>
      <c r="CU994"/>
      <c r="CV994"/>
      <c r="CW994"/>
      <c r="CX994"/>
      <c r="CY994"/>
    </row>
    <row r="995" spans="50:103" ht="20.100000000000001" customHeight="1" x14ac:dyDescent="0.25">
      <c r="AX995"/>
      <c r="AY995"/>
      <c r="AZ995"/>
      <c r="BA995"/>
      <c r="BB995"/>
      <c r="BC995"/>
      <c r="BD995"/>
      <c r="BE995"/>
      <c r="BF995"/>
      <c r="BG995"/>
      <c r="BH995"/>
      <c r="BI995"/>
      <c r="BJ995"/>
      <c r="BK995"/>
      <c r="BL995"/>
      <c r="BM995"/>
      <c r="BN995"/>
      <c r="BO995"/>
      <c r="BP995"/>
      <c r="BQ995"/>
      <c r="BR995"/>
      <c r="BY995"/>
      <c r="BZ995"/>
      <c r="CA995"/>
      <c r="CB995"/>
      <c r="CC995"/>
      <c r="CD995"/>
      <c r="CE995"/>
      <c r="CF995"/>
      <c r="CG995"/>
      <c r="CH995"/>
      <c r="CI995"/>
      <c r="CJ995"/>
      <c r="CK995"/>
      <c r="CL995"/>
      <c r="CM995"/>
      <c r="CN995"/>
      <c r="CO995"/>
      <c r="CP995"/>
      <c r="CQ995"/>
      <c r="CR995"/>
      <c r="CS995"/>
      <c r="CT995"/>
      <c r="CU995"/>
      <c r="CV995"/>
      <c r="CW995"/>
      <c r="CX995"/>
      <c r="CY995"/>
    </row>
    <row r="996" spans="50:103" ht="20.100000000000001" customHeight="1" x14ac:dyDescent="0.25">
      <c r="AX996"/>
      <c r="AY996"/>
      <c r="AZ996"/>
      <c r="BA996"/>
      <c r="BB996"/>
      <c r="BC996"/>
      <c r="BD996"/>
      <c r="BE996"/>
      <c r="BF996"/>
      <c r="BG996"/>
      <c r="BH996"/>
      <c r="BI996"/>
      <c r="BJ996"/>
      <c r="BK996"/>
      <c r="BL996"/>
      <c r="BM996"/>
      <c r="BN996"/>
      <c r="BO996"/>
      <c r="BP996"/>
      <c r="BQ996"/>
      <c r="BR996"/>
      <c r="BY996"/>
      <c r="BZ996"/>
      <c r="CA996"/>
      <c r="CB996"/>
      <c r="CC996"/>
      <c r="CD996"/>
      <c r="CE996"/>
      <c r="CF996"/>
      <c r="CG996"/>
      <c r="CH996"/>
      <c r="CI996"/>
      <c r="CJ996"/>
      <c r="CK996"/>
      <c r="CL996"/>
      <c r="CM996"/>
      <c r="CN996"/>
      <c r="CO996"/>
      <c r="CP996"/>
      <c r="CQ996"/>
      <c r="CR996"/>
      <c r="CS996"/>
      <c r="CT996"/>
      <c r="CU996"/>
      <c r="CV996"/>
      <c r="CW996"/>
      <c r="CX996"/>
      <c r="CY996"/>
    </row>
    <row r="997" spans="50:103" ht="20.100000000000001" customHeight="1" x14ac:dyDescent="0.25">
      <c r="AX997"/>
      <c r="AY997"/>
      <c r="AZ997"/>
      <c r="BA997"/>
      <c r="BB997"/>
      <c r="BC997"/>
      <c r="BD997"/>
      <c r="BE997"/>
      <c r="BF997"/>
      <c r="BG997"/>
      <c r="BH997"/>
      <c r="BI997"/>
      <c r="BJ997"/>
      <c r="BK997"/>
      <c r="BL997"/>
      <c r="BM997"/>
      <c r="BN997"/>
      <c r="BO997"/>
      <c r="BP997"/>
      <c r="BQ997"/>
      <c r="BR997"/>
      <c r="BY997"/>
      <c r="BZ997"/>
      <c r="CA997"/>
      <c r="CB997"/>
      <c r="CC997"/>
      <c r="CD997"/>
      <c r="CE997"/>
      <c r="CF997"/>
      <c r="CG997"/>
      <c r="CH997"/>
      <c r="CI997"/>
      <c r="CJ997"/>
      <c r="CK997"/>
      <c r="CL997"/>
      <c r="CM997"/>
      <c r="CN997"/>
      <c r="CO997"/>
      <c r="CP997"/>
      <c r="CQ997"/>
      <c r="CR997"/>
      <c r="CS997"/>
      <c r="CT997"/>
      <c r="CU997"/>
      <c r="CV997"/>
      <c r="CW997"/>
      <c r="CX997"/>
      <c r="CY997"/>
    </row>
    <row r="998" spans="50:103" ht="20.100000000000001" customHeight="1" x14ac:dyDescent="0.25">
      <c r="AX998"/>
      <c r="AY998"/>
      <c r="AZ998"/>
      <c r="BA998"/>
      <c r="BB998"/>
      <c r="BC998"/>
      <c r="BD998"/>
      <c r="BE998"/>
      <c r="BF998"/>
      <c r="BG998"/>
      <c r="BH998"/>
      <c r="BI998"/>
      <c r="BJ998"/>
      <c r="BK998"/>
      <c r="BL998"/>
      <c r="BM998"/>
      <c r="BN998"/>
      <c r="BO998"/>
      <c r="BP998"/>
      <c r="BQ998"/>
      <c r="BR998"/>
      <c r="BY998"/>
      <c r="BZ998"/>
      <c r="CA998"/>
      <c r="CB998"/>
      <c r="CC998"/>
      <c r="CD998"/>
      <c r="CE998"/>
      <c r="CF998"/>
      <c r="CG998"/>
      <c r="CH998"/>
      <c r="CI998"/>
      <c r="CJ998"/>
      <c r="CK998"/>
      <c r="CL998"/>
      <c r="CM998"/>
      <c r="CN998"/>
      <c r="CO998"/>
      <c r="CP998"/>
      <c r="CQ998"/>
      <c r="CR998"/>
      <c r="CS998"/>
      <c r="CT998"/>
      <c r="CU998"/>
      <c r="CV998"/>
      <c r="CW998"/>
      <c r="CX998"/>
      <c r="CY998"/>
    </row>
    <row r="999" spans="50:103" ht="20.100000000000001" customHeight="1" x14ac:dyDescent="0.25">
      <c r="AX999"/>
      <c r="AY999"/>
      <c r="AZ999"/>
      <c r="BA999"/>
      <c r="BB999"/>
      <c r="BC999"/>
      <c r="BD999"/>
      <c r="BE999"/>
      <c r="BF999"/>
      <c r="BG999"/>
      <c r="BH999"/>
      <c r="BI999"/>
      <c r="BJ999"/>
      <c r="BK999"/>
      <c r="BL999"/>
      <c r="BM999"/>
      <c r="BN999"/>
      <c r="BO999"/>
      <c r="BP999"/>
      <c r="BQ999"/>
      <c r="BR999"/>
      <c r="BY999"/>
      <c r="BZ999"/>
      <c r="CA999"/>
      <c r="CB999"/>
      <c r="CC999"/>
      <c r="CD999"/>
      <c r="CE999"/>
      <c r="CF999"/>
      <c r="CG999"/>
      <c r="CH999"/>
      <c r="CI999"/>
      <c r="CJ999"/>
      <c r="CK999"/>
      <c r="CL999"/>
      <c r="CM999"/>
      <c r="CN999"/>
      <c r="CO999"/>
      <c r="CP999"/>
      <c r="CQ999"/>
      <c r="CR999"/>
      <c r="CS999"/>
      <c r="CT999"/>
      <c r="CU999"/>
      <c r="CV999"/>
      <c r="CW999"/>
      <c r="CX999"/>
      <c r="CY999"/>
    </row>
    <row r="1000" spans="50:103" ht="20.100000000000001" customHeight="1" x14ac:dyDescent="0.25">
      <c r="AX1000"/>
      <c r="AY1000"/>
      <c r="AZ1000"/>
      <c r="BA1000"/>
      <c r="BB1000"/>
      <c r="BC1000"/>
      <c r="BD1000"/>
      <c r="BE1000"/>
      <c r="BF1000"/>
      <c r="BG1000"/>
      <c r="BH1000"/>
      <c r="BI1000"/>
      <c r="BJ1000"/>
      <c r="BK1000"/>
      <c r="BL1000"/>
      <c r="BM1000"/>
      <c r="BN1000"/>
      <c r="BO1000"/>
      <c r="BP1000"/>
      <c r="BQ1000"/>
      <c r="BR1000"/>
      <c r="BY1000"/>
      <c r="BZ1000"/>
      <c r="CA1000"/>
      <c r="CB1000"/>
      <c r="CC1000"/>
      <c r="CD1000"/>
      <c r="CE1000"/>
      <c r="CF1000"/>
      <c r="CG1000"/>
      <c r="CH1000"/>
      <c r="CI1000"/>
      <c r="CJ1000"/>
      <c r="CK1000"/>
      <c r="CL1000"/>
      <c r="CM1000"/>
      <c r="CN1000"/>
      <c r="CO1000"/>
      <c r="CP1000"/>
      <c r="CQ1000"/>
      <c r="CR1000"/>
      <c r="CS1000"/>
      <c r="CT1000"/>
      <c r="CU1000"/>
      <c r="CV1000"/>
      <c r="CW1000"/>
      <c r="CX1000"/>
      <c r="CY1000"/>
    </row>
    <row r="1001" spans="50:103" ht="20.100000000000001" customHeight="1" x14ac:dyDescent="0.25">
      <c r="AX1001"/>
      <c r="AY1001"/>
      <c r="AZ1001"/>
      <c r="BA1001"/>
      <c r="BB1001"/>
      <c r="BC1001"/>
      <c r="BD1001"/>
      <c r="BE1001"/>
      <c r="BF1001"/>
      <c r="BG1001"/>
      <c r="BH1001"/>
      <c r="BI1001"/>
      <c r="BJ1001"/>
      <c r="BK1001"/>
      <c r="BL1001"/>
      <c r="BM1001"/>
      <c r="BN1001"/>
      <c r="BO1001"/>
      <c r="BP1001"/>
      <c r="BQ1001"/>
      <c r="BR1001"/>
      <c r="BY1001"/>
      <c r="BZ1001"/>
      <c r="CA1001"/>
      <c r="CB1001"/>
      <c r="CC1001"/>
      <c r="CD1001"/>
      <c r="CE1001"/>
      <c r="CF1001"/>
      <c r="CG1001"/>
      <c r="CH1001"/>
      <c r="CI1001"/>
      <c r="CJ1001"/>
      <c r="CK1001"/>
      <c r="CL1001"/>
      <c r="CM1001"/>
      <c r="CN1001"/>
      <c r="CO1001"/>
      <c r="CP1001"/>
      <c r="CQ1001"/>
      <c r="CR1001"/>
      <c r="CS1001"/>
      <c r="CT1001"/>
      <c r="CU1001"/>
      <c r="CV1001"/>
      <c r="CW1001"/>
      <c r="CX1001"/>
      <c r="CY1001"/>
    </row>
    <row r="1002" spans="50:103" ht="20.100000000000001" customHeight="1" x14ac:dyDescent="0.25">
      <c r="AX1002"/>
      <c r="AY1002"/>
      <c r="AZ1002"/>
      <c r="BA1002"/>
      <c r="BB1002"/>
      <c r="BC1002"/>
      <c r="BD1002"/>
      <c r="BE1002"/>
      <c r="BF1002"/>
      <c r="BG1002"/>
      <c r="BH1002"/>
      <c r="BI1002"/>
      <c r="BJ1002"/>
      <c r="BK1002"/>
      <c r="BL1002"/>
      <c r="BM1002"/>
      <c r="BN1002"/>
      <c r="BO1002"/>
      <c r="BP1002"/>
      <c r="BQ1002"/>
      <c r="BR1002"/>
      <c r="BY1002"/>
      <c r="BZ1002"/>
      <c r="CA1002"/>
      <c r="CB1002"/>
      <c r="CC1002"/>
      <c r="CD1002"/>
      <c r="CE1002"/>
      <c r="CF1002"/>
      <c r="CG1002"/>
      <c r="CH1002"/>
      <c r="CI1002"/>
      <c r="CJ1002"/>
      <c r="CK1002"/>
      <c r="CL1002"/>
      <c r="CM1002"/>
      <c r="CN1002"/>
      <c r="CO1002"/>
      <c r="CP1002"/>
      <c r="CQ1002"/>
      <c r="CR1002"/>
      <c r="CS1002"/>
      <c r="CT1002"/>
      <c r="CU1002"/>
      <c r="CV1002"/>
      <c r="CW1002"/>
      <c r="CX1002"/>
      <c r="CY1002"/>
    </row>
    <row r="1003" spans="50:103" ht="20.100000000000001" customHeight="1" x14ac:dyDescent="0.25">
      <c r="AX1003"/>
      <c r="AY1003"/>
      <c r="AZ1003"/>
      <c r="BA1003"/>
      <c r="BB1003"/>
      <c r="BC1003"/>
      <c r="BD1003"/>
      <c r="BE1003"/>
      <c r="BF1003"/>
      <c r="BG1003"/>
      <c r="BH1003"/>
      <c r="BI1003"/>
      <c r="BJ1003"/>
      <c r="BK1003"/>
      <c r="BL1003"/>
      <c r="BM1003"/>
      <c r="BN1003"/>
      <c r="BO1003"/>
      <c r="BP1003"/>
      <c r="BQ1003"/>
      <c r="BR1003"/>
      <c r="BY1003"/>
      <c r="BZ1003"/>
      <c r="CA1003"/>
      <c r="CB1003"/>
      <c r="CC1003"/>
      <c r="CD1003"/>
      <c r="CE1003"/>
      <c r="CF1003"/>
      <c r="CG1003"/>
      <c r="CH1003"/>
      <c r="CI1003"/>
      <c r="CJ1003"/>
      <c r="CK1003"/>
      <c r="CL1003"/>
      <c r="CM1003"/>
      <c r="CN1003"/>
      <c r="CO1003"/>
      <c r="CP1003"/>
      <c r="CQ1003"/>
      <c r="CR1003"/>
      <c r="CS1003"/>
      <c r="CT1003"/>
      <c r="CU1003"/>
      <c r="CV1003"/>
      <c r="CW1003"/>
      <c r="CX1003"/>
      <c r="CY1003"/>
    </row>
    <row r="1004" spans="50:103" ht="20.100000000000001" customHeight="1" x14ac:dyDescent="0.25">
      <c r="AX1004"/>
      <c r="AY1004"/>
      <c r="AZ1004"/>
      <c r="BA1004"/>
      <c r="BB1004"/>
      <c r="BC1004"/>
      <c r="BD1004"/>
      <c r="BE1004"/>
      <c r="BF1004"/>
      <c r="BG1004"/>
      <c r="BH1004"/>
      <c r="BI1004"/>
      <c r="BJ1004"/>
      <c r="BK1004"/>
      <c r="BL1004"/>
      <c r="BM1004"/>
      <c r="BN1004"/>
      <c r="BO1004"/>
      <c r="BP1004"/>
      <c r="BQ1004"/>
      <c r="BR1004"/>
      <c r="BY1004"/>
      <c r="BZ1004"/>
      <c r="CA1004"/>
      <c r="CB1004"/>
      <c r="CC1004"/>
      <c r="CD1004"/>
      <c r="CE1004"/>
      <c r="CF1004"/>
      <c r="CG1004"/>
      <c r="CH1004"/>
      <c r="CI1004"/>
      <c r="CJ1004"/>
      <c r="CK1004"/>
      <c r="CL1004"/>
      <c r="CM1004"/>
      <c r="CN1004"/>
      <c r="CO1004"/>
      <c r="CP1004"/>
      <c r="CQ1004"/>
      <c r="CR1004"/>
      <c r="CS1004"/>
      <c r="CT1004"/>
      <c r="CU1004"/>
      <c r="CV1004"/>
      <c r="CW1004"/>
      <c r="CX1004"/>
      <c r="CY1004"/>
    </row>
    <row r="1005" spans="50:103" ht="20.100000000000001" customHeight="1" x14ac:dyDescent="0.25">
      <c r="AX1005"/>
      <c r="AY1005"/>
      <c r="AZ1005"/>
      <c r="BA1005"/>
      <c r="BB1005"/>
      <c r="BC1005"/>
      <c r="BD1005"/>
      <c r="BE1005"/>
      <c r="BF1005"/>
      <c r="BG1005"/>
      <c r="BH1005"/>
      <c r="BI1005"/>
      <c r="BJ1005"/>
      <c r="BK1005"/>
      <c r="BL1005"/>
      <c r="BM1005"/>
      <c r="BN1005"/>
      <c r="BO1005"/>
      <c r="BP1005"/>
      <c r="BQ1005"/>
      <c r="BR1005"/>
      <c r="BY1005"/>
      <c r="BZ1005"/>
      <c r="CA1005"/>
      <c r="CB1005"/>
      <c r="CC1005"/>
      <c r="CD1005"/>
      <c r="CE1005"/>
      <c r="CF1005"/>
      <c r="CG1005"/>
      <c r="CH1005"/>
      <c r="CI1005"/>
      <c r="CJ1005"/>
      <c r="CK1005"/>
      <c r="CL1005"/>
      <c r="CM1005"/>
      <c r="CN1005"/>
      <c r="CO1005"/>
      <c r="CP1005"/>
      <c r="CQ1005"/>
      <c r="CR1005"/>
      <c r="CS1005"/>
      <c r="CT1005"/>
      <c r="CU1005"/>
      <c r="CV1005"/>
      <c r="CW1005"/>
      <c r="CX1005"/>
      <c r="CY1005"/>
    </row>
    <row r="1006" spans="50:103" ht="20.100000000000001" customHeight="1" x14ac:dyDescent="0.25">
      <c r="AX1006"/>
      <c r="AY1006"/>
      <c r="AZ1006"/>
      <c r="BA1006"/>
      <c r="BB1006"/>
      <c r="BC1006"/>
      <c r="BD1006"/>
      <c r="BE1006"/>
      <c r="BF1006"/>
      <c r="BG1006"/>
      <c r="BH1006"/>
      <c r="BI1006"/>
      <c r="BJ1006"/>
      <c r="BK1006"/>
      <c r="BL1006"/>
      <c r="BM1006"/>
      <c r="BN1006"/>
      <c r="BO1006"/>
      <c r="BP1006"/>
      <c r="BQ1006"/>
      <c r="BR1006"/>
      <c r="BY1006"/>
      <c r="BZ1006"/>
      <c r="CA1006"/>
      <c r="CB1006"/>
      <c r="CC1006"/>
      <c r="CD1006"/>
      <c r="CE1006"/>
      <c r="CF1006"/>
      <c r="CG1006"/>
      <c r="CH1006"/>
      <c r="CI1006"/>
      <c r="CJ1006"/>
      <c r="CK1006"/>
      <c r="CL1006"/>
      <c r="CM1006"/>
      <c r="CN1006"/>
      <c r="CO1006"/>
      <c r="CP1006"/>
      <c r="CQ1006"/>
      <c r="CR1006"/>
      <c r="CS1006"/>
      <c r="CT1006"/>
      <c r="CU1006"/>
      <c r="CV1006"/>
      <c r="CW1006"/>
      <c r="CX1006"/>
      <c r="CY1006"/>
    </row>
    <row r="1007" spans="50:103" ht="20.100000000000001" customHeight="1" x14ac:dyDescent="0.25">
      <c r="AX1007"/>
      <c r="AY1007"/>
      <c r="AZ1007"/>
      <c r="BA1007"/>
      <c r="BB1007"/>
      <c r="BC1007"/>
      <c r="BD1007"/>
      <c r="BE1007"/>
      <c r="BF1007"/>
      <c r="BG1007"/>
      <c r="BH1007"/>
      <c r="BI1007"/>
      <c r="BJ1007"/>
      <c r="BK1007"/>
      <c r="BL1007"/>
      <c r="BM1007"/>
      <c r="BN1007"/>
      <c r="BO1007"/>
      <c r="BP1007"/>
      <c r="BQ1007"/>
      <c r="BR1007"/>
      <c r="BY1007"/>
      <c r="BZ1007"/>
      <c r="CA1007"/>
      <c r="CB1007"/>
      <c r="CC1007"/>
      <c r="CD1007"/>
      <c r="CE1007"/>
      <c r="CF1007"/>
      <c r="CG1007"/>
      <c r="CH1007"/>
      <c r="CI1007"/>
      <c r="CJ1007"/>
      <c r="CK1007"/>
      <c r="CL1007"/>
      <c r="CM1007"/>
      <c r="CN1007"/>
      <c r="CO1007"/>
      <c r="CP1007"/>
      <c r="CQ1007"/>
      <c r="CR1007"/>
      <c r="CS1007"/>
      <c r="CT1007"/>
      <c r="CU1007"/>
      <c r="CV1007"/>
      <c r="CW1007"/>
      <c r="CX1007"/>
      <c r="CY1007"/>
    </row>
    <row r="1008" spans="50:103" ht="20.100000000000001" customHeight="1" x14ac:dyDescent="0.25">
      <c r="AX1008"/>
      <c r="AY1008"/>
      <c r="AZ1008"/>
      <c r="BA1008"/>
      <c r="BB1008"/>
      <c r="BC1008"/>
      <c r="BD1008"/>
      <c r="BE1008"/>
      <c r="BF1008"/>
      <c r="BG1008"/>
      <c r="BH1008"/>
      <c r="BI1008"/>
      <c r="BJ1008"/>
      <c r="BK1008"/>
      <c r="BL1008"/>
      <c r="BM1008"/>
      <c r="BN1008"/>
      <c r="BO1008"/>
      <c r="BP1008"/>
      <c r="BQ1008"/>
      <c r="BR1008"/>
      <c r="BY1008"/>
      <c r="BZ1008"/>
      <c r="CA1008"/>
      <c r="CB1008"/>
      <c r="CC1008"/>
      <c r="CD1008"/>
      <c r="CE1008"/>
      <c r="CF1008"/>
      <c r="CG1008"/>
      <c r="CH1008"/>
      <c r="CI1008"/>
      <c r="CJ1008"/>
      <c r="CK1008"/>
      <c r="CL1008"/>
      <c r="CM1008"/>
      <c r="CN1008"/>
      <c r="CO1008"/>
      <c r="CP1008"/>
      <c r="CQ1008"/>
      <c r="CR1008"/>
      <c r="CS1008"/>
      <c r="CT1008"/>
      <c r="CU1008"/>
      <c r="CV1008"/>
      <c r="CW1008"/>
      <c r="CX1008"/>
      <c r="CY1008"/>
    </row>
    <row r="1009" spans="50:103" ht="20.100000000000001" customHeight="1" x14ac:dyDescent="0.25">
      <c r="AX1009"/>
      <c r="AY1009"/>
      <c r="AZ1009"/>
      <c r="BA1009"/>
      <c r="BB1009"/>
      <c r="BC1009"/>
      <c r="BD1009"/>
      <c r="BE1009"/>
      <c r="BF1009"/>
      <c r="BG1009"/>
      <c r="BH1009"/>
      <c r="BI1009"/>
      <c r="BJ1009"/>
      <c r="BK1009"/>
      <c r="BL1009"/>
      <c r="BM1009"/>
      <c r="BN1009"/>
      <c r="BO1009"/>
      <c r="BP1009"/>
      <c r="BQ1009"/>
      <c r="BR1009"/>
      <c r="BY1009"/>
      <c r="BZ1009"/>
      <c r="CA1009"/>
      <c r="CB1009"/>
      <c r="CC1009"/>
      <c r="CD1009"/>
      <c r="CE1009"/>
      <c r="CF1009"/>
      <c r="CG1009"/>
      <c r="CH1009"/>
      <c r="CI1009"/>
      <c r="CJ1009"/>
      <c r="CK1009"/>
      <c r="CL1009"/>
      <c r="CM1009"/>
      <c r="CN1009"/>
      <c r="CO1009"/>
      <c r="CP1009"/>
      <c r="CQ1009"/>
      <c r="CR1009"/>
      <c r="CS1009"/>
      <c r="CT1009"/>
      <c r="CU1009"/>
      <c r="CV1009"/>
      <c r="CW1009"/>
      <c r="CX1009"/>
      <c r="CY1009"/>
    </row>
    <row r="1010" spans="50:103" ht="20.100000000000001" customHeight="1" x14ac:dyDescent="0.25">
      <c r="AX1010"/>
      <c r="AY1010"/>
      <c r="AZ1010"/>
      <c r="BA1010"/>
      <c r="BB1010"/>
      <c r="BC1010"/>
      <c r="BD1010"/>
      <c r="BE1010"/>
      <c r="BF1010"/>
      <c r="BG1010"/>
      <c r="BH1010"/>
      <c r="BI1010"/>
      <c r="BJ1010"/>
      <c r="BK1010"/>
      <c r="BL1010"/>
      <c r="BM1010"/>
      <c r="BN1010"/>
      <c r="BO1010"/>
      <c r="BP1010"/>
      <c r="BQ1010"/>
      <c r="BR1010"/>
      <c r="BY1010"/>
      <c r="BZ1010"/>
      <c r="CA1010"/>
      <c r="CB1010"/>
      <c r="CC1010"/>
      <c r="CD1010"/>
      <c r="CE1010"/>
      <c r="CF1010"/>
      <c r="CG1010"/>
      <c r="CH1010"/>
      <c r="CI1010"/>
      <c r="CJ1010"/>
      <c r="CK1010"/>
      <c r="CL1010"/>
      <c r="CM1010"/>
      <c r="CN1010"/>
      <c r="CO1010"/>
      <c r="CP1010"/>
      <c r="CQ1010"/>
      <c r="CR1010"/>
      <c r="CS1010"/>
      <c r="CT1010"/>
      <c r="CU1010"/>
      <c r="CV1010"/>
      <c r="CW1010"/>
      <c r="CX1010"/>
      <c r="CY1010"/>
    </row>
    <row r="1011" spans="50:103" ht="20.100000000000001" customHeight="1" x14ac:dyDescent="0.25">
      <c r="AX1011"/>
      <c r="AY1011"/>
      <c r="AZ1011"/>
      <c r="BA1011"/>
      <c r="BB1011"/>
      <c r="BC1011"/>
      <c r="BD1011"/>
      <c r="BE1011"/>
      <c r="BF1011"/>
      <c r="BG1011"/>
      <c r="BH1011"/>
      <c r="BI1011"/>
      <c r="BJ1011"/>
      <c r="BK1011"/>
      <c r="BL1011"/>
      <c r="BM1011"/>
      <c r="BN1011"/>
      <c r="BO1011"/>
      <c r="BP1011"/>
      <c r="BQ1011"/>
      <c r="BR1011"/>
      <c r="BY1011"/>
      <c r="BZ1011"/>
      <c r="CA1011"/>
      <c r="CB1011"/>
      <c r="CC1011"/>
      <c r="CD1011"/>
      <c r="CE1011"/>
      <c r="CF1011"/>
      <c r="CG1011"/>
      <c r="CH1011"/>
      <c r="CI1011"/>
      <c r="CJ1011"/>
      <c r="CK1011"/>
      <c r="CL1011"/>
      <c r="CM1011"/>
      <c r="CN1011"/>
      <c r="CO1011"/>
      <c r="CP1011"/>
      <c r="CQ1011"/>
      <c r="CR1011"/>
      <c r="CS1011"/>
      <c r="CT1011"/>
      <c r="CU1011"/>
      <c r="CV1011"/>
      <c r="CW1011"/>
      <c r="CX1011"/>
      <c r="CY1011"/>
    </row>
    <row r="1012" spans="50:103" ht="20.100000000000001" customHeight="1" x14ac:dyDescent="0.25">
      <c r="AX1012"/>
      <c r="AY1012"/>
      <c r="AZ1012"/>
      <c r="BA1012"/>
      <c r="BB1012"/>
      <c r="BC1012"/>
      <c r="BD1012"/>
      <c r="BE1012"/>
      <c r="BF1012"/>
      <c r="BG1012"/>
      <c r="BH1012"/>
      <c r="BI1012"/>
      <c r="BJ1012"/>
      <c r="BK1012"/>
      <c r="BL1012"/>
      <c r="BM1012"/>
      <c r="BN1012"/>
      <c r="BO1012"/>
      <c r="BP1012"/>
      <c r="BQ1012"/>
      <c r="BR1012"/>
      <c r="BY1012"/>
      <c r="BZ1012"/>
      <c r="CA1012"/>
      <c r="CB1012"/>
      <c r="CC1012"/>
      <c r="CD1012"/>
      <c r="CE1012"/>
      <c r="CF1012"/>
      <c r="CG1012"/>
      <c r="CH1012"/>
      <c r="CI1012"/>
      <c r="CJ1012"/>
      <c r="CK1012"/>
      <c r="CL1012"/>
      <c r="CM1012"/>
      <c r="CN1012"/>
      <c r="CO1012"/>
      <c r="CP1012"/>
      <c r="CQ1012"/>
      <c r="CR1012"/>
      <c r="CS1012"/>
      <c r="CT1012"/>
      <c r="CU1012"/>
      <c r="CV1012"/>
      <c r="CW1012"/>
      <c r="CX1012"/>
      <c r="CY1012"/>
    </row>
    <row r="1013" spans="50:103" ht="20.100000000000001" customHeight="1" x14ac:dyDescent="0.25">
      <c r="AX1013"/>
      <c r="AY1013"/>
      <c r="AZ1013"/>
      <c r="BA1013"/>
      <c r="BB1013"/>
      <c r="BC1013"/>
      <c r="BD1013"/>
      <c r="BE1013"/>
      <c r="BF1013"/>
      <c r="BG1013"/>
      <c r="BH1013"/>
      <c r="BI1013"/>
      <c r="BJ1013"/>
      <c r="BK1013"/>
      <c r="BL1013"/>
      <c r="BM1013"/>
      <c r="BN1013"/>
      <c r="BO1013"/>
      <c r="BP1013"/>
      <c r="BQ1013"/>
      <c r="BR1013"/>
      <c r="BY1013"/>
      <c r="BZ1013"/>
      <c r="CA1013"/>
      <c r="CB1013"/>
      <c r="CC1013"/>
      <c r="CD1013"/>
      <c r="CE1013"/>
      <c r="CF1013"/>
      <c r="CG1013"/>
      <c r="CH1013"/>
      <c r="CI1013"/>
      <c r="CJ1013"/>
      <c r="CK1013"/>
      <c r="CL1013"/>
      <c r="CM1013"/>
      <c r="CN1013"/>
      <c r="CO1013"/>
      <c r="CP1013"/>
      <c r="CQ1013"/>
      <c r="CR1013"/>
      <c r="CS1013"/>
      <c r="CT1013"/>
      <c r="CU1013"/>
      <c r="CV1013"/>
      <c r="CW1013"/>
      <c r="CX1013"/>
      <c r="CY1013"/>
    </row>
    <row r="1014" spans="50:103" ht="20.100000000000001" customHeight="1" x14ac:dyDescent="0.25">
      <c r="AX1014"/>
      <c r="AY1014"/>
      <c r="AZ1014"/>
      <c r="BA1014"/>
      <c r="BB1014"/>
      <c r="BC1014"/>
      <c r="BD1014"/>
      <c r="BE1014"/>
      <c r="BF1014"/>
      <c r="BG1014"/>
      <c r="BH1014"/>
      <c r="BI1014"/>
      <c r="BJ1014"/>
      <c r="BK1014"/>
      <c r="BL1014"/>
      <c r="BM1014"/>
      <c r="BN1014"/>
      <c r="BO1014"/>
      <c r="BP1014"/>
      <c r="BQ1014"/>
      <c r="BR1014"/>
      <c r="BY1014"/>
      <c r="BZ1014"/>
      <c r="CA1014"/>
      <c r="CB1014"/>
      <c r="CC1014"/>
      <c r="CD1014"/>
      <c r="CE1014"/>
      <c r="CF1014"/>
      <c r="CG1014"/>
      <c r="CH1014"/>
      <c r="CI1014"/>
      <c r="CJ1014"/>
      <c r="CK1014"/>
      <c r="CL1014"/>
      <c r="CM1014"/>
      <c r="CN1014"/>
      <c r="CO1014"/>
      <c r="CP1014"/>
      <c r="CQ1014"/>
      <c r="CR1014"/>
      <c r="CS1014"/>
      <c r="CT1014"/>
      <c r="CU1014"/>
      <c r="CV1014"/>
      <c r="CW1014"/>
      <c r="CX1014"/>
      <c r="CY1014"/>
    </row>
    <row r="1015" spans="50:103" ht="20.100000000000001" customHeight="1" x14ac:dyDescent="0.25">
      <c r="AX1015"/>
      <c r="AY1015"/>
      <c r="AZ1015"/>
      <c r="BA1015"/>
      <c r="BB1015"/>
      <c r="BC1015"/>
      <c r="BD1015"/>
      <c r="BE1015"/>
      <c r="BF1015"/>
      <c r="BG1015"/>
      <c r="BH1015"/>
      <c r="BI1015"/>
      <c r="BJ1015"/>
      <c r="BK1015"/>
      <c r="BL1015"/>
      <c r="BM1015"/>
      <c r="BN1015"/>
      <c r="BO1015"/>
      <c r="BP1015"/>
      <c r="BQ1015"/>
      <c r="BR1015"/>
      <c r="BY1015"/>
      <c r="BZ1015"/>
      <c r="CA1015"/>
      <c r="CB1015"/>
      <c r="CC1015"/>
      <c r="CD1015"/>
      <c r="CE1015"/>
      <c r="CF1015"/>
      <c r="CG1015"/>
      <c r="CH1015"/>
      <c r="CI1015"/>
      <c r="CJ1015"/>
      <c r="CK1015"/>
      <c r="CL1015"/>
      <c r="CM1015"/>
      <c r="CN1015"/>
      <c r="CO1015"/>
      <c r="CP1015"/>
      <c r="CQ1015"/>
      <c r="CR1015"/>
      <c r="CS1015"/>
      <c r="CT1015"/>
      <c r="CU1015"/>
      <c r="CV1015"/>
      <c r="CW1015"/>
      <c r="CX1015"/>
      <c r="CY1015"/>
    </row>
    <row r="1016" spans="50:103" ht="20.100000000000001" customHeight="1" x14ac:dyDescent="0.25">
      <c r="AX1016"/>
      <c r="AY1016"/>
      <c r="AZ1016"/>
      <c r="BA1016"/>
      <c r="BB1016"/>
      <c r="BC1016"/>
      <c r="BD1016"/>
      <c r="BE1016"/>
      <c r="BF1016"/>
      <c r="BG1016"/>
      <c r="BH1016"/>
      <c r="BI1016"/>
      <c r="BJ1016"/>
      <c r="BK1016"/>
      <c r="BL1016"/>
      <c r="BM1016"/>
      <c r="BN1016"/>
      <c r="BO1016"/>
      <c r="BP1016"/>
      <c r="BQ1016"/>
      <c r="BR1016"/>
      <c r="BY1016"/>
      <c r="BZ1016"/>
      <c r="CA1016"/>
      <c r="CB1016"/>
      <c r="CC1016"/>
      <c r="CD1016"/>
      <c r="CE1016"/>
      <c r="CF1016"/>
      <c r="CG1016"/>
      <c r="CH1016"/>
      <c r="CI1016"/>
      <c r="CJ1016"/>
      <c r="CK1016"/>
      <c r="CL1016"/>
      <c r="CM1016"/>
      <c r="CN1016"/>
      <c r="CO1016"/>
      <c r="CP1016"/>
      <c r="CQ1016"/>
      <c r="CR1016"/>
      <c r="CS1016"/>
      <c r="CT1016"/>
      <c r="CU1016"/>
      <c r="CV1016"/>
      <c r="CW1016"/>
      <c r="CX1016"/>
      <c r="CY1016"/>
    </row>
    <row r="1017" spans="50:103" ht="20.100000000000001" customHeight="1" x14ac:dyDescent="0.25">
      <c r="AX1017"/>
      <c r="AY1017"/>
      <c r="AZ1017"/>
      <c r="BA1017"/>
      <c r="BB1017"/>
      <c r="BC1017"/>
      <c r="BD1017"/>
      <c r="BE1017"/>
      <c r="BF1017"/>
      <c r="BG1017"/>
      <c r="BH1017"/>
      <c r="BI1017"/>
      <c r="BJ1017"/>
      <c r="BK1017"/>
      <c r="BL1017"/>
      <c r="BM1017"/>
      <c r="BN1017"/>
      <c r="BO1017"/>
      <c r="BP1017"/>
      <c r="BQ1017"/>
      <c r="BR1017"/>
      <c r="BY1017"/>
      <c r="BZ1017"/>
      <c r="CA1017"/>
      <c r="CB1017"/>
      <c r="CC1017"/>
      <c r="CD1017"/>
      <c r="CE1017"/>
      <c r="CF1017"/>
      <c r="CG1017"/>
      <c r="CH1017"/>
      <c r="CI1017"/>
      <c r="CJ1017"/>
      <c r="CK1017"/>
      <c r="CL1017"/>
      <c r="CM1017"/>
      <c r="CN1017"/>
      <c r="CO1017"/>
      <c r="CP1017"/>
      <c r="CQ1017"/>
      <c r="CR1017"/>
      <c r="CS1017"/>
      <c r="CT1017"/>
      <c r="CU1017"/>
      <c r="CV1017"/>
      <c r="CW1017"/>
      <c r="CX1017"/>
      <c r="CY1017"/>
    </row>
    <row r="1018" spans="50:103" ht="20.100000000000001" customHeight="1" x14ac:dyDescent="0.25">
      <c r="AX1018"/>
      <c r="AY1018"/>
      <c r="AZ1018"/>
      <c r="BA1018"/>
      <c r="BB1018"/>
      <c r="BC1018"/>
      <c r="BD1018"/>
      <c r="BE1018"/>
      <c r="BF1018"/>
      <c r="BG1018"/>
      <c r="BH1018"/>
      <c r="BI1018"/>
      <c r="BJ1018"/>
      <c r="BK1018"/>
      <c r="BL1018"/>
      <c r="BM1018"/>
      <c r="BN1018"/>
      <c r="BO1018"/>
      <c r="BP1018"/>
      <c r="BQ1018"/>
      <c r="BR1018"/>
      <c r="BY1018"/>
      <c r="BZ1018"/>
      <c r="CA1018"/>
      <c r="CB1018"/>
      <c r="CC1018"/>
      <c r="CD1018"/>
      <c r="CE1018"/>
      <c r="CF1018"/>
      <c r="CG1018"/>
      <c r="CH1018"/>
      <c r="CI1018"/>
      <c r="CJ1018"/>
      <c r="CK1018"/>
      <c r="CL1018"/>
      <c r="CM1018"/>
      <c r="CN1018"/>
      <c r="CO1018"/>
      <c r="CP1018"/>
      <c r="CQ1018"/>
      <c r="CR1018"/>
      <c r="CS1018"/>
      <c r="CT1018"/>
      <c r="CU1018"/>
      <c r="CV1018"/>
      <c r="CW1018"/>
      <c r="CX1018"/>
      <c r="CY1018"/>
    </row>
    <row r="1019" spans="50:103" ht="20.100000000000001" customHeight="1" x14ac:dyDescent="0.25">
      <c r="AX1019"/>
      <c r="AY1019"/>
      <c r="AZ1019"/>
      <c r="BA1019"/>
      <c r="BB1019"/>
      <c r="BC1019"/>
      <c r="BD1019"/>
      <c r="BE1019"/>
      <c r="BF1019"/>
      <c r="BG1019"/>
      <c r="BH1019"/>
      <c r="BI1019"/>
      <c r="BJ1019"/>
      <c r="BK1019"/>
      <c r="BL1019"/>
      <c r="BM1019"/>
      <c r="BN1019"/>
      <c r="BO1019"/>
      <c r="BP1019"/>
      <c r="BQ1019"/>
      <c r="BR1019"/>
      <c r="BY1019"/>
      <c r="BZ1019"/>
      <c r="CA1019"/>
      <c r="CB1019"/>
      <c r="CC1019"/>
      <c r="CD1019"/>
      <c r="CE1019"/>
      <c r="CF1019"/>
      <c r="CG1019"/>
      <c r="CH1019"/>
      <c r="CI1019"/>
      <c r="CJ1019"/>
      <c r="CK1019"/>
      <c r="CL1019"/>
      <c r="CM1019"/>
      <c r="CN1019"/>
      <c r="CO1019"/>
      <c r="CP1019"/>
      <c r="CQ1019"/>
      <c r="CR1019"/>
      <c r="CS1019"/>
      <c r="CT1019"/>
      <c r="CU1019"/>
      <c r="CV1019"/>
      <c r="CW1019"/>
      <c r="CX1019"/>
      <c r="CY1019"/>
    </row>
    <row r="1020" spans="50:103" ht="20.100000000000001" customHeight="1" x14ac:dyDescent="0.25">
      <c r="AX1020"/>
      <c r="AY1020"/>
      <c r="AZ1020"/>
      <c r="BA1020"/>
      <c r="BB1020"/>
      <c r="BC1020"/>
      <c r="BD1020"/>
      <c r="BE1020"/>
      <c r="BF1020"/>
      <c r="BG1020"/>
      <c r="BH1020"/>
      <c r="BI1020"/>
      <c r="BJ1020"/>
      <c r="BK1020"/>
      <c r="BL1020"/>
      <c r="BM1020"/>
      <c r="BN1020"/>
      <c r="BO1020"/>
      <c r="BP1020"/>
      <c r="BQ1020"/>
      <c r="BR1020"/>
      <c r="BY1020"/>
      <c r="BZ1020"/>
      <c r="CA1020"/>
      <c r="CB1020"/>
      <c r="CC1020"/>
      <c r="CD1020"/>
      <c r="CE1020"/>
      <c r="CF1020"/>
      <c r="CG1020"/>
      <c r="CH1020"/>
      <c r="CI1020"/>
      <c r="CJ1020"/>
      <c r="CK1020"/>
      <c r="CL1020"/>
      <c r="CM1020"/>
      <c r="CN1020"/>
      <c r="CO1020"/>
      <c r="CP1020"/>
      <c r="CQ1020"/>
      <c r="CR1020"/>
      <c r="CS1020"/>
      <c r="CT1020"/>
      <c r="CU1020"/>
      <c r="CV1020"/>
      <c r="CW1020"/>
      <c r="CX1020"/>
      <c r="CY1020"/>
    </row>
    <row r="1021" spans="50:103" ht="20.100000000000001" customHeight="1" x14ac:dyDescent="0.25">
      <c r="AX1021"/>
      <c r="AY1021"/>
      <c r="AZ1021"/>
      <c r="BA1021"/>
      <c r="BB1021"/>
      <c r="BC1021"/>
      <c r="BD1021"/>
      <c r="BE1021"/>
      <c r="BF1021"/>
      <c r="BG1021"/>
      <c r="BH1021"/>
      <c r="BI1021"/>
      <c r="BJ1021"/>
      <c r="BK1021"/>
      <c r="BL1021"/>
      <c r="BM1021"/>
      <c r="BN1021"/>
      <c r="BO1021"/>
      <c r="BP1021"/>
      <c r="BQ1021"/>
      <c r="BR1021"/>
      <c r="BY1021"/>
      <c r="BZ1021"/>
      <c r="CA1021"/>
      <c r="CB1021"/>
      <c r="CC1021"/>
      <c r="CD1021"/>
      <c r="CE1021"/>
      <c r="CF1021"/>
      <c r="CG1021"/>
      <c r="CH1021"/>
      <c r="CI1021"/>
      <c r="CJ1021"/>
      <c r="CK1021"/>
      <c r="CL1021"/>
      <c r="CM1021"/>
      <c r="CN1021"/>
      <c r="CO1021"/>
      <c r="CP1021"/>
      <c r="CQ1021"/>
      <c r="CR1021"/>
      <c r="CS1021"/>
      <c r="CT1021"/>
      <c r="CU1021"/>
      <c r="CV1021"/>
      <c r="CW1021"/>
      <c r="CX1021"/>
      <c r="CY1021"/>
    </row>
    <row r="1022" spans="50:103" ht="20.100000000000001" customHeight="1" x14ac:dyDescent="0.25">
      <c r="AX1022"/>
      <c r="AY1022"/>
      <c r="AZ1022"/>
      <c r="BA1022"/>
      <c r="BB1022"/>
      <c r="BC1022"/>
      <c r="BD1022"/>
      <c r="BE1022"/>
      <c r="BF1022"/>
      <c r="BG1022"/>
      <c r="BH1022"/>
      <c r="BI1022"/>
      <c r="BJ1022"/>
      <c r="BK1022"/>
      <c r="BL1022"/>
      <c r="BM1022"/>
      <c r="BN1022"/>
      <c r="BO1022"/>
      <c r="BP1022"/>
      <c r="BQ1022"/>
      <c r="BR1022"/>
      <c r="BY1022"/>
      <c r="BZ1022"/>
      <c r="CA1022"/>
      <c r="CB1022"/>
      <c r="CC1022"/>
      <c r="CD1022"/>
      <c r="CE1022"/>
      <c r="CF1022"/>
      <c r="CG1022"/>
      <c r="CH1022"/>
      <c r="CI1022"/>
      <c r="CJ1022"/>
      <c r="CK1022"/>
      <c r="CL1022"/>
      <c r="CM1022"/>
      <c r="CN1022"/>
      <c r="CO1022"/>
      <c r="CP1022"/>
      <c r="CQ1022"/>
      <c r="CR1022"/>
      <c r="CS1022"/>
      <c r="CT1022"/>
      <c r="CU1022"/>
      <c r="CV1022"/>
      <c r="CW1022"/>
      <c r="CX1022"/>
      <c r="CY1022"/>
    </row>
    <row r="1023" spans="50:103" ht="20.100000000000001" customHeight="1" x14ac:dyDescent="0.25">
      <c r="AX1023"/>
      <c r="AY1023"/>
      <c r="AZ1023"/>
      <c r="BA1023"/>
      <c r="BB1023"/>
      <c r="BC1023"/>
      <c r="BD1023"/>
      <c r="BE1023"/>
      <c r="BF1023"/>
      <c r="BG1023"/>
      <c r="BH1023"/>
      <c r="BI1023"/>
      <c r="BJ1023"/>
      <c r="BK1023"/>
      <c r="BL1023"/>
      <c r="BM1023"/>
      <c r="BN1023"/>
      <c r="BO1023"/>
      <c r="BP1023"/>
      <c r="BQ1023"/>
      <c r="BR1023"/>
      <c r="BY1023"/>
      <c r="BZ1023"/>
      <c r="CA1023"/>
      <c r="CB1023"/>
      <c r="CC1023"/>
      <c r="CD1023"/>
      <c r="CE1023"/>
      <c r="CF1023"/>
      <c r="CG1023"/>
      <c r="CH1023"/>
      <c r="CI1023"/>
      <c r="CJ1023"/>
      <c r="CK1023"/>
      <c r="CL1023"/>
      <c r="CM1023"/>
      <c r="CN1023"/>
      <c r="CO1023"/>
      <c r="CP1023"/>
      <c r="CQ1023"/>
      <c r="CR1023"/>
      <c r="CS1023"/>
      <c r="CT1023"/>
      <c r="CU1023"/>
      <c r="CV1023"/>
      <c r="CW1023"/>
      <c r="CX1023"/>
      <c r="CY1023"/>
    </row>
    <row r="1024" spans="50:103" ht="20.100000000000001" customHeight="1" x14ac:dyDescent="0.25">
      <c r="AX1024"/>
      <c r="AY1024"/>
      <c r="AZ1024"/>
      <c r="BA1024"/>
      <c r="BB1024"/>
      <c r="BC1024"/>
      <c r="BD1024"/>
      <c r="BE1024"/>
      <c r="BF1024"/>
      <c r="BG1024"/>
      <c r="BH1024"/>
      <c r="BI1024"/>
      <c r="BJ1024"/>
      <c r="BK1024"/>
      <c r="BL1024"/>
      <c r="BM1024"/>
      <c r="BN1024"/>
      <c r="BO1024"/>
      <c r="BP1024"/>
      <c r="BQ1024"/>
      <c r="BR1024"/>
      <c r="BY1024"/>
      <c r="BZ1024"/>
      <c r="CA1024"/>
      <c r="CB1024"/>
      <c r="CC1024"/>
      <c r="CD1024"/>
      <c r="CE1024"/>
      <c r="CF1024"/>
      <c r="CG1024"/>
      <c r="CH1024"/>
      <c r="CI1024"/>
      <c r="CJ1024"/>
      <c r="CK1024"/>
      <c r="CL1024"/>
      <c r="CM1024"/>
      <c r="CN1024"/>
      <c r="CO1024"/>
      <c r="CP1024"/>
      <c r="CQ1024"/>
      <c r="CR1024"/>
      <c r="CS1024"/>
      <c r="CT1024"/>
      <c r="CU1024"/>
      <c r="CV1024"/>
      <c r="CW1024"/>
      <c r="CX1024"/>
      <c r="CY1024"/>
    </row>
    <row r="1025" spans="50:103" ht="20.100000000000001" customHeight="1" x14ac:dyDescent="0.25">
      <c r="AX1025"/>
      <c r="AY1025"/>
      <c r="AZ1025"/>
      <c r="BA1025"/>
      <c r="BB1025"/>
      <c r="BC1025"/>
      <c r="BD1025"/>
      <c r="BE1025"/>
      <c r="BF1025"/>
      <c r="BG1025"/>
      <c r="BH1025"/>
      <c r="BI1025"/>
      <c r="BJ1025"/>
      <c r="BK1025"/>
      <c r="BL1025"/>
      <c r="BM1025"/>
      <c r="BN1025"/>
      <c r="BO1025"/>
      <c r="BP1025"/>
      <c r="BQ1025"/>
      <c r="BR1025"/>
      <c r="BY1025"/>
      <c r="BZ1025"/>
      <c r="CA1025"/>
      <c r="CB1025"/>
      <c r="CC1025"/>
      <c r="CD1025"/>
      <c r="CE1025"/>
      <c r="CF1025"/>
      <c r="CG1025"/>
      <c r="CH1025"/>
      <c r="CI1025"/>
      <c r="CJ1025"/>
      <c r="CK1025"/>
      <c r="CL1025"/>
      <c r="CM1025"/>
      <c r="CN1025"/>
      <c r="CO1025"/>
      <c r="CP1025"/>
      <c r="CQ1025"/>
      <c r="CR1025"/>
      <c r="CS1025"/>
      <c r="CT1025"/>
      <c r="CU1025"/>
      <c r="CV1025"/>
      <c r="CW1025"/>
      <c r="CX1025"/>
      <c r="CY1025"/>
    </row>
    <row r="1026" spans="50:103" ht="20.100000000000001" customHeight="1" x14ac:dyDescent="0.25">
      <c r="AX1026"/>
      <c r="AY1026"/>
      <c r="AZ1026"/>
      <c r="BA1026"/>
      <c r="BB1026"/>
      <c r="BC1026"/>
      <c r="BD1026"/>
      <c r="BE1026"/>
      <c r="BF1026"/>
      <c r="BG1026"/>
      <c r="BH1026"/>
      <c r="BI1026"/>
      <c r="BJ1026"/>
      <c r="BK1026"/>
      <c r="BL1026"/>
      <c r="BM1026"/>
      <c r="BN1026"/>
      <c r="BO1026"/>
      <c r="BP1026"/>
      <c r="BQ1026"/>
      <c r="BR1026"/>
      <c r="BY1026"/>
      <c r="BZ1026"/>
      <c r="CA1026"/>
      <c r="CB1026"/>
      <c r="CC1026"/>
      <c r="CD1026"/>
      <c r="CE1026"/>
      <c r="CF1026"/>
      <c r="CG1026"/>
      <c r="CH1026"/>
      <c r="CI1026"/>
      <c r="CJ1026"/>
      <c r="CK1026"/>
      <c r="CL1026"/>
      <c r="CM1026"/>
      <c r="CN1026"/>
      <c r="CO1026"/>
      <c r="CP1026"/>
      <c r="CQ1026"/>
      <c r="CR1026"/>
      <c r="CS1026"/>
      <c r="CT1026"/>
      <c r="CU1026"/>
      <c r="CV1026"/>
      <c r="CW1026"/>
      <c r="CX1026"/>
      <c r="CY1026"/>
    </row>
    <row r="1027" spans="50:103" ht="20.100000000000001" customHeight="1" x14ac:dyDescent="0.25">
      <c r="AX1027"/>
      <c r="AY1027"/>
      <c r="AZ1027"/>
      <c r="BA1027"/>
      <c r="BB1027"/>
      <c r="BC1027"/>
      <c r="BD1027"/>
      <c r="BE1027"/>
      <c r="BF1027"/>
      <c r="BG1027"/>
      <c r="BH1027"/>
      <c r="BI1027"/>
      <c r="BJ1027"/>
      <c r="BK1027"/>
      <c r="BL1027"/>
      <c r="BM1027"/>
      <c r="BN1027"/>
      <c r="BO1027"/>
      <c r="BP1027"/>
      <c r="BQ1027"/>
      <c r="BR1027"/>
      <c r="BY1027"/>
      <c r="BZ1027"/>
      <c r="CA1027"/>
      <c r="CB1027"/>
      <c r="CC1027"/>
      <c r="CD1027"/>
      <c r="CE1027"/>
      <c r="CF1027"/>
      <c r="CG1027"/>
      <c r="CH1027"/>
      <c r="CI1027"/>
      <c r="CJ1027"/>
      <c r="CK1027"/>
      <c r="CL1027"/>
      <c r="CM1027"/>
      <c r="CN1027"/>
      <c r="CO1027"/>
      <c r="CP1027"/>
      <c r="CQ1027"/>
      <c r="CR1027"/>
      <c r="CS1027"/>
      <c r="CT1027"/>
      <c r="CU1027"/>
      <c r="CV1027"/>
      <c r="CW1027"/>
      <c r="CX1027"/>
      <c r="CY1027"/>
    </row>
    <row r="1028" spans="50:103" ht="20.100000000000001" customHeight="1" x14ac:dyDescent="0.25">
      <c r="AX1028"/>
      <c r="AY1028"/>
      <c r="AZ1028"/>
      <c r="BA1028"/>
      <c r="BB1028"/>
      <c r="BC1028"/>
      <c r="BD1028"/>
      <c r="BE1028"/>
      <c r="BF1028"/>
      <c r="BG1028"/>
      <c r="BH1028"/>
      <c r="BI1028"/>
      <c r="BJ1028"/>
      <c r="BK1028"/>
      <c r="BL1028"/>
      <c r="BM1028"/>
      <c r="BN1028"/>
      <c r="BO1028"/>
      <c r="BP1028"/>
      <c r="BQ1028"/>
      <c r="BR1028"/>
      <c r="BY1028"/>
      <c r="BZ1028"/>
      <c r="CA1028"/>
      <c r="CB1028"/>
      <c r="CC1028"/>
      <c r="CD1028"/>
      <c r="CE1028"/>
      <c r="CF1028"/>
      <c r="CG1028"/>
      <c r="CH1028"/>
      <c r="CI1028"/>
      <c r="CJ1028"/>
      <c r="CK1028"/>
      <c r="CL1028"/>
      <c r="CM1028"/>
      <c r="CN1028"/>
      <c r="CO1028"/>
      <c r="CP1028"/>
      <c r="CQ1028"/>
      <c r="CR1028"/>
      <c r="CS1028"/>
      <c r="CT1028"/>
      <c r="CU1028"/>
      <c r="CV1028"/>
      <c r="CW1028"/>
      <c r="CX1028"/>
      <c r="CY1028"/>
    </row>
    <row r="1029" spans="50:103" ht="20.100000000000001" customHeight="1" x14ac:dyDescent="0.25">
      <c r="AX1029"/>
      <c r="AY1029"/>
      <c r="AZ1029"/>
      <c r="BA1029"/>
      <c r="BB1029"/>
      <c r="BC1029"/>
      <c r="BD1029"/>
      <c r="BE1029"/>
      <c r="BF1029"/>
      <c r="BG1029"/>
      <c r="BH1029"/>
      <c r="BI1029"/>
      <c r="BJ1029"/>
      <c r="BK1029"/>
      <c r="BL1029"/>
      <c r="BM1029"/>
      <c r="BN1029"/>
      <c r="BO1029"/>
      <c r="BP1029"/>
      <c r="BQ1029"/>
      <c r="BR1029"/>
      <c r="BY1029"/>
      <c r="BZ1029"/>
      <c r="CA1029"/>
      <c r="CB1029"/>
      <c r="CC1029"/>
      <c r="CD1029"/>
      <c r="CE1029"/>
      <c r="CF1029"/>
      <c r="CG1029"/>
      <c r="CH1029"/>
      <c r="CI1029"/>
      <c r="CJ1029"/>
      <c r="CK1029"/>
      <c r="CL1029"/>
      <c r="CM1029"/>
      <c r="CN1029"/>
      <c r="CO1029"/>
      <c r="CP1029"/>
      <c r="CQ1029"/>
      <c r="CR1029"/>
      <c r="CS1029"/>
      <c r="CT1029"/>
      <c r="CU1029"/>
      <c r="CV1029"/>
      <c r="CW1029"/>
      <c r="CX1029"/>
      <c r="CY1029"/>
    </row>
    <row r="1030" spans="50:103" ht="20.100000000000001" customHeight="1" x14ac:dyDescent="0.25">
      <c r="AX1030"/>
      <c r="AY1030"/>
      <c r="AZ1030"/>
      <c r="BA1030"/>
      <c r="BB1030"/>
      <c r="BC1030"/>
      <c r="BD1030"/>
      <c r="BE1030"/>
      <c r="BF1030"/>
      <c r="BG1030"/>
      <c r="BH1030"/>
      <c r="BI1030"/>
      <c r="BJ1030"/>
      <c r="BK1030"/>
      <c r="BL1030"/>
      <c r="BM1030"/>
      <c r="BN1030"/>
      <c r="BO1030"/>
      <c r="BP1030"/>
      <c r="BQ1030"/>
      <c r="BR1030"/>
      <c r="BY1030"/>
      <c r="BZ1030"/>
      <c r="CA1030"/>
      <c r="CB1030"/>
      <c r="CC1030"/>
      <c r="CD1030"/>
      <c r="CE1030"/>
      <c r="CF1030"/>
      <c r="CG1030"/>
      <c r="CH1030"/>
      <c r="CI1030"/>
      <c r="CJ1030"/>
      <c r="CK1030"/>
      <c r="CL1030"/>
      <c r="CM1030"/>
      <c r="CN1030"/>
      <c r="CO1030"/>
      <c r="CP1030"/>
      <c r="CQ1030"/>
      <c r="CR1030"/>
      <c r="CS1030"/>
      <c r="CT1030"/>
      <c r="CU1030"/>
      <c r="CV1030"/>
      <c r="CW1030"/>
      <c r="CX1030"/>
      <c r="CY1030"/>
    </row>
    <row r="1031" spans="50:103" ht="20.100000000000001" customHeight="1" x14ac:dyDescent="0.25">
      <c r="AX1031"/>
      <c r="AY1031"/>
      <c r="AZ1031"/>
      <c r="BA1031"/>
      <c r="BB1031"/>
      <c r="BC1031"/>
      <c r="BD1031"/>
      <c r="BE1031"/>
      <c r="BF1031"/>
      <c r="BG1031"/>
      <c r="BH1031"/>
      <c r="BI1031"/>
      <c r="BJ1031"/>
      <c r="BK1031"/>
      <c r="BL1031"/>
      <c r="BM1031"/>
      <c r="BN1031"/>
      <c r="BO1031"/>
      <c r="BP1031"/>
      <c r="BQ1031"/>
      <c r="BR1031"/>
      <c r="BY1031"/>
      <c r="BZ1031"/>
      <c r="CA1031"/>
      <c r="CB1031"/>
      <c r="CC1031"/>
      <c r="CD1031"/>
      <c r="CE1031"/>
      <c r="CF1031"/>
      <c r="CG1031"/>
      <c r="CH1031"/>
      <c r="CI1031"/>
      <c r="CJ1031"/>
      <c r="CK1031"/>
      <c r="CL1031"/>
      <c r="CM1031"/>
      <c r="CN1031"/>
      <c r="CO1031"/>
      <c r="CP1031"/>
      <c r="CQ1031"/>
      <c r="CR1031"/>
      <c r="CS1031"/>
      <c r="CT1031"/>
      <c r="CU1031"/>
      <c r="CV1031"/>
      <c r="CW1031"/>
      <c r="CX1031"/>
      <c r="CY1031"/>
    </row>
    <row r="1032" spans="50:103" ht="20.100000000000001" customHeight="1" x14ac:dyDescent="0.25">
      <c r="AX1032"/>
      <c r="AY1032"/>
      <c r="AZ1032"/>
      <c r="BA1032"/>
      <c r="BB1032"/>
      <c r="BC1032"/>
      <c r="BD1032"/>
      <c r="BE1032"/>
      <c r="BF1032"/>
      <c r="BG1032"/>
      <c r="BH1032"/>
      <c r="BI1032"/>
      <c r="BJ1032"/>
      <c r="BK1032"/>
      <c r="BL1032"/>
      <c r="BM1032"/>
      <c r="BN1032"/>
      <c r="BO1032"/>
      <c r="BP1032"/>
      <c r="BQ1032"/>
      <c r="BR1032"/>
      <c r="BY1032"/>
      <c r="BZ1032"/>
      <c r="CA1032"/>
      <c r="CB1032"/>
      <c r="CC1032"/>
      <c r="CD1032"/>
      <c r="CE1032"/>
      <c r="CF1032"/>
      <c r="CG1032"/>
      <c r="CH1032"/>
      <c r="CI1032"/>
      <c r="CJ1032"/>
      <c r="CK1032"/>
      <c r="CL1032"/>
      <c r="CM1032"/>
      <c r="CN1032"/>
      <c r="CO1032"/>
      <c r="CP1032"/>
      <c r="CQ1032"/>
      <c r="CR1032"/>
      <c r="CS1032"/>
      <c r="CT1032"/>
      <c r="CU1032"/>
      <c r="CV1032"/>
      <c r="CW1032"/>
      <c r="CX1032"/>
      <c r="CY1032"/>
    </row>
    <row r="1033" spans="50:103" ht="20.100000000000001" customHeight="1" x14ac:dyDescent="0.25">
      <c r="AX1033"/>
      <c r="AY1033"/>
      <c r="AZ1033"/>
      <c r="BA1033"/>
      <c r="BB1033"/>
      <c r="BC1033"/>
      <c r="BD1033"/>
      <c r="BE1033"/>
      <c r="BF1033"/>
      <c r="BG1033"/>
      <c r="BH1033"/>
      <c r="BI1033"/>
      <c r="BJ1033"/>
      <c r="BK1033"/>
      <c r="BL1033"/>
      <c r="BM1033"/>
      <c r="BN1033"/>
      <c r="BO1033"/>
      <c r="BP1033"/>
      <c r="BQ1033"/>
      <c r="BR1033"/>
      <c r="BY1033"/>
      <c r="BZ1033"/>
      <c r="CA1033"/>
      <c r="CB1033"/>
      <c r="CC1033"/>
      <c r="CD1033"/>
      <c r="CE1033"/>
      <c r="CF1033"/>
      <c r="CG1033"/>
      <c r="CH1033"/>
      <c r="CI1033"/>
      <c r="CJ1033"/>
      <c r="CK1033"/>
      <c r="CL1033"/>
      <c r="CM1033"/>
      <c r="CN1033"/>
      <c r="CO1033"/>
      <c r="CP1033"/>
      <c r="CQ1033"/>
      <c r="CR1033"/>
      <c r="CS1033"/>
      <c r="CT1033"/>
      <c r="CU1033"/>
      <c r="CV1033"/>
      <c r="CW1033"/>
      <c r="CX1033"/>
      <c r="CY1033"/>
    </row>
    <row r="1034" spans="50:103" ht="20.100000000000001" customHeight="1" x14ac:dyDescent="0.25">
      <c r="AX1034"/>
      <c r="AY1034"/>
      <c r="AZ1034"/>
      <c r="BA1034"/>
      <c r="BB1034"/>
      <c r="BC1034"/>
      <c r="BD1034"/>
      <c r="BE1034"/>
      <c r="BF1034"/>
      <c r="BG1034"/>
      <c r="BH1034"/>
      <c r="BI1034"/>
      <c r="BJ1034"/>
      <c r="BK1034"/>
      <c r="BL1034"/>
      <c r="BM1034"/>
      <c r="BN1034"/>
      <c r="BO1034"/>
      <c r="BP1034"/>
      <c r="BQ1034"/>
      <c r="BR1034"/>
      <c r="BY1034"/>
      <c r="BZ1034"/>
      <c r="CA1034"/>
      <c r="CB1034"/>
      <c r="CC1034"/>
      <c r="CD1034"/>
      <c r="CE1034"/>
      <c r="CF1034"/>
      <c r="CG1034"/>
      <c r="CH1034"/>
      <c r="CI1034"/>
      <c r="CJ1034"/>
      <c r="CK1034"/>
      <c r="CL1034"/>
      <c r="CM1034"/>
      <c r="CN1034"/>
      <c r="CO1034"/>
      <c r="CP1034"/>
      <c r="CQ1034"/>
      <c r="CR1034"/>
      <c r="CS1034"/>
      <c r="CT1034"/>
      <c r="CU1034"/>
      <c r="CV1034"/>
      <c r="CW1034"/>
      <c r="CX1034"/>
      <c r="CY1034"/>
    </row>
    <row r="1035" spans="50:103" ht="20.100000000000001" customHeight="1" x14ac:dyDescent="0.25">
      <c r="AX1035"/>
      <c r="AY1035"/>
      <c r="AZ1035"/>
      <c r="BA1035"/>
      <c r="BB1035"/>
      <c r="BC1035"/>
      <c r="BD1035"/>
      <c r="BE1035"/>
      <c r="BF1035"/>
      <c r="BG1035"/>
      <c r="BH1035"/>
      <c r="BI1035"/>
      <c r="BJ1035"/>
      <c r="BK1035"/>
      <c r="BL1035"/>
      <c r="BM1035"/>
      <c r="BN1035"/>
      <c r="BO1035"/>
      <c r="BP1035"/>
      <c r="BQ1035"/>
      <c r="BR1035"/>
      <c r="BY1035"/>
      <c r="BZ1035"/>
      <c r="CA1035"/>
      <c r="CB1035"/>
      <c r="CC1035"/>
      <c r="CD1035"/>
      <c r="CE1035"/>
      <c r="CF1035"/>
      <c r="CG1035"/>
      <c r="CH1035"/>
      <c r="CI1035"/>
      <c r="CJ1035"/>
      <c r="CK1035"/>
      <c r="CL1035"/>
      <c r="CM1035"/>
      <c r="CN1035"/>
      <c r="CO1035"/>
      <c r="CP1035"/>
      <c r="CQ1035"/>
      <c r="CR1035"/>
      <c r="CS1035"/>
      <c r="CT1035"/>
      <c r="CU1035"/>
      <c r="CV1035"/>
      <c r="CW1035"/>
      <c r="CX1035"/>
      <c r="CY1035"/>
    </row>
    <row r="1036" spans="50:103" ht="20.100000000000001" customHeight="1" x14ac:dyDescent="0.25">
      <c r="AX1036"/>
      <c r="AY1036"/>
      <c r="AZ1036"/>
      <c r="BA1036"/>
      <c r="BB1036"/>
      <c r="BC1036"/>
      <c r="BD1036"/>
      <c r="BE1036"/>
      <c r="BF1036"/>
      <c r="BG1036"/>
      <c r="BH1036"/>
      <c r="BI1036"/>
      <c r="BJ1036"/>
      <c r="BK1036"/>
      <c r="BL1036"/>
      <c r="BM1036"/>
      <c r="BN1036"/>
      <c r="BO1036"/>
      <c r="BP1036"/>
      <c r="BQ1036"/>
      <c r="BR1036"/>
      <c r="BY1036"/>
      <c r="BZ1036"/>
      <c r="CA1036"/>
      <c r="CB1036"/>
      <c r="CC1036"/>
      <c r="CD1036"/>
      <c r="CE1036"/>
      <c r="CF1036"/>
      <c r="CG1036"/>
      <c r="CH1036"/>
      <c r="CI1036"/>
      <c r="CJ1036"/>
      <c r="CK1036"/>
      <c r="CL1036"/>
      <c r="CM1036"/>
      <c r="CN1036"/>
      <c r="CO1036"/>
      <c r="CP1036"/>
      <c r="CQ1036"/>
      <c r="CR1036"/>
      <c r="CS1036"/>
      <c r="CT1036"/>
      <c r="CU1036"/>
      <c r="CV1036"/>
      <c r="CW1036"/>
      <c r="CX1036"/>
      <c r="CY1036"/>
    </row>
    <row r="1037" spans="50:103" ht="20.100000000000001" customHeight="1" x14ac:dyDescent="0.25">
      <c r="AX1037"/>
      <c r="AY1037"/>
      <c r="AZ1037"/>
      <c r="BA1037"/>
      <c r="BB1037"/>
      <c r="BC1037"/>
      <c r="BD1037"/>
      <c r="BE1037"/>
      <c r="BF1037"/>
      <c r="BG1037"/>
      <c r="BH1037"/>
      <c r="BI1037"/>
      <c r="BJ1037"/>
      <c r="BK1037"/>
      <c r="BL1037"/>
      <c r="BM1037"/>
      <c r="BN1037"/>
      <c r="BO1037"/>
      <c r="BP1037"/>
      <c r="BQ1037"/>
      <c r="BR1037"/>
      <c r="BY1037"/>
      <c r="BZ1037"/>
      <c r="CA1037"/>
      <c r="CB1037"/>
      <c r="CC1037"/>
      <c r="CD1037"/>
      <c r="CE1037"/>
      <c r="CF1037"/>
      <c r="CG1037"/>
      <c r="CH1037"/>
      <c r="CI1037"/>
      <c r="CJ1037"/>
      <c r="CK1037"/>
      <c r="CL1037"/>
      <c r="CM1037"/>
      <c r="CN1037"/>
      <c r="CO1037"/>
      <c r="CP1037"/>
      <c r="CQ1037"/>
      <c r="CR1037"/>
      <c r="CS1037"/>
      <c r="CT1037"/>
      <c r="CU1037"/>
      <c r="CV1037"/>
      <c r="CW1037"/>
      <c r="CX1037"/>
      <c r="CY1037"/>
    </row>
    <row r="1038" spans="50:103" ht="20.100000000000001" customHeight="1" x14ac:dyDescent="0.25">
      <c r="AX1038"/>
      <c r="AY1038"/>
      <c r="AZ1038"/>
      <c r="BA1038"/>
      <c r="BB1038"/>
      <c r="BC1038"/>
      <c r="BD1038"/>
      <c r="BE1038"/>
      <c r="BF1038"/>
      <c r="BG1038"/>
      <c r="BH1038"/>
      <c r="BI1038"/>
      <c r="BJ1038"/>
      <c r="BK1038"/>
      <c r="BL1038"/>
      <c r="BM1038"/>
      <c r="BN1038"/>
      <c r="BO1038"/>
      <c r="BP1038"/>
      <c r="BQ1038"/>
      <c r="BR1038"/>
      <c r="BY1038"/>
      <c r="BZ1038"/>
      <c r="CA1038"/>
      <c r="CB1038"/>
      <c r="CC1038"/>
      <c r="CD1038"/>
      <c r="CE1038"/>
      <c r="CF1038"/>
      <c r="CG1038"/>
      <c r="CH1038"/>
      <c r="CI1038"/>
      <c r="CJ1038"/>
      <c r="CK1038"/>
      <c r="CL1038"/>
      <c r="CM1038"/>
      <c r="CN1038"/>
      <c r="CO1038"/>
      <c r="CP1038"/>
      <c r="CQ1038"/>
      <c r="CR1038"/>
      <c r="CS1038"/>
      <c r="CT1038"/>
      <c r="CU1038"/>
      <c r="CV1038"/>
      <c r="CW1038"/>
      <c r="CX1038"/>
      <c r="CY1038"/>
    </row>
    <row r="1039" spans="50:103" ht="20.100000000000001" customHeight="1" x14ac:dyDescent="0.25">
      <c r="AX1039"/>
      <c r="AY1039"/>
      <c r="AZ1039"/>
      <c r="BA1039"/>
      <c r="BB1039"/>
      <c r="BC1039"/>
      <c r="BD1039"/>
      <c r="BE1039"/>
      <c r="BF1039"/>
      <c r="BG1039"/>
      <c r="BH1039"/>
      <c r="BI1039"/>
      <c r="BJ1039"/>
      <c r="BK1039"/>
      <c r="BL1039"/>
      <c r="BM1039"/>
      <c r="BN1039"/>
      <c r="BO1039"/>
      <c r="BP1039"/>
      <c r="BQ1039"/>
      <c r="BR1039"/>
      <c r="BY1039"/>
      <c r="BZ1039"/>
      <c r="CA1039"/>
      <c r="CB1039"/>
      <c r="CC1039"/>
      <c r="CD1039"/>
      <c r="CE1039"/>
      <c r="CF1039"/>
      <c r="CG1039"/>
      <c r="CH1039"/>
      <c r="CI1039"/>
      <c r="CJ1039"/>
      <c r="CK1039"/>
      <c r="CL1039"/>
      <c r="CM1039"/>
      <c r="CN1039"/>
      <c r="CO1039"/>
      <c r="CP1039"/>
      <c r="CQ1039"/>
      <c r="CR1039"/>
      <c r="CS1039"/>
      <c r="CT1039"/>
      <c r="CU1039"/>
      <c r="CV1039"/>
      <c r="CW1039"/>
      <c r="CX1039"/>
      <c r="CY1039"/>
    </row>
    <row r="1040" spans="50:103" ht="20.100000000000001" customHeight="1" x14ac:dyDescent="0.25">
      <c r="AX1040"/>
      <c r="AY1040"/>
      <c r="AZ1040"/>
      <c r="BA1040"/>
      <c r="BB1040"/>
      <c r="BC1040"/>
      <c r="BD1040"/>
      <c r="BE1040"/>
      <c r="BF1040"/>
      <c r="BG1040"/>
      <c r="BH1040"/>
      <c r="BI1040"/>
      <c r="BJ1040"/>
      <c r="BK1040"/>
      <c r="BL1040"/>
      <c r="BM1040"/>
      <c r="BN1040"/>
      <c r="BO1040"/>
      <c r="BP1040"/>
      <c r="BQ1040"/>
      <c r="BR1040"/>
      <c r="BY1040"/>
      <c r="BZ1040"/>
      <c r="CA1040"/>
      <c r="CB1040"/>
      <c r="CC1040"/>
      <c r="CD1040"/>
      <c r="CE1040"/>
      <c r="CF1040"/>
      <c r="CG1040"/>
      <c r="CH1040"/>
      <c r="CI1040"/>
      <c r="CJ1040"/>
      <c r="CK1040"/>
      <c r="CL1040"/>
      <c r="CM1040"/>
      <c r="CN1040"/>
      <c r="CO1040"/>
      <c r="CP1040"/>
      <c r="CQ1040"/>
      <c r="CR1040"/>
      <c r="CS1040"/>
      <c r="CT1040"/>
      <c r="CU1040"/>
      <c r="CV1040"/>
      <c r="CW1040"/>
      <c r="CX1040"/>
      <c r="CY1040"/>
    </row>
    <row r="1041" spans="50:103" ht="20.100000000000001" customHeight="1" x14ac:dyDescent="0.25">
      <c r="AX1041"/>
      <c r="AY1041"/>
      <c r="AZ1041"/>
      <c r="BA1041"/>
      <c r="BB1041"/>
      <c r="BC1041"/>
      <c r="BD1041"/>
      <c r="BE1041"/>
      <c r="BF1041"/>
      <c r="BG1041"/>
      <c r="BH1041"/>
      <c r="BI1041"/>
      <c r="BJ1041"/>
      <c r="BK1041"/>
      <c r="BL1041"/>
      <c r="BM1041"/>
      <c r="BN1041"/>
      <c r="BO1041"/>
      <c r="BP1041"/>
      <c r="BQ1041"/>
      <c r="BR1041"/>
      <c r="BY1041"/>
      <c r="BZ1041"/>
      <c r="CA1041"/>
      <c r="CB1041"/>
      <c r="CC1041"/>
      <c r="CD1041"/>
      <c r="CE1041"/>
      <c r="CF1041"/>
      <c r="CG1041"/>
      <c r="CH1041"/>
      <c r="CI1041"/>
      <c r="CJ1041"/>
      <c r="CK1041"/>
      <c r="CL1041"/>
      <c r="CM1041"/>
      <c r="CN1041"/>
      <c r="CO1041"/>
      <c r="CP1041"/>
      <c r="CQ1041"/>
      <c r="CR1041"/>
      <c r="CS1041"/>
      <c r="CT1041"/>
      <c r="CU1041"/>
      <c r="CV1041"/>
      <c r="CW1041"/>
      <c r="CX1041"/>
      <c r="CY1041"/>
    </row>
    <row r="1042" spans="50:103" ht="20.100000000000001" customHeight="1" x14ac:dyDescent="0.25">
      <c r="AX1042"/>
      <c r="AY1042"/>
      <c r="AZ1042"/>
      <c r="BA1042"/>
      <c r="BB1042"/>
      <c r="BC1042"/>
      <c r="BD1042"/>
      <c r="BE1042"/>
      <c r="BF1042"/>
      <c r="BG1042"/>
      <c r="BH1042"/>
      <c r="BI1042"/>
      <c r="BJ1042"/>
      <c r="BK1042"/>
      <c r="BL1042"/>
      <c r="BM1042"/>
      <c r="BN1042"/>
      <c r="BO1042"/>
      <c r="BP1042"/>
      <c r="BQ1042"/>
      <c r="BR1042"/>
      <c r="BY1042"/>
      <c r="BZ1042"/>
      <c r="CA1042"/>
      <c r="CB1042"/>
      <c r="CC1042"/>
      <c r="CD1042"/>
      <c r="CE1042"/>
      <c r="CF1042"/>
      <c r="CG1042"/>
      <c r="CH1042"/>
      <c r="CI1042"/>
      <c r="CJ1042"/>
      <c r="CK1042"/>
      <c r="CL1042"/>
      <c r="CM1042"/>
      <c r="CN1042"/>
      <c r="CO1042"/>
      <c r="CP1042"/>
      <c r="CQ1042"/>
      <c r="CR1042"/>
      <c r="CS1042"/>
      <c r="CT1042"/>
      <c r="CU1042"/>
      <c r="CV1042"/>
      <c r="CW1042"/>
      <c r="CX1042"/>
      <c r="CY1042"/>
    </row>
    <row r="1043" spans="50:103" ht="20.100000000000001" customHeight="1" x14ac:dyDescent="0.25">
      <c r="AX1043"/>
      <c r="AY1043"/>
      <c r="AZ1043"/>
      <c r="BA1043"/>
      <c r="BB1043"/>
      <c r="BC1043"/>
      <c r="BD1043"/>
      <c r="BE1043"/>
      <c r="BF1043"/>
      <c r="BG1043"/>
      <c r="BH1043"/>
      <c r="BI1043"/>
      <c r="BJ1043"/>
      <c r="BK1043"/>
      <c r="BL1043"/>
      <c r="BM1043"/>
      <c r="BN1043"/>
      <c r="BO1043"/>
      <c r="BP1043"/>
      <c r="BQ1043"/>
      <c r="BR1043"/>
      <c r="BY1043"/>
      <c r="BZ1043"/>
      <c r="CA1043"/>
      <c r="CB1043"/>
      <c r="CC1043"/>
      <c r="CD1043"/>
      <c r="CE1043"/>
      <c r="CF1043"/>
      <c r="CG1043"/>
      <c r="CH1043"/>
      <c r="CI1043"/>
      <c r="CJ1043"/>
      <c r="CK1043"/>
      <c r="CL1043"/>
      <c r="CM1043"/>
      <c r="CN1043"/>
      <c r="CO1043"/>
      <c r="CP1043"/>
      <c r="CQ1043"/>
      <c r="CR1043"/>
      <c r="CS1043"/>
      <c r="CT1043"/>
      <c r="CU1043"/>
      <c r="CV1043"/>
      <c r="CW1043"/>
      <c r="CX1043"/>
      <c r="CY1043"/>
    </row>
    <row r="1044" spans="50:103" ht="20.100000000000001" customHeight="1" x14ac:dyDescent="0.25">
      <c r="AX1044"/>
      <c r="AY1044"/>
      <c r="AZ1044"/>
      <c r="BA1044"/>
      <c r="BB1044"/>
      <c r="BC1044"/>
      <c r="BD1044"/>
      <c r="BE1044"/>
      <c r="BF1044"/>
      <c r="BG1044"/>
      <c r="BH1044"/>
      <c r="BI1044"/>
      <c r="BJ1044"/>
      <c r="BK1044"/>
      <c r="BL1044"/>
      <c r="BM1044"/>
      <c r="BN1044"/>
      <c r="BO1044"/>
      <c r="BP1044"/>
      <c r="BQ1044"/>
      <c r="BR1044"/>
      <c r="BY1044"/>
      <c r="BZ1044"/>
      <c r="CA1044"/>
      <c r="CB1044"/>
      <c r="CC1044"/>
      <c r="CD1044"/>
      <c r="CE1044"/>
      <c r="CF1044"/>
      <c r="CG1044"/>
      <c r="CH1044"/>
      <c r="CI1044"/>
      <c r="CJ1044"/>
      <c r="CK1044"/>
      <c r="CL1044"/>
      <c r="CM1044"/>
      <c r="CN1044"/>
      <c r="CO1044"/>
      <c r="CP1044"/>
      <c r="CQ1044"/>
      <c r="CR1044"/>
      <c r="CS1044"/>
      <c r="CT1044"/>
      <c r="CU1044"/>
      <c r="CV1044"/>
      <c r="CW1044"/>
      <c r="CX1044"/>
      <c r="CY1044"/>
    </row>
    <row r="1045" spans="50:103" ht="20.100000000000001" customHeight="1" x14ac:dyDescent="0.25">
      <c r="AX1045"/>
      <c r="AY1045"/>
      <c r="AZ1045"/>
      <c r="BA1045"/>
      <c r="BB1045"/>
      <c r="BC1045"/>
      <c r="BD1045"/>
      <c r="BE1045"/>
      <c r="BF1045"/>
      <c r="BG1045"/>
      <c r="BH1045"/>
      <c r="BI1045"/>
      <c r="BJ1045"/>
      <c r="BK1045"/>
      <c r="BL1045"/>
      <c r="BM1045"/>
      <c r="BN1045"/>
      <c r="BO1045"/>
      <c r="BP1045"/>
      <c r="BQ1045"/>
      <c r="BR1045"/>
      <c r="BY1045"/>
      <c r="BZ1045"/>
      <c r="CA1045"/>
      <c r="CB1045"/>
      <c r="CC1045"/>
      <c r="CD1045"/>
      <c r="CE1045"/>
      <c r="CF1045"/>
      <c r="CG1045"/>
      <c r="CH1045"/>
      <c r="CI1045"/>
      <c r="CJ1045"/>
      <c r="CK1045"/>
      <c r="CL1045"/>
      <c r="CM1045"/>
      <c r="CN1045"/>
      <c r="CO1045"/>
      <c r="CP1045"/>
      <c r="CQ1045"/>
      <c r="CR1045"/>
      <c r="CS1045"/>
      <c r="CT1045"/>
      <c r="CU1045"/>
      <c r="CV1045"/>
      <c r="CW1045"/>
      <c r="CX1045"/>
      <c r="CY1045"/>
    </row>
    <row r="1046" spans="50:103" ht="20.100000000000001" customHeight="1" x14ac:dyDescent="0.25">
      <c r="AX1046"/>
      <c r="AY1046"/>
      <c r="AZ1046"/>
      <c r="BA1046"/>
      <c r="BB1046"/>
      <c r="BC1046"/>
      <c r="BD1046"/>
      <c r="BE1046"/>
      <c r="BF1046"/>
      <c r="BG1046"/>
      <c r="BH1046"/>
      <c r="BI1046"/>
      <c r="BJ1046"/>
      <c r="BK1046"/>
      <c r="BL1046"/>
      <c r="BM1046"/>
      <c r="BN1046"/>
      <c r="BO1046"/>
      <c r="BP1046"/>
      <c r="BQ1046"/>
      <c r="BR1046"/>
      <c r="BY1046"/>
      <c r="BZ1046"/>
      <c r="CA1046"/>
      <c r="CB1046"/>
      <c r="CC1046"/>
      <c r="CD1046"/>
      <c r="CE1046"/>
      <c r="CF1046"/>
      <c r="CG1046"/>
      <c r="CH1046"/>
      <c r="CI1046"/>
      <c r="CJ1046"/>
      <c r="CK1046"/>
      <c r="CL1046"/>
      <c r="CM1046"/>
      <c r="CN1046"/>
      <c r="CO1046"/>
      <c r="CP1046"/>
      <c r="CQ1046"/>
      <c r="CR1046"/>
      <c r="CS1046"/>
      <c r="CT1046"/>
      <c r="CU1046"/>
      <c r="CV1046"/>
      <c r="CW1046"/>
      <c r="CX1046"/>
      <c r="CY1046"/>
    </row>
    <row r="1047" spans="50:103" ht="20.100000000000001" customHeight="1" x14ac:dyDescent="0.25">
      <c r="AX1047"/>
      <c r="AY1047"/>
      <c r="AZ1047"/>
      <c r="BA1047"/>
      <c r="BB1047"/>
      <c r="BC1047"/>
      <c r="BD1047"/>
      <c r="BE1047"/>
      <c r="BF1047"/>
      <c r="BG1047"/>
      <c r="BH1047"/>
      <c r="BI1047"/>
      <c r="BJ1047"/>
      <c r="BK1047"/>
      <c r="BL1047"/>
      <c r="BM1047"/>
      <c r="BN1047"/>
      <c r="BO1047"/>
      <c r="BP1047"/>
      <c r="BQ1047"/>
      <c r="BR1047"/>
      <c r="BY1047"/>
      <c r="BZ1047"/>
      <c r="CA1047"/>
      <c r="CB1047"/>
      <c r="CC1047"/>
      <c r="CD1047"/>
      <c r="CE1047"/>
      <c r="CF1047"/>
      <c r="CG1047"/>
      <c r="CH1047"/>
      <c r="CI1047"/>
      <c r="CJ1047"/>
      <c r="CK1047"/>
      <c r="CL1047"/>
      <c r="CM1047"/>
      <c r="CN1047"/>
      <c r="CO1047"/>
      <c r="CP1047"/>
      <c r="CQ1047"/>
      <c r="CR1047"/>
      <c r="CS1047"/>
      <c r="CT1047"/>
      <c r="CU1047"/>
      <c r="CV1047"/>
      <c r="CW1047"/>
      <c r="CX1047"/>
      <c r="CY1047"/>
    </row>
    <row r="1048" spans="50:103" ht="20.100000000000001" customHeight="1" x14ac:dyDescent="0.25">
      <c r="AX1048"/>
      <c r="AY1048"/>
      <c r="AZ1048"/>
      <c r="BA1048"/>
      <c r="BB1048"/>
      <c r="BC1048"/>
      <c r="BD1048"/>
      <c r="BE1048"/>
      <c r="BF1048"/>
      <c r="BG1048"/>
      <c r="BH1048"/>
      <c r="BI1048"/>
      <c r="BJ1048"/>
      <c r="BK1048"/>
      <c r="BL1048"/>
      <c r="BM1048"/>
      <c r="BN1048"/>
      <c r="BO1048"/>
      <c r="BP1048"/>
      <c r="BQ1048"/>
      <c r="BR1048"/>
      <c r="BY1048"/>
      <c r="BZ1048"/>
      <c r="CA1048"/>
      <c r="CB1048"/>
      <c r="CC1048"/>
      <c r="CD1048"/>
      <c r="CE1048"/>
      <c r="CF1048"/>
      <c r="CG1048"/>
      <c r="CH1048"/>
      <c r="CI1048"/>
      <c r="CJ1048"/>
      <c r="CK1048"/>
      <c r="CL1048"/>
      <c r="CM1048"/>
      <c r="CN1048"/>
      <c r="CO1048"/>
      <c r="CP1048"/>
      <c r="CQ1048"/>
      <c r="CR1048"/>
      <c r="CS1048"/>
      <c r="CT1048"/>
      <c r="CU1048"/>
      <c r="CV1048"/>
      <c r="CW1048"/>
      <c r="CX1048"/>
      <c r="CY1048"/>
    </row>
    <row r="1049" spans="50:103" ht="20.100000000000001" customHeight="1" x14ac:dyDescent="0.25">
      <c r="AX1049"/>
      <c r="AY1049"/>
      <c r="AZ1049"/>
      <c r="BA1049"/>
      <c r="BB1049"/>
      <c r="BC1049"/>
      <c r="BD1049"/>
      <c r="BE1049"/>
      <c r="BF1049"/>
      <c r="BG1049"/>
      <c r="BH1049"/>
      <c r="BI1049"/>
      <c r="BJ1049"/>
      <c r="BK1049"/>
      <c r="BL1049"/>
      <c r="BM1049"/>
      <c r="BN1049"/>
      <c r="BO1049"/>
      <c r="BP1049"/>
      <c r="BQ1049"/>
      <c r="BR1049"/>
      <c r="BY1049"/>
      <c r="BZ1049"/>
      <c r="CA1049"/>
      <c r="CB1049"/>
      <c r="CC1049"/>
      <c r="CD1049"/>
      <c r="CE1049"/>
      <c r="CF1049"/>
      <c r="CG1049"/>
      <c r="CH1049"/>
      <c r="CI1049"/>
      <c r="CJ1049"/>
      <c r="CK1049"/>
      <c r="CL1049"/>
      <c r="CM1049"/>
      <c r="CN1049"/>
      <c r="CO1049"/>
      <c r="CP1049"/>
      <c r="CQ1049"/>
      <c r="CR1049"/>
      <c r="CS1049"/>
      <c r="CT1049"/>
      <c r="CU1049"/>
      <c r="CV1049"/>
      <c r="CW1049"/>
      <c r="CX1049"/>
      <c r="CY1049"/>
    </row>
    <row r="1050" spans="50:103" ht="20.100000000000001" customHeight="1" x14ac:dyDescent="0.25">
      <c r="AX1050"/>
      <c r="AY1050"/>
      <c r="AZ1050"/>
      <c r="BA1050"/>
      <c r="BB1050"/>
      <c r="BC1050"/>
      <c r="BD1050"/>
      <c r="BE1050"/>
      <c r="BF1050"/>
      <c r="BG1050"/>
      <c r="BH1050"/>
      <c r="BI1050"/>
      <c r="BJ1050"/>
      <c r="BK1050"/>
      <c r="BL1050"/>
      <c r="BM1050"/>
      <c r="BN1050"/>
      <c r="BO1050"/>
      <c r="BP1050"/>
      <c r="BQ1050"/>
      <c r="BR1050"/>
      <c r="BY1050"/>
      <c r="BZ1050"/>
      <c r="CA1050"/>
      <c r="CB1050"/>
      <c r="CC1050"/>
      <c r="CD1050"/>
      <c r="CE1050"/>
      <c r="CF1050"/>
      <c r="CG1050"/>
      <c r="CH1050"/>
      <c r="CI1050"/>
      <c r="CJ1050"/>
      <c r="CK1050"/>
      <c r="CL1050"/>
      <c r="CM1050"/>
      <c r="CN1050"/>
      <c r="CO1050"/>
      <c r="CP1050"/>
      <c r="CQ1050"/>
      <c r="CR1050"/>
      <c r="CS1050"/>
      <c r="CT1050"/>
      <c r="CU1050"/>
      <c r="CV1050"/>
      <c r="CW1050"/>
      <c r="CX1050"/>
      <c r="CY1050"/>
    </row>
    <row r="1051" spans="50:103" ht="20.100000000000001" customHeight="1" x14ac:dyDescent="0.25">
      <c r="AX1051"/>
      <c r="AY1051"/>
      <c r="AZ1051"/>
      <c r="BA1051"/>
      <c r="BB1051"/>
      <c r="BC1051"/>
      <c r="BD1051"/>
      <c r="BE1051"/>
      <c r="BF1051"/>
      <c r="BG1051"/>
      <c r="BH1051"/>
      <c r="BI1051"/>
      <c r="BJ1051"/>
      <c r="BK1051"/>
      <c r="BL1051"/>
      <c r="BM1051"/>
      <c r="BN1051"/>
      <c r="BO1051"/>
      <c r="BP1051"/>
      <c r="BQ1051"/>
      <c r="BR1051"/>
      <c r="BY1051"/>
      <c r="BZ1051"/>
      <c r="CA1051"/>
      <c r="CB1051"/>
      <c r="CC1051"/>
      <c r="CD1051"/>
      <c r="CE1051"/>
      <c r="CF1051"/>
      <c r="CG1051"/>
      <c r="CH1051"/>
      <c r="CI1051"/>
      <c r="CJ1051"/>
      <c r="CK1051"/>
      <c r="CL1051"/>
      <c r="CM1051"/>
      <c r="CN1051"/>
      <c r="CO1051"/>
      <c r="CP1051"/>
      <c r="CQ1051"/>
      <c r="CR1051"/>
      <c r="CS1051"/>
      <c r="CT1051"/>
      <c r="CU1051"/>
      <c r="CV1051"/>
      <c r="CW1051"/>
      <c r="CX1051"/>
      <c r="CY1051"/>
    </row>
    <row r="1052" spans="50:103" ht="20.100000000000001" customHeight="1" x14ac:dyDescent="0.25">
      <c r="AX1052"/>
      <c r="AY1052"/>
      <c r="AZ1052"/>
      <c r="BA1052"/>
      <c r="BB1052"/>
      <c r="BC1052"/>
      <c r="BD1052"/>
      <c r="BE1052"/>
      <c r="BF1052"/>
      <c r="BG1052"/>
      <c r="BH1052"/>
      <c r="BI1052"/>
      <c r="BJ1052"/>
      <c r="BK1052"/>
      <c r="BL1052"/>
      <c r="BM1052"/>
      <c r="BN1052"/>
      <c r="BO1052"/>
      <c r="BP1052"/>
      <c r="BQ1052"/>
      <c r="BR1052"/>
      <c r="BY1052"/>
      <c r="BZ1052"/>
      <c r="CA1052"/>
      <c r="CB1052"/>
      <c r="CC1052"/>
      <c r="CD1052"/>
      <c r="CE1052"/>
      <c r="CF1052"/>
      <c r="CG1052"/>
      <c r="CH1052"/>
      <c r="CI1052"/>
      <c r="CJ1052"/>
      <c r="CK1052"/>
      <c r="CL1052"/>
      <c r="CM1052"/>
      <c r="CN1052"/>
      <c r="CO1052"/>
      <c r="CP1052"/>
      <c r="CQ1052"/>
      <c r="CR1052"/>
      <c r="CS1052"/>
      <c r="CT1052"/>
      <c r="CU1052"/>
      <c r="CV1052"/>
      <c r="CW1052"/>
      <c r="CX1052"/>
      <c r="CY1052"/>
    </row>
    <row r="1053" spans="50:103" ht="20.100000000000001" customHeight="1" x14ac:dyDescent="0.25">
      <c r="AX1053"/>
      <c r="AY1053"/>
      <c r="AZ1053"/>
      <c r="BA1053"/>
      <c r="BB1053"/>
      <c r="BC1053"/>
      <c r="BD1053"/>
      <c r="BE1053"/>
      <c r="BF1053"/>
      <c r="BG1053"/>
      <c r="BH1053"/>
      <c r="BI1053"/>
      <c r="BJ1053"/>
      <c r="BK1053"/>
      <c r="BL1053"/>
      <c r="BM1053"/>
      <c r="BN1053"/>
      <c r="BO1053"/>
      <c r="BP1053"/>
      <c r="BQ1053"/>
      <c r="BR1053"/>
      <c r="BY1053"/>
      <c r="BZ1053"/>
      <c r="CA1053"/>
      <c r="CB1053"/>
      <c r="CC1053"/>
      <c r="CD1053"/>
      <c r="CE1053"/>
      <c r="CF1053"/>
      <c r="CG1053"/>
      <c r="CH1053"/>
      <c r="CI1053"/>
      <c r="CJ1053"/>
      <c r="CK1053"/>
      <c r="CL1053"/>
      <c r="CM1053"/>
      <c r="CN1053"/>
      <c r="CO1053"/>
      <c r="CP1053"/>
      <c r="CQ1053"/>
      <c r="CR1053"/>
      <c r="CS1053"/>
      <c r="CT1053"/>
      <c r="CU1053"/>
      <c r="CV1053"/>
      <c r="CW1053"/>
      <c r="CX1053"/>
      <c r="CY1053"/>
    </row>
    <row r="1054" spans="50:103" ht="20.100000000000001" customHeight="1" x14ac:dyDescent="0.25">
      <c r="AX1054"/>
      <c r="AY1054"/>
      <c r="AZ1054"/>
      <c r="BA1054"/>
      <c r="BB1054"/>
      <c r="BC1054"/>
      <c r="BD1054"/>
      <c r="BE1054"/>
      <c r="BF1054"/>
      <c r="BG1054"/>
      <c r="BH1054"/>
      <c r="BI1054"/>
      <c r="BJ1054"/>
      <c r="BK1054"/>
      <c r="BL1054"/>
      <c r="BM1054"/>
      <c r="BN1054"/>
      <c r="BO1054"/>
      <c r="BP1054"/>
      <c r="BQ1054"/>
      <c r="BR1054"/>
      <c r="BY1054"/>
      <c r="BZ1054"/>
      <c r="CA1054"/>
      <c r="CB1054"/>
      <c r="CC1054"/>
      <c r="CD1054"/>
      <c r="CE1054"/>
      <c r="CF1054"/>
      <c r="CG1054"/>
      <c r="CH1054"/>
      <c r="CI1054"/>
      <c r="CJ1054"/>
      <c r="CK1054"/>
      <c r="CL1054"/>
      <c r="CM1054"/>
      <c r="CN1054"/>
      <c r="CO1054"/>
      <c r="CP1054"/>
      <c r="CQ1054"/>
      <c r="CR1054"/>
      <c r="CS1054"/>
      <c r="CT1054"/>
      <c r="CU1054"/>
      <c r="CV1054"/>
      <c r="CW1054"/>
      <c r="CX1054"/>
      <c r="CY1054"/>
    </row>
    <row r="1055" spans="50:103" ht="20.100000000000001" customHeight="1" x14ac:dyDescent="0.25">
      <c r="AX1055"/>
      <c r="AY1055"/>
      <c r="AZ1055"/>
      <c r="BA1055"/>
      <c r="BB1055"/>
      <c r="BC1055"/>
      <c r="BD1055"/>
      <c r="BE1055"/>
      <c r="BF1055"/>
      <c r="BG1055"/>
      <c r="BH1055"/>
      <c r="BI1055"/>
      <c r="BJ1055"/>
      <c r="BK1055"/>
      <c r="BL1055"/>
      <c r="BM1055"/>
      <c r="BN1055"/>
      <c r="BO1055"/>
      <c r="BP1055"/>
      <c r="BQ1055"/>
      <c r="BR1055"/>
      <c r="BY1055"/>
      <c r="BZ1055"/>
      <c r="CA1055"/>
      <c r="CB1055"/>
      <c r="CC1055"/>
      <c r="CD1055"/>
      <c r="CE1055"/>
      <c r="CF1055"/>
      <c r="CG1055"/>
      <c r="CH1055"/>
      <c r="CI1055"/>
      <c r="CJ1055"/>
      <c r="CK1055"/>
      <c r="CL1055"/>
      <c r="CM1055"/>
      <c r="CN1055"/>
      <c r="CO1055"/>
      <c r="CP1055"/>
      <c r="CQ1055"/>
      <c r="CR1055"/>
      <c r="CS1055"/>
      <c r="CT1055"/>
      <c r="CU1055"/>
      <c r="CV1055"/>
      <c r="CW1055"/>
      <c r="CX1055"/>
      <c r="CY1055"/>
    </row>
    <row r="1056" spans="50:103" ht="20.100000000000001" customHeight="1" x14ac:dyDescent="0.25">
      <c r="AX1056"/>
      <c r="AY1056"/>
      <c r="AZ1056"/>
      <c r="BA1056"/>
      <c r="BB1056"/>
      <c r="BC1056"/>
      <c r="BD1056"/>
      <c r="BE1056"/>
      <c r="BF1056"/>
      <c r="BG1056"/>
      <c r="BH1056"/>
      <c r="BI1056"/>
      <c r="BJ1056"/>
      <c r="BK1056"/>
      <c r="BL1056"/>
      <c r="BM1056"/>
      <c r="BN1056"/>
      <c r="BO1056"/>
      <c r="BP1056"/>
      <c r="BQ1056"/>
      <c r="BR1056"/>
      <c r="BY1056"/>
      <c r="BZ1056"/>
      <c r="CA1056"/>
      <c r="CB1056"/>
      <c r="CC1056"/>
      <c r="CD1056"/>
      <c r="CE1056"/>
      <c r="CF1056"/>
      <c r="CG1056"/>
      <c r="CH1056"/>
      <c r="CI1056"/>
      <c r="CJ1056"/>
      <c r="CK1056"/>
      <c r="CL1056"/>
      <c r="CM1056"/>
      <c r="CN1056"/>
      <c r="CO1056"/>
      <c r="CP1056"/>
      <c r="CQ1056"/>
      <c r="CR1056"/>
      <c r="CS1056"/>
      <c r="CT1056"/>
      <c r="CU1056"/>
      <c r="CV1056"/>
      <c r="CW1056"/>
      <c r="CX1056"/>
      <c r="CY1056"/>
    </row>
    <row r="1057" spans="50:103" ht="20.100000000000001" customHeight="1" x14ac:dyDescent="0.25">
      <c r="AX1057"/>
      <c r="AY1057"/>
      <c r="AZ1057"/>
      <c r="BA1057"/>
      <c r="BB1057"/>
      <c r="BC1057"/>
      <c r="BD1057"/>
      <c r="BE1057"/>
      <c r="BF1057"/>
      <c r="BG1057"/>
      <c r="BH1057"/>
      <c r="BI1057"/>
      <c r="BJ1057"/>
      <c r="BK1057"/>
      <c r="BL1057"/>
      <c r="BM1057"/>
      <c r="BN1057"/>
      <c r="BO1057"/>
      <c r="BP1057"/>
      <c r="BQ1057"/>
      <c r="BR1057"/>
      <c r="BY1057"/>
      <c r="BZ1057"/>
      <c r="CA1057"/>
      <c r="CB1057"/>
      <c r="CC1057"/>
      <c r="CD1057"/>
      <c r="CE1057"/>
      <c r="CF1057"/>
      <c r="CG1057"/>
      <c r="CH1057"/>
      <c r="CI1057"/>
      <c r="CJ1057"/>
      <c r="CK1057"/>
      <c r="CL1057"/>
      <c r="CM1057"/>
      <c r="CN1057"/>
      <c r="CO1057"/>
      <c r="CP1057"/>
      <c r="CQ1057"/>
      <c r="CR1057"/>
      <c r="CS1057"/>
      <c r="CT1057"/>
      <c r="CU1057"/>
      <c r="CV1057"/>
      <c r="CW1057"/>
      <c r="CX1057"/>
      <c r="CY1057"/>
    </row>
    <row r="1058" spans="50:103" ht="20.100000000000001" customHeight="1" x14ac:dyDescent="0.25">
      <c r="AX1058"/>
      <c r="AY1058"/>
      <c r="AZ1058"/>
      <c r="BA1058"/>
      <c r="BB1058"/>
      <c r="BC1058"/>
      <c r="BD1058"/>
      <c r="BE1058"/>
      <c r="BF1058"/>
      <c r="BG1058"/>
      <c r="BH1058"/>
      <c r="BI1058"/>
      <c r="BJ1058"/>
      <c r="BK1058"/>
      <c r="BL1058"/>
      <c r="BM1058"/>
      <c r="BN1058"/>
      <c r="BO1058"/>
      <c r="BP1058"/>
      <c r="BQ1058"/>
      <c r="BR1058"/>
      <c r="BY1058"/>
      <c r="BZ1058"/>
      <c r="CA1058"/>
      <c r="CB1058"/>
      <c r="CC1058"/>
      <c r="CD1058"/>
      <c r="CE1058"/>
      <c r="CF1058"/>
      <c r="CG1058"/>
      <c r="CH1058"/>
      <c r="CI1058"/>
      <c r="CJ1058"/>
      <c r="CK1058"/>
      <c r="CL1058"/>
      <c r="CM1058"/>
      <c r="CN1058"/>
      <c r="CO1058"/>
      <c r="CP1058"/>
      <c r="CQ1058"/>
      <c r="CR1058"/>
      <c r="CS1058"/>
      <c r="CT1058"/>
      <c r="CU1058"/>
      <c r="CV1058"/>
      <c r="CW1058"/>
      <c r="CX1058"/>
      <c r="CY1058"/>
    </row>
    <row r="1059" spans="50:103" ht="20.100000000000001" customHeight="1" x14ac:dyDescent="0.25">
      <c r="AX1059"/>
      <c r="AY1059"/>
      <c r="AZ1059"/>
      <c r="BA1059"/>
      <c r="BB1059"/>
      <c r="BC1059"/>
      <c r="BD1059"/>
      <c r="BE1059"/>
      <c r="BF1059"/>
      <c r="BG1059"/>
      <c r="BH1059"/>
      <c r="BI1059"/>
      <c r="BJ1059"/>
      <c r="BK1059"/>
      <c r="BL1059"/>
      <c r="BM1059"/>
      <c r="BN1059"/>
      <c r="BO1059"/>
      <c r="BP1059"/>
      <c r="BQ1059"/>
      <c r="BR1059"/>
      <c r="BY1059"/>
      <c r="BZ1059"/>
      <c r="CA1059"/>
      <c r="CB1059"/>
      <c r="CC1059"/>
      <c r="CD1059"/>
      <c r="CE1059"/>
      <c r="CF1059"/>
      <c r="CG1059"/>
      <c r="CH1059"/>
      <c r="CI1059"/>
      <c r="CJ1059"/>
      <c r="CK1059"/>
      <c r="CL1059"/>
      <c r="CM1059"/>
      <c r="CN1059"/>
      <c r="CO1059"/>
      <c r="CP1059"/>
      <c r="CQ1059"/>
      <c r="CR1059"/>
      <c r="CS1059"/>
      <c r="CT1059"/>
      <c r="CU1059"/>
      <c r="CV1059"/>
      <c r="CW1059"/>
      <c r="CX1059"/>
      <c r="CY1059"/>
    </row>
    <row r="1060" spans="50:103" ht="20.100000000000001" customHeight="1" x14ac:dyDescent="0.25">
      <c r="AX1060"/>
      <c r="AY1060"/>
      <c r="AZ1060"/>
      <c r="BA1060"/>
      <c r="BB1060"/>
      <c r="BC1060"/>
      <c r="BD1060"/>
      <c r="BE1060"/>
      <c r="BF1060"/>
      <c r="BG1060"/>
      <c r="BH1060"/>
      <c r="BI1060"/>
      <c r="BJ1060"/>
      <c r="BK1060"/>
      <c r="BL1060"/>
      <c r="BM1060"/>
      <c r="BN1060"/>
      <c r="BO1060"/>
      <c r="BP1060"/>
      <c r="BQ1060"/>
      <c r="BR1060"/>
      <c r="BY1060"/>
      <c r="BZ1060"/>
      <c r="CA1060"/>
      <c r="CB1060"/>
      <c r="CC1060"/>
      <c r="CD1060"/>
      <c r="CE1060"/>
      <c r="CF1060"/>
      <c r="CG1060"/>
      <c r="CH1060"/>
      <c r="CI1060"/>
      <c r="CJ1060"/>
      <c r="CK1060"/>
      <c r="CL1060"/>
      <c r="CM1060"/>
      <c r="CN1060"/>
      <c r="CO1060"/>
      <c r="CP1060"/>
      <c r="CQ1060"/>
      <c r="CR1060"/>
      <c r="CS1060"/>
      <c r="CT1060"/>
      <c r="CU1060"/>
      <c r="CV1060"/>
      <c r="CW1060"/>
      <c r="CX1060"/>
      <c r="CY1060"/>
    </row>
    <row r="1061" spans="50:103" ht="20.100000000000001" customHeight="1" x14ac:dyDescent="0.25">
      <c r="AX1061"/>
      <c r="AY1061"/>
      <c r="AZ1061"/>
      <c r="BA1061"/>
      <c r="BB1061"/>
      <c r="BC1061"/>
      <c r="BD1061"/>
      <c r="BE1061"/>
      <c r="BF1061"/>
      <c r="BG1061"/>
      <c r="BH1061"/>
      <c r="BI1061"/>
      <c r="BJ1061"/>
      <c r="BK1061"/>
      <c r="BL1061"/>
      <c r="BM1061"/>
      <c r="BN1061"/>
      <c r="BO1061"/>
      <c r="BP1061"/>
      <c r="BQ1061"/>
      <c r="BR1061"/>
      <c r="BY1061"/>
      <c r="BZ1061"/>
      <c r="CA1061"/>
      <c r="CB1061"/>
      <c r="CC1061"/>
      <c r="CD1061"/>
      <c r="CE1061"/>
      <c r="CF1061"/>
      <c r="CG1061"/>
      <c r="CH1061"/>
      <c r="CI1061"/>
      <c r="CJ1061"/>
      <c r="CK1061"/>
      <c r="CL1061"/>
      <c r="CM1061"/>
      <c r="CN1061"/>
      <c r="CO1061"/>
      <c r="CP1061"/>
      <c r="CQ1061"/>
      <c r="CR1061"/>
      <c r="CS1061"/>
      <c r="CT1061"/>
      <c r="CU1061"/>
      <c r="CV1061"/>
      <c r="CW1061"/>
      <c r="CX1061"/>
      <c r="CY1061"/>
    </row>
    <row r="1062" spans="50:103" ht="20.100000000000001" customHeight="1" x14ac:dyDescent="0.25">
      <c r="AX1062"/>
      <c r="AY1062"/>
      <c r="AZ1062"/>
      <c r="BA1062"/>
      <c r="BB1062"/>
      <c r="BC1062"/>
      <c r="BD1062"/>
      <c r="BE1062"/>
      <c r="BF1062"/>
      <c r="BG1062"/>
      <c r="BH1062"/>
      <c r="BI1062"/>
      <c r="BJ1062"/>
      <c r="BK1062"/>
      <c r="BL1062"/>
      <c r="BM1062"/>
      <c r="BN1062"/>
      <c r="BO1062"/>
      <c r="BP1062"/>
      <c r="BQ1062"/>
      <c r="BR1062"/>
      <c r="BY1062"/>
      <c r="BZ1062"/>
      <c r="CA1062"/>
      <c r="CB1062"/>
      <c r="CC1062"/>
      <c r="CD1062"/>
      <c r="CE1062"/>
      <c r="CF1062"/>
      <c r="CG1062"/>
      <c r="CH1062"/>
      <c r="CI1062"/>
      <c r="CJ1062"/>
      <c r="CK1062"/>
      <c r="CL1062"/>
      <c r="CM1062"/>
      <c r="CN1062"/>
      <c r="CO1062"/>
      <c r="CP1062"/>
      <c r="CQ1062"/>
      <c r="CR1062"/>
      <c r="CS1062"/>
      <c r="CT1062"/>
      <c r="CU1062"/>
      <c r="CV1062"/>
      <c r="CW1062"/>
      <c r="CX1062"/>
      <c r="CY1062"/>
    </row>
    <row r="1063" spans="50:103" ht="20.100000000000001" customHeight="1" x14ac:dyDescent="0.25">
      <c r="AX1063"/>
      <c r="AY1063"/>
      <c r="AZ1063"/>
      <c r="BA1063"/>
      <c r="BB1063"/>
      <c r="BC1063"/>
      <c r="BD1063"/>
      <c r="BE1063"/>
      <c r="BF1063"/>
      <c r="BG1063"/>
      <c r="BH1063"/>
      <c r="BI1063"/>
      <c r="BJ1063"/>
      <c r="BK1063"/>
      <c r="BL1063"/>
      <c r="BM1063"/>
      <c r="BN1063"/>
      <c r="BO1063"/>
      <c r="BP1063"/>
      <c r="BQ1063"/>
      <c r="BR1063"/>
      <c r="BY1063"/>
      <c r="BZ1063"/>
      <c r="CA1063"/>
      <c r="CB1063"/>
      <c r="CC1063"/>
      <c r="CD1063"/>
      <c r="CE1063"/>
      <c r="CF1063"/>
      <c r="CG1063"/>
      <c r="CH1063"/>
      <c r="CI1063"/>
      <c r="CJ1063"/>
      <c r="CK1063"/>
      <c r="CL1063"/>
      <c r="CM1063"/>
      <c r="CN1063"/>
      <c r="CO1063"/>
      <c r="CP1063"/>
      <c r="CQ1063"/>
      <c r="CR1063"/>
      <c r="CS1063"/>
      <c r="CT1063"/>
      <c r="CU1063"/>
      <c r="CV1063"/>
      <c r="CW1063"/>
      <c r="CX1063"/>
      <c r="CY1063"/>
    </row>
    <row r="1064" spans="50:103" ht="20.100000000000001" customHeight="1" x14ac:dyDescent="0.25">
      <c r="AX1064"/>
      <c r="AY1064"/>
      <c r="AZ1064"/>
      <c r="BA1064"/>
      <c r="BB1064"/>
      <c r="BC1064"/>
      <c r="BD1064"/>
      <c r="BE1064"/>
      <c r="BF1064"/>
      <c r="BG1064"/>
      <c r="BH1064"/>
      <c r="BI1064"/>
      <c r="BJ1064"/>
      <c r="BK1064"/>
      <c r="BL1064"/>
      <c r="BM1064"/>
      <c r="BN1064"/>
      <c r="BO1064"/>
      <c r="BP1064"/>
      <c r="BQ1064"/>
      <c r="BR1064"/>
      <c r="BY1064"/>
      <c r="BZ1064"/>
      <c r="CA1064"/>
      <c r="CB1064"/>
      <c r="CC1064"/>
      <c r="CD1064"/>
      <c r="CE1064"/>
      <c r="CF1064"/>
      <c r="CG1064"/>
      <c r="CH1064"/>
      <c r="CI1064"/>
      <c r="CJ1064"/>
      <c r="CK1064"/>
      <c r="CL1064"/>
      <c r="CM1064"/>
      <c r="CN1064"/>
      <c r="CO1064"/>
      <c r="CP1064"/>
      <c r="CQ1064"/>
      <c r="CR1064"/>
      <c r="CS1064"/>
      <c r="CT1064"/>
      <c r="CU1064"/>
      <c r="CV1064"/>
      <c r="CW1064"/>
      <c r="CX1064"/>
      <c r="CY1064"/>
    </row>
    <row r="1065" spans="50:103" ht="20.100000000000001" customHeight="1" x14ac:dyDescent="0.25">
      <c r="AX1065"/>
      <c r="AY1065"/>
      <c r="AZ1065"/>
      <c r="BA1065"/>
      <c r="BB1065"/>
      <c r="BC1065"/>
      <c r="BD1065"/>
      <c r="BE1065"/>
      <c r="BF1065"/>
      <c r="BG1065"/>
      <c r="BH1065"/>
      <c r="BI1065"/>
      <c r="BJ1065"/>
      <c r="BK1065"/>
      <c r="BL1065"/>
      <c r="BM1065"/>
      <c r="BN1065"/>
      <c r="BO1065"/>
      <c r="BP1065"/>
      <c r="BQ1065"/>
      <c r="BR1065"/>
      <c r="BY1065"/>
      <c r="BZ1065"/>
      <c r="CA1065"/>
      <c r="CB1065"/>
      <c r="CC1065"/>
      <c r="CD1065"/>
      <c r="CE1065"/>
      <c r="CF1065"/>
      <c r="CG1065"/>
      <c r="CH1065"/>
      <c r="CI1065"/>
      <c r="CJ1065"/>
      <c r="CK1065"/>
      <c r="CL1065"/>
      <c r="CM1065"/>
      <c r="CN1065"/>
      <c r="CO1065"/>
      <c r="CP1065"/>
      <c r="CQ1065"/>
      <c r="CR1065"/>
      <c r="CS1065"/>
      <c r="CT1065"/>
      <c r="CU1065"/>
      <c r="CV1065"/>
      <c r="CW1065"/>
      <c r="CX1065"/>
      <c r="CY1065"/>
    </row>
    <row r="1066" spans="50:103" ht="20.100000000000001" customHeight="1" x14ac:dyDescent="0.25">
      <c r="AX1066"/>
      <c r="AY1066"/>
      <c r="AZ1066"/>
      <c r="BA1066"/>
      <c r="BB1066"/>
      <c r="BC1066"/>
      <c r="BD1066"/>
      <c r="BE1066"/>
      <c r="BF1066"/>
      <c r="BG1066"/>
      <c r="BH1066"/>
      <c r="BI1066"/>
      <c r="BJ1066"/>
      <c r="BK1066"/>
      <c r="BL1066"/>
      <c r="BM1066"/>
      <c r="BN1066"/>
      <c r="BO1066"/>
      <c r="BP1066"/>
      <c r="BQ1066"/>
      <c r="BR1066"/>
      <c r="BY1066"/>
      <c r="BZ1066"/>
      <c r="CA1066"/>
      <c r="CB1066"/>
      <c r="CC1066"/>
      <c r="CD1066"/>
      <c r="CE1066"/>
      <c r="CF1066"/>
      <c r="CG1066"/>
      <c r="CH1066"/>
      <c r="CI1066"/>
      <c r="CJ1066"/>
      <c r="CK1066"/>
      <c r="CL1066"/>
      <c r="CM1066"/>
      <c r="CN1066"/>
      <c r="CO1066"/>
      <c r="CP1066"/>
      <c r="CQ1066"/>
      <c r="CR1066"/>
      <c r="CS1066"/>
      <c r="CT1066"/>
      <c r="CU1066"/>
      <c r="CV1066"/>
      <c r="CW1066"/>
      <c r="CX1066"/>
      <c r="CY1066"/>
    </row>
    <row r="1067" spans="50:103" ht="20.100000000000001" customHeight="1" x14ac:dyDescent="0.25">
      <c r="AX1067"/>
      <c r="AY1067"/>
      <c r="AZ1067"/>
      <c r="BA1067"/>
      <c r="BB1067"/>
      <c r="BC1067"/>
      <c r="BD1067"/>
      <c r="BE1067"/>
      <c r="BF1067"/>
      <c r="BG1067"/>
      <c r="BH1067"/>
      <c r="BI1067"/>
      <c r="BJ1067"/>
      <c r="BK1067"/>
      <c r="BL1067"/>
      <c r="BM1067"/>
      <c r="BN1067"/>
      <c r="BO1067"/>
      <c r="BP1067"/>
      <c r="BQ1067"/>
      <c r="BR1067"/>
      <c r="BY1067"/>
      <c r="BZ1067"/>
      <c r="CA1067"/>
      <c r="CB1067"/>
      <c r="CC1067"/>
      <c r="CD1067"/>
      <c r="CE1067"/>
      <c r="CF1067"/>
      <c r="CG1067"/>
      <c r="CH1067"/>
      <c r="CI1067"/>
      <c r="CJ1067"/>
      <c r="CK1067"/>
      <c r="CL1067"/>
      <c r="CM1067"/>
      <c r="CN1067"/>
      <c r="CO1067"/>
      <c r="CP1067"/>
      <c r="CQ1067"/>
      <c r="CR1067"/>
      <c r="CS1067"/>
      <c r="CT1067"/>
      <c r="CU1067"/>
      <c r="CV1067"/>
      <c r="CW1067"/>
      <c r="CX1067"/>
      <c r="CY1067"/>
    </row>
    <row r="1068" spans="50:103" ht="20.100000000000001" customHeight="1" x14ac:dyDescent="0.25">
      <c r="AX1068"/>
      <c r="AY1068"/>
      <c r="AZ1068"/>
      <c r="BA1068"/>
      <c r="BB1068"/>
      <c r="BC1068"/>
      <c r="BD1068"/>
      <c r="BE1068"/>
      <c r="BF1068"/>
      <c r="BG1068"/>
      <c r="BH1068"/>
      <c r="BI1068"/>
      <c r="BJ1068"/>
      <c r="BK1068"/>
      <c r="BL1068"/>
      <c r="BM1068"/>
      <c r="BN1068"/>
      <c r="BO1068"/>
      <c r="BP1068"/>
      <c r="BQ1068"/>
      <c r="BR1068"/>
      <c r="BY1068"/>
      <c r="BZ1068"/>
      <c r="CA1068"/>
      <c r="CB1068"/>
      <c r="CC1068"/>
      <c r="CD1068"/>
      <c r="CE1068"/>
      <c r="CF1068"/>
      <c r="CG1068"/>
      <c r="CH1068"/>
      <c r="CI1068"/>
      <c r="CJ1068"/>
      <c r="CK1068"/>
      <c r="CL1068"/>
      <c r="CM1068"/>
      <c r="CN1068"/>
      <c r="CO1068"/>
      <c r="CP1068"/>
      <c r="CQ1068"/>
      <c r="CR1068"/>
      <c r="CS1068"/>
      <c r="CT1068"/>
      <c r="CU1068"/>
      <c r="CV1068"/>
      <c r="CW1068"/>
      <c r="CX1068"/>
      <c r="CY1068"/>
    </row>
    <row r="1069" spans="50:103" ht="20.100000000000001" customHeight="1" x14ac:dyDescent="0.25">
      <c r="AX1069"/>
      <c r="AY1069"/>
      <c r="AZ1069"/>
      <c r="BA1069"/>
      <c r="BB1069"/>
      <c r="BC1069"/>
      <c r="BD1069"/>
      <c r="BE1069"/>
      <c r="BF1069"/>
      <c r="BG1069"/>
      <c r="BH1069"/>
      <c r="BI1069"/>
      <c r="BJ1069"/>
      <c r="BK1069"/>
      <c r="BL1069"/>
      <c r="BM1069"/>
      <c r="BN1069"/>
      <c r="BO1069"/>
      <c r="BP1069"/>
      <c r="BQ1069"/>
      <c r="BR1069"/>
      <c r="BY1069"/>
      <c r="BZ1069"/>
      <c r="CA1069"/>
      <c r="CB1069"/>
      <c r="CC1069"/>
      <c r="CD1069"/>
      <c r="CE1069"/>
      <c r="CF1069"/>
      <c r="CG1069"/>
      <c r="CH1069"/>
      <c r="CI1069"/>
      <c r="CJ1069"/>
      <c r="CK1069"/>
      <c r="CL1069"/>
      <c r="CM1069"/>
      <c r="CN1069"/>
      <c r="CO1069"/>
      <c r="CP1069"/>
      <c r="CQ1069"/>
      <c r="CR1069"/>
      <c r="CS1069"/>
      <c r="CT1069"/>
      <c r="CU1069"/>
      <c r="CV1069"/>
      <c r="CW1069"/>
      <c r="CX1069"/>
      <c r="CY1069"/>
    </row>
    <row r="1070" spans="50:103" ht="20.100000000000001" customHeight="1" x14ac:dyDescent="0.25">
      <c r="AX1070"/>
      <c r="AY1070"/>
      <c r="AZ1070"/>
      <c r="BA1070"/>
      <c r="BB1070"/>
      <c r="BC1070"/>
      <c r="BD1070"/>
      <c r="BE1070"/>
      <c r="BF1070"/>
      <c r="BG1070"/>
      <c r="BH1070"/>
      <c r="BI1070"/>
      <c r="BJ1070"/>
      <c r="BK1070"/>
      <c r="BL1070"/>
      <c r="BM1070"/>
      <c r="BN1070"/>
      <c r="BO1070"/>
      <c r="BP1070"/>
      <c r="BQ1070"/>
      <c r="BR1070"/>
      <c r="BY1070"/>
      <c r="BZ1070"/>
      <c r="CA1070"/>
      <c r="CB1070"/>
      <c r="CC1070"/>
      <c r="CD1070"/>
      <c r="CE1070"/>
      <c r="CF1070"/>
      <c r="CG1070"/>
      <c r="CH1070"/>
      <c r="CI1070"/>
      <c r="CJ1070"/>
      <c r="CK1070"/>
      <c r="CL1070"/>
      <c r="CM1070"/>
      <c r="CN1070"/>
      <c r="CO1070"/>
      <c r="CP1070"/>
      <c r="CQ1070"/>
      <c r="CR1070"/>
      <c r="CS1070"/>
      <c r="CT1070"/>
      <c r="CU1070"/>
      <c r="CV1070"/>
      <c r="CW1070"/>
      <c r="CX1070"/>
      <c r="CY1070"/>
    </row>
    <row r="1071" spans="50:103" ht="20.100000000000001" customHeight="1" x14ac:dyDescent="0.25">
      <c r="AX1071"/>
      <c r="AY1071"/>
      <c r="AZ1071"/>
      <c r="BA1071"/>
      <c r="BB1071"/>
      <c r="BC1071"/>
      <c r="BD1071"/>
      <c r="BE1071"/>
      <c r="BF1071"/>
      <c r="BG1071"/>
      <c r="BH1071"/>
      <c r="BI1071"/>
      <c r="BJ1071"/>
      <c r="BK1071"/>
      <c r="BL1071"/>
      <c r="BM1071"/>
      <c r="BN1071"/>
      <c r="BO1071"/>
      <c r="BP1071"/>
      <c r="BQ1071"/>
      <c r="BR1071"/>
      <c r="BY1071"/>
      <c r="BZ1071"/>
      <c r="CA1071"/>
      <c r="CB1071"/>
      <c r="CC1071"/>
      <c r="CD1071"/>
      <c r="CE1071"/>
      <c r="CF1071"/>
      <c r="CG1071"/>
      <c r="CH1071"/>
      <c r="CI1071"/>
      <c r="CJ1071"/>
      <c r="CK1071"/>
      <c r="CL1071"/>
      <c r="CM1071"/>
      <c r="CN1071"/>
      <c r="CO1071"/>
      <c r="CP1071"/>
      <c r="CQ1071"/>
      <c r="CR1071"/>
      <c r="CS1071"/>
      <c r="CT1071"/>
      <c r="CU1071"/>
      <c r="CV1071"/>
      <c r="CW1071"/>
      <c r="CX1071"/>
      <c r="CY1071"/>
    </row>
    <row r="1072" spans="50:103" ht="20.100000000000001" customHeight="1" x14ac:dyDescent="0.25">
      <c r="AX1072"/>
      <c r="AY1072"/>
      <c r="AZ1072"/>
      <c r="BA1072"/>
      <c r="BB1072"/>
      <c r="BC1072"/>
      <c r="BD1072"/>
      <c r="BE1072"/>
      <c r="BF1072"/>
      <c r="BG1072"/>
      <c r="BH1072"/>
      <c r="BI1072"/>
      <c r="BJ1072"/>
      <c r="BK1072"/>
      <c r="BL1072"/>
      <c r="BM1072"/>
      <c r="BN1072"/>
      <c r="BO1072"/>
      <c r="BP1072"/>
      <c r="BQ1072"/>
      <c r="BR1072"/>
      <c r="BY1072"/>
      <c r="BZ1072"/>
      <c r="CA1072"/>
      <c r="CB1072"/>
      <c r="CC1072"/>
      <c r="CD1072"/>
      <c r="CE1072"/>
      <c r="CF1072"/>
      <c r="CG1072"/>
      <c r="CH1072"/>
      <c r="CI1072"/>
      <c r="CJ1072"/>
      <c r="CK1072"/>
      <c r="CL1072"/>
      <c r="CM1072"/>
      <c r="CN1072"/>
      <c r="CO1072"/>
      <c r="CP1072"/>
      <c r="CQ1072"/>
      <c r="CR1072"/>
      <c r="CS1072"/>
      <c r="CT1072"/>
      <c r="CU1072"/>
      <c r="CV1072"/>
      <c r="CW1072"/>
      <c r="CX1072"/>
      <c r="CY1072"/>
    </row>
    <row r="1073" spans="50:103" ht="20.100000000000001" customHeight="1" x14ac:dyDescent="0.25">
      <c r="AX1073"/>
      <c r="AY1073"/>
      <c r="AZ1073"/>
      <c r="BA1073"/>
      <c r="BB1073"/>
      <c r="BC1073"/>
      <c r="BD1073"/>
      <c r="BE1073"/>
      <c r="BF1073"/>
      <c r="BG1073"/>
      <c r="BH1073"/>
      <c r="BI1073"/>
      <c r="BJ1073"/>
      <c r="BK1073"/>
      <c r="BL1073"/>
      <c r="BM1073"/>
      <c r="BN1073"/>
      <c r="BO1073"/>
      <c r="BP1073"/>
      <c r="BQ1073"/>
      <c r="BR1073"/>
      <c r="BY1073"/>
      <c r="BZ1073"/>
      <c r="CA1073"/>
      <c r="CB1073"/>
      <c r="CC1073"/>
      <c r="CD1073"/>
      <c r="CE1073"/>
      <c r="CF1073"/>
      <c r="CG1073"/>
      <c r="CH1073"/>
      <c r="CI1073"/>
      <c r="CJ1073"/>
      <c r="CK1073"/>
      <c r="CL1073"/>
      <c r="CM1073"/>
      <c r="CN1073"/>
      <c r="CO1073"/>
      <c r="CP1073"/>
      <c r="CQ1073"/>
      <c r="CR1073"/>
      <c r="CS1073"/>
      <c r="CT1073"/>
      <c r="CU1073"/>
      <c r="CV1073"/>
      <c r="CW1073"/>
      <c r="CX1073"/>
      <c r="CY1073"/>
    </row>
    <row r="1074" spans="50:103" ht="20.100000000000001" customHeight="1" x14ac:dyDescent="0.25">
      <c r="AX1074"/>
      <c r="AY1074"/>
      <c r="AZ1074"/>
      <c r="BA1074"/>
      <c r="BB1074"/>
      <c r="BC1074"/>
      <c r="BD1074"/>
      <c r="BE1074"/>
      <c r="BF1074"/>
      <c r="BG1074"/>
      <c r="BH1074"/>
      <c r="BI1074"/>
      <c r="BJ1074"/>
      <c r="BK1074"/>
      <c r="BL1074"/>
      <c r="BM1074"/>
      <c r="BN1074"/>
      <c r="BO1074"/>
      <c r="BP1074"/>
      <c r="BQ1074"/>
      <c r="BR1074"/>
      <c r="BY1074"/>
      <c r="BZ1074"/>
      <c r="CA1074"/>
      <c r="CB1074"/>
      <c r="CC1074"/>
      <c r="CD1074"/>
      <c r="CE1074"/>
      <c r="CF1074"/>
      <c r="CG1074"/>
      <c r="CH1074"/>
      <c r="CI1074"/>
      <c r="CJ1074"/>
      <c r="CK1074"/>
      <c r="CL1074"/>
      <c r="CM1074"/>
      <c r="CN1074"/>
      <c r="CO1074"/>
      <c r="CP1074"/>
      <c r="CQ1074"/>
      <c r="CR1074"/>
      <c r="CS1074"/>
      <c r="CT1074"/>
      <c r="CU1074"/>
      <c r="CV1074"/>
      <c r="CW1074"/>
      <c r="CX1074"/>
      <c r="CY1074"/>
    </row>
    <row r="1075" spans="50:103" ht="20.100000000000001" customHeight="1" x14ac:dyDescent="0.25">
      <c r="AX1075"/>
      <c r="AY1075"/>
      <c r="AZ1075"/>
      <c r="BA1075"/>
      <c r="BB1075"/>
      <c r="BC1075"/>
      <c r="BD1075"/>
      <c r="BE1075"/>
      <c r="BF1075"/>
      <c r="BG1075"/>
      <c r="BH1075"/>
      <c r="BI1075"/>
      <c r="BJ1075"/>
      <c r="BK1075"/>
      <c r="BL1075"/>
      <c r="BM1075"/>
      <c r="BN1075"/>
      <c r="BO1075"/>
      <c r="BP1075"/>
      <c r="BQ1075"/>
      <c r="BR1075"/>
      <c r="BY1075"/>
      <c r="BZ1075"/>
      <c r="CA1075"/>
      <c r="CB1075"/>
      <c r="CC1075"/>
      <c r="CD1075"/>
      <c r="CE1075"/>
      <c r="CF1075"/>
      <c r="CG1075"/>
      <c r="CH1075"/>
      <c r="CI1075"/>
      <c r="CJ1075"/>
      <c r="CK1075"/>
      <c r="CL1075"/>
      <c r="CM1075"/>
      <c r="CN1075"/>
      <c r="CO1075"/>
      <c r="CP1075"/>
      <c r="CQ1075"/>
      <c r="CR1075"/>
      <c r="CS1075"/>
      <c r="CT1075"/>
      <c r="CU1075"/>
      <c r="CV1075"/>
      <c r="CW1075"/>
      <c r="CX1075"/>
      <c r="CY1075"/>
    </row>
    <row r="1076" spans="50:103" ht="20.100000000000001" customHeight="1" x14ac:dyDescent="0.25">
      <c r="AX1076"/>
      <c r="AY1076"/>
      <c r="AZ1076"/>
      <c r="BA1076"/>
      <c r="BB1076"/>
      <c r="BC1076"/>
      <c r="BD1076"/>
      <c r="BE1076"/>
      <c r="BF1076"/>
      <c r="BG1076"/>
      <c r="BH1076"/>
      <c r="BI1076"/>
      <c r="BJ1076"/>
      <c r="BK1076"/>
      <c r="BL1076"/>
      <c r="BM1076"/>
      <c r="BN1076"/>
      <c r="BO1076"/>
      <c r="BP1076"/>
      <c r="BQ1076"/>
      <c r="BR1076"/>
      <c r="BY1076"/>
      <c r="BZ1076"/>
      <c r="CA1076"/>
      <c r="CB1076"/>
      <c r="CC1076"/>
      <c r="CD1076"/>
      <c r="CE1076"/>
      <c r="CF1076"/>
      <c r="CG1076"/>
      <c r="CH1076"/>
      <c r="CI1076"/>
      <c r="CJ1076"/>
      <c r="CK1076"/>
      <c r="CL1076"/>
      <c r="CM1076"/>
      <c r="CN1076"/>
      <c r="CO1076"/>
      <c r="CP1076"/>
      <c r="CQ1076"/>
      <c r="CR1076"/>
      <c r="CS1076"/>
      <c r="CT1076"/>
      <c r="CU1076"/>
      <c r="CV1076"/>
      <c r="CW1076"/>
      <c r="CX1076"/>
      <c r="CY1076"/>
    </row>
    <row r="1077" spans="50:103" ht="20.100000000000001" customHeight="1" x14ac:dyDescent="0.25">
      <c r="AX1077"/>
      <c r="AY1077"/>
      <c r="AZ1077"/>
      <c r="BA1077"/>
      <c r="BB1077"/>
      <c r="BC1077"/>
      <c r="BD1077"/>
      <c r="BE1077"/>
      <c r="BF1077"/>
      <c r="BG1077"/>
      <c r="BH1077"/>
      <c r="BI1077"/>
      <c r="BJ1077"/>
      <c r="BK1077"/>
      <c r="BL1077"/>
      <c r="BM1077"/>
      <c r="BN1077"/>
      <c r="BO1077"/>
      <c r="BP1077"/>
      <c r="BQ1077"/>
      <c r="BR1077"/>
      <c r="BY1077"/>
      <c r="BZ1077"/>
      <c r="CA1077"/>
      <c r="CB1077"/>
      <c r="CC1077"/>
      <c r="CD1077"/>
      <c r="CE1077"/>
      <c r="CF1077"/>
      <c r="CG1077"/>
      <c r="CH1077"/>
      <c r="CI1077"/>
      <c r="CJ1077"/>
      <c r="CK1077"/>
      <c r="CL1077"/>
      <c r="CM1077"/>
      <c r="CN1077"/>
      <c r="CO1077"/>
      <c r="CP1077"/>
      <c r="CQ1077"/>
      <c r="CR1077"/>
      <c r="CS1077"/>
      <c r="CT1077"/>
      <c r="CU1077"/>
      <c r="CV1077"/>
      <c r="CW1077"/>
      <c r="CX1077"/>
      <c r="CY1077"/>
    </row>
    <row r="1078" spans="50:103" ht="20.100000000000001" customHeight="1" x14ac:dyDescent="0.25">
      <c r="AX1078"/>
      <c r="AY1078"/>
      <c r="AZ1078"/>
      <c r="BA1078"/>
      <c r="BB1078"/>
      <c r="BC1078"/>
      <c r="BD1078"/>
      <c r="BE1078"/>
      <c r="BF1078"/>
      <c r="BG1078"/>
      <c r="BH1078"/>
      <c r="BI1078"/>
      <c r="BJ1078"/>
      <c r="BK1078"/>
      <c r="BL1078"/>
      <c r="BM1078"/>
      <c r="BN1078"/>
      <c r="BO1078"/>
      <c r="BP1078"/>
      <c r="BQ1078"/>
      <c r="BR1078"/>
      <c r="BY1078"/>
      <c r="BZ1078"/>
      <c r="CA1078"/>
      <c r="CB1078"/>
      <c r="CC1078"/>
      <c r="CD1078"/>
      <c r="CE1078"/>
      <c r="CF1078"/>
      <c r="CG1078"/>
      <c r="CH1078"/>
      <c r="CI1078"/>
      <c r="CJ1078"/>
      <c r="CK1078"/>
      <c r="CL1078"/>
      <c r="CM1078"/>
      <c r="CN1078"/>
      <c r="CO1078"/>
      <c r="CP1078"/>
      <c r="CQ1078"/>
      <c r="CR1078"/>
      <c r="CS1078"/>
      <c r="CT1078"/>
      <c r="CU1078"/>
      <c r="CV1078"/>
      <c r="CW1078"/>
      <c r="CX1078"/>
      <c r="CY1078"/>
    </row>
    <row r="1079" spans="50:103" ht="20.100000000000001" customHeight="1" x14ac:dyDescent="0.25">
      <c r="AX1079"/>
      <c r="AY1079"/>
      <c r="AZ1079"/>
      <c r="BA1079"/>
      <c r="BB1079"/>
      <c r="BC1079"/>
      <c r="BD1079"/>
      <c r="BE1079"/>
      <c r="BF1079"/>
      <c r="BG1079"/>
      <c r="BH1079"/>
      <c r="BI1079"/>
      <c r="BJ1079"/>
      <c r="BK1079"/>
      <c r="BL1079"/>
      <c r="BM1079"/>
      <c r="BN1079"/>
      <c r="BO1079"/>
      <c r="BP1079"/>
      <c r="BQ1079"/>
      <c r="BR1079"/>
      <c r="BY1079"/>
      <c r="BZ1079"/>
      <c r="CA1079"/>
      <c r="CB1079"/>
      <c r="CC1079"/>
      <c r="CD1079"/>
      <c r="CE1079"/>
      <c r="CF1079"/>
      <c r="CG1079"/>
      <c r="CH1079"/>
      <c r="CI1079"/>
      <c r="CJ1079"/>
      <c r="CK1079"/>
      <c r="CL1079"/>
      <c r="CM1079"/>
      <c r="CN1079"/>
      <c r="CO1079"/>
      <c r="CP1079"/>
      <c r="CQ1079"/>
      <c r="CR1079"/>
      <c r="CS1079"/>
      <c r="CT1079"/>
      <c r="CU1079"/>
      <c r="CV1079"/>
      <c r="CW1079"/>
      <c r="CX1079"/>
      <c r="CY1079"/>
    </row>
    <row r="1080" spans="50:103" ht="20.100000000000001" customHeight="1" x14ac:dyDescent="0.25">
      <c r="AX1080"/>
      <c r="AY1080"/>
      <c r="AZ1080"/>
      <c r="BA1080"/>
      <c r="BB1080"/>
      <c r="BC1080"/>
      <c r="BD1080"/>
      <c r="BE1080"/>
      <c r="BF1080"/>
      <c r="BG1080"/>
      <c r="BH1080"/>
      <c r="BI1080"/>
      <c r="BJ1080"/>
      <c r="BK1080"/>
      <c r="BL1080"/>
      <c r="BM1080"/>
      <c r="BN1080"/>
      <c r="BO1080"/>
      <c r="BP1080"/>
      <c r="BQ1080"/>
      <c r="BR1080"/>
      <c r="BY1080"/>
      <c r="BZ1080"/>
      <c r="CA1080"/>
      <c r="CB1080"/>
      <c r="CC1080"/>
      <c r="CD1080"/>
      <c r="CE1080"/>
      <c r="CF1080"/>
      <c r="CG1080"/>
      <c r="CH1080"/>
      <c r="CI1080"/>
      <c r="CJ1080"/>
      <c r="CK1080"/>
      <c r="CL1080"/>
      <c r="CM1080"/>
      <c r="CN1080"/>
      <c r="CO1080"/>
      <c r="CP1080"/>
      <c r="CQ1080"/>
      <c r="CR1080"/>
      <c r="CS1080"/>
      <c r="CT1080"/>
      <c r="CU1080"/>
      <c r="CV1080"/>
      <c r="CW1080"/>
      <c r="CX1080"/>
      <c r="CY1080"/>
    </row>
    <row r="1081" spans="50:103" ht="20.100000000000001" customHeight="1" x14ac:dyDescent="0.25">
      <c r="AX1081"/>
      <c r="AY1081"/>
      <c r="AZ1081"/>
      <c r="BA1081"/>
      <c r="BB1081"/>
      <c r="BC1081"/>
      <c r="BD1081"/>
      <c r="BE1081"/>
      <c r="BF1081"/>
      <c r="BG1081"/>
      <c r="BH1081"/>
      <c r="BI1081"/>
      <c r="BJ1081"/>
      <c r="BK1081"/>
      <c r="BL1081"/>
      <c r="BM1081"/>
      <c r="BN1081"/>
      <c r="BO1081"/>
      <c r="BP1081"/>
      <c r="BQ1081"/>
      <c r="BR1081"/>
      <c r="BY1081"/>
      <c r="BZ1081"/>
      <c r="CA1081"/>
      <c r="CB1081"/>
      <c r="CC1081"/>
      <c r="CD1081"/>
      <c r="CE1081"/>
      <c r="CF1081"/>
      <c r="CG1081"/>
      <c r="CH1081"/>
      <c r="CI1081"/>
      <c r="CJ1081"/>
      <c r="CK1081"/>
      <c r="CL1081"/>
      <c r="CM1081"/>
      <c r="CN1081"/>
      <c r="CO1081"/>
      <c r="CP1081"/>
      <c r="CQ1081"/>
      <c r="CR1081"/>
      <c r="CS1081"/>
      <c r="CT1081"/>
      <c r="CU1081"/>
      <c r="CV1081"/>
      <c r="CW1081"/>
      <c r="CX1081"/>
      <c r="CY1081"/>
    </row>
    <row r="1082" spans="50:103" ht="20.100000000000001" customHeight="1" x14ac:dyDescent="0.25">
      <c r="AX1082"/>
      <c r="AY1082"/>
      <c r="AZ1082"/>
      <c r="BA1082"/>
      <c r="BB1082"/>
      <c r="BC1082"/>
      <c r="BD1082"/>
      <c r="BE1082"/>
      <c r="BF1082"/>
      <c r="BG1082"/>
      <c r="BH1082"/>
      <c r="BI1082"/>
      <c r="BJ1082"/>
      <c r="BK1082"/>
      <c r="BL1082"/>
      <c r="BM1082"/>
      <c r="BN1082"/>
      <c r="BO1082"/>
      <c r="BP1082"/>
      <c r="BQ1082"/>
      <c r="BR1082"/>
      <c r="BY1082"/>
      <c r="BZ1082"/>
      <c r="CA1082"/>
      <c r="CB1082"/>
      <c r="CC1082"/>
      <c r="CD1082"/>
      <c r="CE1082"/>
      <c r="CF1082"/>
      <c r="CG1082"/>
      <c r="CH1082"/>
      <c r="CI1082"/>
      <c r="CJ1082"/>
      <c r="CK1082"/>
      <c r="CL1082"/>
      <c r="CM1082"/>
      <c r="CN1082"/>
      <c r="CO1082"/>
      <c r="CP1082"/>
      <c r="CQ1082"/>
      <c r="CR1082"/>
      <c r="CS1082"/>
      <c r="CT1082"/>
      <c r="CU1082"/>
      <c r="CV1082"/>
      <c r="CW1082"/>
      <c r="CX1082"/>
      <c r="CY1082"/>
    </row>
    <row r="1083" spans="50:103" ht="20.100000000000001" customHeight="1" x14ac:dyDescent="0.25">
      <c r="AX1083"/>
      <c r="AY1083"/>
      <c r="AZ1083"/>
      <c r="BA1083"/>
      <c r="BB1083"/>
      <c r="BC1083"/>
      <c r="BD1083"/>
      <c r="BE1083"/>
      <c r="BF1083"/>
      <c r="BG1083"/>
      <c r="BH1083"/>
      <c r="BI1083"/>
      <c r="BJ1083"/>
      <c r="BK1083"/>
      <c r="BL1083"/>
      <c r="BM1083"/>
      <c r="BN1083"/>
      <c r="BO1083"/>
      <c r="BP1083"/>
      <c r="BQ1083"/>
      <c r="BR1083"/>
      <c r="BY1083"/>
      <c r="BZ1083"/>
      <c r="CA1083"/>
      <c r="CB1083"/>
      <c r="CC1083"/>
      <c r="CD1083"/>
      <c r="CE1083"/>
      <c r="CF1083"/>
      <c r="CG1083"/>
      <c r="CH1083"/>
      <c r="CI1083"/>
      <c r="CJ1083"/>
      <c r="CK1083"/>
      <c r="CL1083"/>
      <c r="CM1083"/>
      <c r="CN1083"/>
      <c r="CO1083"/>
      <c r="CP1083"/>
      <c r="CQ1083"/>
      <c r="CR1083"/>
      <c r="CS1083"/>
      <c r="CT1083"/>
      <c r="CU1083"/>
      <c r="CV1083"/>
      <c r="CW1083"/>
      <c r="CX1083"/>
      <c r="CY1083"/>
    </row>
    <row r="1084" spans="50:103" ht="20.100000000000001" customHeight="1" x14ac:dyDescent="0.25">
      <c r="AX1084"/>
      <c r="AY1084"/>
      <c r="AZ1084"/>
      <c r="BA1084"/>
      <c r="BB1084"/>
      <c r="BC1084"/>
      <c r="BD1084"/>
      <c r="BE1084"/>
      <c r="BF1084"/>
      <c r="BG1084"/>
      <c r="BH1084"/>
      <c r="BI1084"/>
      <c r="BJ1084"/>
      <c r="BK1084"/>
      <c r="BL1084"/>
      <c r="BM1084"/>
      <c r="BN1084"/>
      <c r="BO1084"/>
      <c r="BP1084"/>
      <c r="BQ1084"/>
      <c r="BR1084"/>
      <c r="BY1084"/>
      <c r="BZ1084"/>
      <c r="CA1084"/>
      <c r="CB1084"/>
      <c r="CC1084"/>
      <c r="CD1084"/>
      <c r="CE1084"/>
      <c r="CF1084"/>
      <c r="CG1084"/>
      <c r="CH1084"/>
      <c r="CI1084"/>
      <c r="CJ1084"/>
      <c r="CK1084"/>
      <c r="CL1084"/>
      <c r="CM1084"/>
      <c r="CN1084"/>
      <c r="CO1084"/>
      <c r="CP1084"/>
      <c r="CQ1084"/>
      <c r="CR1084"/>
      <c r="CS1084"/>
      <c r="CT1084"/>
      <c r="CU1084"/>
      <c r="CV1084"/>
      <c r="CW1084"/>
      <c r="CX1084"/>
      <c r="CY1084"/>
    </row>
    <row r="1085" spans="50:103" ht="20.100000000000001" customHeight="1" x14ac:dyDescent="0.25">
      <c r="AX1085"/>
      <c r="AY1085"/>
      <c r="AZ1085"/>
      <c r="BA1085"/>
      <c r="BB1085"/>
      <c r="BC1085"/>
      <c r="BD1085"/>
      <c r="BE1085"/>
      <c r="BF1085"/>
      <c r="BG1085"/>
      <c r="BH1085"/>
      <c r="BI1085"/>
      <c r="BJ1085"/>
      <c r="BK1085"/>
      <c r="BL1085"/>
      <c r="BM1085"/>
      <c r="BN1085"/>
      <c r="BO1085"/>
      <c r="BP1085"/>
      <c r="BQ1085"/>
      <c r="BR1085"/>
      <c r="BY1085"/>
      <c r="BZ1085"/>
      <c r="CA1085"/>
      <c r="CB1085"/>
      <c r="CC1085"/>
      <c r="CD1085"/>
      <c r="CE1085"/>
      <c r="CF1085"/>
      <c r="CG1085"/>
      <c r="CH1085"/>
      <c r="CI1085"/>
      <c r="CJ1085"/>
      <c r="CK1085"/>
      <c r="CL1085"/>
      <c r="CM1085"/>
      <c r="CN1085"/>
      <c r="CO1085"/>
      <c r="CP1085"/>
      <c r="CQ1085"/>
      <c r="CR1085"/>
      <c r="CS1085"/>
      <c r="CT1085"/>
      <c r="CU1085"/>
      <c r="CV1085"/>
      <c r="CW1085"/>
      <c r="CX1085"/>
      <c r="CY1085"/>
    </row>
    <row r="1086" spans="50:103" ht="20.100000000000001" customHeight="1" x14ac:dyDescent="0.25">
      <c r="AX1086"/>
      <c r="AY1086"/>
      <c r="AZ1086"/>
      <c r="BA1086"/>
      <c r="BB1086"/>
      <c r="BC1086"/>
      <c r="BD1086"/>
      <c r="BE1086"/>
      <c r="BF1086"/>
      <c r="BG1086"/>
      <c r="BH1086"/>
      <c r="BI1086"/>
      <c r="BJ1086"/>
      <c r="BK1086"/>
      <c r="BL1086"/>
      <c r="BM1086"/>
      <c r="BN1086"/>
      <c r="BO1086"/>
      <c r="BP1086"/>
      <c r="BQ1086"/>
      <c r="BR1086"/>
      <c r="BY1086"/>
      <c r="BZ1086"/>
      <c r="CA1086"/>
      <c r="CB1086"/>
      <c r="CC1086"/>
      <c r="CD1086"/>
      <c r="CE1086"/>
      <c r="CF1086"/>
      <c r="CG1086"/>
      <c r="CH1086"/>
      <c r="CI1086"/>
      <c r="CJ1086"/>
      <c r="CK1086"/>
      <c r="CL1086"/>
      <c r="CM1086"/>
      <c r="CN1086"/>
      <c r="CO1086"/>
      <c r="CP1086"/>
      <c r="CQ1086"/>
      <c r="CR1086"/>
      <c r="CS1086"/>
      <c r="CT1086"/>
      <c r="CU1086"/>
      <c r="CV1086"/>
      <c r="CW1086"/>
      <c r="CX1086"/>
      <c r="CY1086"/>
    </row>
    <row r="1087" spans="50:103" ht="20.100000000000001" customHeight="1" x14ac:dyDescent="0.25">
      <c r="AX1087"/>
      <c r="AY1087"/>
      <c r="AZ1087"/>
      <c r="BA1087"/>
      <c r="BB1087"/>
      <c r="BC1087"/>
      <c r="BD1087"/>
      <c r="BE1087"/>
      <c r="BF1087"/>
      <c r="BG1087"/>
      <c r="BH1087"/>
      <c r="BI1087"/>
      <c r="BJ1087"/>
      <c r="BK1087"/>
      <c r="BL1087"/>
      <c r="BM1087"/>
      <c r="BN1087"/>
      <c r="BO1087"/>
      <c r="BP1087"/>
      <c r="BQ1087"/>
      <c r="BR1087"/>
      <c r="BY1087"/>
      <c r="BZ1087"/>
      <c r="CA1087"/>
      <c r="CB1087"/>
      <c r="CC1087"/>
      <c r="CD1087"/>
      <c r="CE1087"/>
      <c r="CF1087"/>
      <c r="CG1087"/>
      <c r="CH1087"/>
      <c r="CI1087"/>
      <c r="CJ1087"/>
      <c r="CK1087"/>
      <c r="CL1087"/>
      <c r="CM1087"/>
      <c r="CN1087"/>
      <c r="CO1087"/>
      <c r="CP1087"/>
      <c r="CQ1087"/>
      <c r="CR1087"/>
      <c r="CS1087"/>
      <c r="CT1087"/>
      <c r="CU1087"/>
      <c r="CV1087"/>
      <c r="CW1087"/>
      <c r="CX1087"/>
      <c r="CY1087"/>
    </row>
    <row r="1088" spans="50:103" ht="20.100000000000001" customHeight="1" x14ac:dyDescent="0.25">
      <c r="AX1088"/>
      <c r="AY1088"/>
      <c r="AZ1088"/>
      <c r="BA1088"/>
      <c r="BB1088"/>
      <c r="BC1088"/>
      <c r="BD1088"/>
      <c r="BE1088"/>
      <c r="BF1088"/>
      <c r="BG1088"/>
      <c r="BH1088"/>
      <c r="BI1088"/>
      <c r="BJ1088"/>
      <c r="BK1088"/>
      <c r="BL1088"/>
      <c r="BM1088"/>
      <c r="BN1088"/>
      <c r="BO1088"/>
      <c r="BP1088"/>
      <c r="BQ1088"/>
      <c r="BR1088"/>
      <c r="BY1088"/>
      <c r="BZ1088"/>
      <c r="CA1088"/>
      <c r="CB1088"/>
      <c r="CC1088"/>
      <c r="CD1088"/>
      <c r="CE1088"/>
      <c r="CF1088"/>
      <c r="CG1088"/>
      <c r="CH1088"/>
      <c r="CI1088"/>
      <c r="CJ1088"/>
      <c r="CK1088"/>
      <c r="CL1088"/>
      <c r="CM1088"/>
      <c r="CN1088"/>
      <c r="CO1088"/>
      <c r="CP1088"/>
      <c r="CQ1088"/>
      <c r="CR1088"/>
      <c r="CS1088"/>
      <c r="CT1088"/>
      <c r="CU1088"/>
      <c r="CV1088"/>
      <c r="CW1088"/>
      <c r="CX1088"/>
      <c r="CY1088"/>
    </row>
    <row r="1089" spans="50:103" ht="20.100000000000001" customHeight="1" x14ac:dyDescent="0.25">
      <c r="AX1089"/>
      <c r="AY1089"/>
      <c r="AZ1089"/>
      <c r="BA1089"/>
      <c r="BB1089"/>
      <c r="BC1089"/>
      <c r="BD1089"/>
      <c r="BE1089"/>
      <c r="BF1089"/>
      <c r="BG1089"/>
      <c r="BH1089"/>
      <c r="BI1089"/>
      <c r="BJ1089"/>
      <c r="BK1089"/>
      <c r="BL1089"/>
      <c r="BM1089"/>
      <c r="BN1089"/>
      <c r="BO1089"/>
      <c r="BP1089"/>
      <c r="BQ1089"/>
      <c r="BR1089"/>
      <c r="BY1089"/>
      <c r="BZ1089"/>
      <c r="CA1089"/>
      <c r="CB1089"/>
      <c r="CC1089"/>
      <c r="CD1089"/>
      <c r="CE1089"/>
      <c r="CF1089"/>
      <c r="CG1089"/>
      <c r="CH1089"/>
      <c r="CI1089"/>
      <c r="CJ1089"/>
      <c r="CK1089"/>
      <c r="CL1089"/>
      <c r="CM1089"/>
      <c r="CN1089"/>
      <c r="CO1089"/>
      <c r="CP1089"/>
      <c r="CQ1089"/>
      <c r="CR1089"/>
      <c r="CS1089"/>
      <c r="CT1089"/>
      <c r="CU1089"/>
      <c r="CV1089"/>
      <c r="CW1089"/>
      <c r="CX1089"/>
      <c r="CY1089"/>
    </row>
    <row r="1090" spans="50:103" ht="20.100000000000001" customHeight="1" x14ac:dyDescent="0.25">
      <c r="AX1090"/>
      <c r="AY1090"/>
      <c r="AZ1090"/>
      <c r="BA1090"/>
      <c r="BB1090"/>
      <c r="BC1090"/>
      <c r="BD1090"/>
      <c r="BE1090"/>
      <c r="BF1090"/>
      <c r="BG1090"/>
      <c r="BH1090"/>
      <c r="BI1090"/>
      <c r="BJ1090"/>
      <c r="BK1090"/>
      <c r="BL1090"/>
      <c r="BM1090"/>
      <c r="BN1090"/>
      <c r="BO1090"/>
      <c r="BP1090"/>
      <c r="BQ1090"/>
      <c r="BR1090"/>
      <c r="BY1090"/>
      <c r="BZ1090"/>
      <c r="CA1090"/>
      <c r="CB1090"/>
      <c r="CC1090"/>
      <c r="CD1090"/>
      <c r="CE1090"/>
      <c r="CF1090"/>
      <c r="CG1090"/>
      <c r="CH1090"/>
      <c r="CI1090"/>
      <c r="CJ1090"/>
      <c r="CK1090"/>
      <c r="CL1090"/>
      <c r="CM1090"/>
      <c r="CN1090"/>
      <c r="CO1090"/>
      <c r="CP1090"/>
      <c r="CQ1090"/>
      <c r="CR1090"/>
      <c r="CS1090"/>
      <c r="CT1090"/>
      <c r="CU1090"/>
      <c r="CV1090"/>
      <c r="CW1090"/>
      <c r="CX1090"/>
      <c r="CY1090"/>
    </row>
    <row r="1091" spans="50:103" ht="20.100000000000001" customHeight="1" x14ac:dyDescent="0.25">
      <c r="AX1091"/>
      <c r="AY1091"/>
      <c r="AZ1091"/>
      <c r="BA1091"/>
      <c r="BB1091"/>
      <c r="BC1091"/>
      <c r="BD1091"/>
      <c r="BE1091"/>
      <c r="BF1091"/>
      <c r="BG1091"/>
      <c r="BH1091"/>
      <c r="BI1091"/>
      <c r="BJ1091"/>
      <c r="BK1091"/>
      <c r="BL1091"/>
      <c r="BM1091"/>
      <c r="BN1091"/>
      <c r="BO1091"/>
      <c r="BP1091"/>
      <c r="BQ1091"/>
      <c r="BR1091"/>
      <c r="BY1091"/>
      <c r="BZ1091"/>
      <c r="CA1091"/>
      <c r="CB1091"/>
      <c r="CC1091"/>
      <c r="CD1091"/>
      <c r="CE1091"/>
      <c r="CF1091"/>
      <c r="CG1091"/>
      <c r="CH1091"/>
      <c r="CI1091"/>
      <c r="CJ1091"/>
      <c r="CK1091"/>
      <c r="CL1091"/>
      <c r="CM1091"/>
      <c r="CN1091"/>
      <c r="CO1091"/>
      <c r="CP1091"/>
      <c r="CQ1091"/>
      <c r="CR1091"/>
      <c r="CS1091"/>
      <c r="CT1091"/>
      <c r="CU1091"/>
      <c r="CV1091"/>
      <c r="CW1091"/>
      <c r="CX1091"/>
      <c r="CY1091"/>
    </row>
    <row r="1092" spans="50:103" ht="20.100000000000001" customHeight="1" x14ac:dyDescent="0.25">
      <c r="AX1092"/>
      <c r="AY1092"/>
      <c r="AZ1092"/>
      <c r="BA1092"/>
      <c r="BB1092"/>
      <c r="BC1092"/>
      <c r="BD1092"/>
      <c r="BE1092"/>
      <c r="BF1092"/>
      <c r="BG1092"/>
      <c r="BH1092"/>
      <c r="BI1092"/>
      <c r="BJ1092"/>
      <c r="BK1092"/>
      <c r="BL1092"/>
      <c r="BM1092"/>
      <c r="BN1092"/>
      <c r="BO1092"/>
      <c r="BP1092"/>
      <c r="BQ1092"/>
      <c r="BR1092"/>
      <c r="BY1092"/>
      <c r="BZ1092"/>
      <c r="CA1092"/>
      <c r="CB1092"/>
      <c r="CC1092"/>
      <c r="CD1092"/>
      <c r="CE1092"/>
      <c r="CF1092"/>
      <c r="CG1092"/>
      <c r="CH1092"/>
      <c r="CI1092"/>
      <c r="CJ1092"/>
      <c r="CK1092"/>
      <c r="CL1092"/>
      <c r="CM1092"/>
      <c r="CN1092"/>
      <c r="CO1092"/>
      <c r="CP1092"/>
      <c r="CQ1092"/>
      <c r="CR1092"/>
      <c r="CS1092"/>
      <c r="CT1092"/>
      <c r="CU1092"/>
      <c r="CV1092"/>
      <c r="CW1092"/>
      <c r="CX1092"/>
      <c r="CY1092"/>
    </row>
    <row r="1093" spans="50:103" ht="20.100000000000001" customHeight="1" x14ac:dyDescent="0.25">
      <c r="AX1093"/>
      <c r="AY1093"/>
      <c r="AZ1093"/>
      <c r="BA1093"/>
      <c r="BB1093"/>
      <c r="BC1093"/>
      <c r="BD1093"/>
      <c r="BE1093"/>
      <c r="BF1093"/>
      <c r="BG1093"/>
      <c r="BH1093"/>
      <c r="BI1093"/>
      <c r="BJ1093"/>
      <c r="BK1093"/>
      <c r="BL1093"/>
      <c r="BM1093"/>
      <c r="BN1093"/>
      <c r="BO1093"/>
      <c r="BP1093"/>
      <c r="BQ1093"/>
      <c r="BR1093"/>
      <c r="BY1093"/>
      <c r="BZ1093"/>
      <c r="CA1093"/>
      <c r="CB1093"/>
      <c r="CC1093"/>
      <c r="CD1093"/>
      <c r="CE1093"/>
      <c r="CF1093"/>
      <c r="CG1093"/>
      <c r="CH1093"/>
      <c r="CI1093"/>
      <c r="CJ1093"/>
      <c r="CK1093"/>
      <c r="CL1093"/>
      <c r="CM1093"/>
      <c r="CN1093"/>
      <c r="CO1093"/>
      <c r="CP1093"/>
      <c r="CQ1093"/>
      <c r="CR1093"/>
      <c r="CS1093"/>
      <c r="CT1093"/>
      <c r="CU1093"/>
      <c r="CV1093"/>
      <c r="CW1093"/>
      <c r="CX1093"/>
      <c r="CY1093"/>
    </row>
    <row r="1094" spans="50:103" ht="20.100000000000001" customHeight="1" x14ac:dyDescent="0.25">
      <c r="AX1094"/>
      <c r="AY1094"/>
      <c r="AZ1094"/>
      <c r="BA1094"/>
      <c r="BB1094"/>
      <c r="BC1094"/>
      <c r="BD1094"/>
      <c r="BE1094"/>
      <c r="BF1094"/>
      <c r="BG1094"/>
      <c r="BH1094"/>
      <c r="BI1094"/>
      <c r="BJ1094"/>
      <c r="BK1094"/>
      <c r="BL1094"/>
      <c r="BM1094"/>
      <c r="BN1094"/>
      <c r="BO1094"/>
      <c r="BP1094"/>
      <c r="BQ1094"/>
      <c r="BR1094"/>
      <c r="BY1094"/>
      <c r="BZ1094"/>
      <c r="CA1094"/>
      <c r="CB1094"/>
      <c r="CC1094"/>
      <c r="CD1094"/>
      <c r="CE1094"/>
      <c r="CF1094"/>
      <c r="CG1094"/>
      <c r="CH1094"/>
      <c r="CI1094"/>
      <c r="CJ1094"/>
      <c r="CK1094"/>
      <c r="CL1094"/>
      <c r="CM1094"/>
      <c r="CN1094"/>
      <c r="CO1094"/>
      <c r="CP1094"/>
      <c r="CQ1094"/>
      <c r="CR1094"/>
      <c r="CS1094"/>
      <c r="CT1094"/>
      <c r="CU1094"/>
      <c r="CV1094"/>
      <c r="CW1094"/>
      <c r="CX1094"/>
      <c r="CY1094"/>
    </row>
    <row r="1095" spans="50:103" ht="20.100000000000001" customHeight="1" x14ac:dyDescent="0.25">
      <c r="AX1095"/>
      <c r="AY1095"/>
      <c r="AZ1095"/>
      <c r="BA1095"/>
      <c r="BB1095"/>
      <c r="BC1095"/>
      <c r="BD1095"/>
      <c r="BE1095"/>
      <c r="BF1095"/>
      <c r="BG1095"/>
      <c r="BH1095"/>
      <c r="BI1095"/>
      <c r="BJ1095"/>
      <c r="BK1095"/>
      <c r="BL1095"/>
      <c r="BM1095"/>
      <c r="BN1095"/>
      <c r="BO1095"/>
      <c r="BP1095"/>
      <c r="BQ1095"/>
      <c r="BR1095"/>
      <c r="BY1095"/>
      <c r="BZ1095"/>
      <c r="CA1095"/>
      <c r="CB1095"/>
      <c r="CC1095"/>
      <c r="CD1095"/>
      <c r="CE1095"/>
      <c r="CF1095"/>
      <c r="CG1095"/>
      <c r="CH1095"/>
      <c r="CI1095"/>
      <c r="CJ1095"/>
      <c r="CK1095"/>
      <c r="CL1095"/>
      <c r="CM1095"/>
      <c r="CN1095"/>
      <c r="CO1095"/>
      <c r="CP1095"/>
      <c r="CQ1095"/>
      <c r="CR1095"/>
      <c r="CS1095"/>
      <c r="CT1095"/>
      <c r="CU1095"/>
      <c r="CV1095"/>
      <c r="CW1095"/>
      <c r="CX1095"/>
      <c r="CY1095"/>
    </row>
    <row r="1096" spans="50:103" ht="20.100000000000001" customHeight="1" x14ac:dyDescent="0.25">
      <c r="AX1096"/>
      <c r="AY1096"/>
      <c r="AZ1096"/>
      <c r="BA1096"/>
      <c r="BB1096"/>
      <c r="BC1096"/>
      <c r="BD1096"/>
      <c r="BE1096"/>
      <c r="BF1096"/>
      <c r="BG1096"/>
      <c r="BH1096"/>
      <c r="BI1096"/>
      <c r="BJ1096"/>
      <c r="BK1096"/>
      <c r="BL1096"/>
      <c r="BM1096"/>
      <c r="BN1096"/>
      <c r="BO1096"/>
      <c r="BP1096"/>
      <c r="BQ1096"/>
      <c r="BR1096"/>
      <c r="BY1096"/>
      <c r="BZ1096"/>
      <c r="CA1096"/>
      <c r="CB1096"/>
      <c r="CC1096"/>
      <c r="CD1096"/>
      <c r="CE1096"/>
      <c r="CF1096"/>
      <c r="CG1096"/>
      <c r="CH1096"/>
      <c r="CI1096"/>
      <c r="CJ1096"/>
      <c r="CK1096"/>
      <c r="CL1096"/>
      <c r="CM1096"/>
      <c r="CN1096"/>
      <c r="CO1096"/>
      <c r="CP1096"/>
      <c r="CQ1096"/>
      <c r="CR1096"/>
      <c r="CS1096"/>
      <c r="CT1096"/>
      <c r="CU1096"/>
      <c r="CV1096"/>
      <c r="CW1096"/>
      <c r="CX1096"/>
      <c r="CY1096"/>
    </row>
    <row r="1097" spans="50:103" ht="20.100000000000001" customHeight="1" x14ac:dyDescent="0.25">
      <c r="AX1097"/>
      <c r="AY1097"/>
      <c r="AZ1097"/>
      <c r="BA1097"/>
      <c r="BB1097"/>
      <c r="BC1097"/>
      <c r="BD1097"/>
      <c r="BE1097"/>
      <c r="BF1097"/>
      <c r="BG1097"/>
      <c r="BH1097"/>
      <c r="BI1097"/>
      <c r="BJ1097"/>
      <c r="BK1097"/>
      <c r="BL1097"/>
      <c r="BM1097"/>
      <c r="BN1097"/>
      <c r="BO1097"/>
      <c r="BP1097"/>
      <c r="BQ1097"/>
      <c r="BR1097"/>
      <c r="BY1097"/>
      <c r="BZ1097"/>
      <c r="CA1097"/>
      <c r="CB1097"/>
      <c r="CC1097"/>
      <c r="CD1097"/>
      <c r="CE1097"/>
      <c r="CF1097"/>
      <c r="CG1097"/>
      <c r="CH1097"/>
      <c r="CI1097"/>
      <c r="CJ1097"/>
      <c r="CK1097"/>
      <c r="CL1097"/>
      <c r="CM1097"/>
      <c r="CN1097"/>
      <c r="CO1097"/>
      <c r="CP1097"/>
      <c r="CQ1097"/>
      <c r="CR1097"/>
      <c r="CS1097"/>
      <c r="CT1097"/>
      <c r="CU1097"/>
      <c r="CV1097"/>
      <c r="CW1097"/>
      <c r="CX1097"/>
      <c r="CY1097"/>
    </row>
    <row r="1098" spans="50:103" ht="20.100000000000001" customHeight="1" x14ac:dyDescent="0.25">
      <c r="AX1098"/>
      <c r="AY1098"/>
      <c r="AZ1098"/>
      <c r="BA1098"/>
      <c r="BB1098"/>
      <c r="BC1098"/>
      <c r="BD1098"/>
      <c r="BE1098"/>
      <c r="BF1098"/>
      <c r="BG1098"/>
      <c r="BH1098"/>
      <c r="BI1098"/>
      <c r="BJ1098"/>
      <c r="BK1098"/>
      <c r="BL1098"/>
      <c r="BM1098"/>
      <c r="BN1098"/>
      <c r="BO1098"/>
      <c r="BP1098"/>
      <c r="BQ1098"/>
      <c r="BR1098"/>
      <c r="BY1098"/>
      <c r="BZ1098"/>
      <c r="CA1098"/>
      <c r="CB1098"/>
      <c r="CC1098"/>
      <c r="CD1098"/>
      <c r="CE1098"/>
      <c r="CF1098"/>
      <c r="CG1098"/>
      <c r="CH1098"/>
      <c r="CI1098"/>
      <c r="CJ1098"/>
      <c r="CK1098"/>
      <c r="CL1098"/>
      <c r="CM1098"/>
      <c r="CN1098"/>
      <c r="CO1098"/>
      <c r="CP1098"/>
      <c r="CQ1098"/>
      <c r="CR1098"/>
      <c r="CS1098"/>
      <c r="CT1098"/>
      <c r="CU1098"/>
      <c r="CV1098"/>
      <c r="CW1098"/>
      <c r="CX1098"/>
      <c r="CY1098"/>
    </row>
    <row r="1099" spans="50:103" ht="20.100000000000001" customHeight="1" x14ac:dyDescent="0.25">
      <c r="AX1099"/>
      <c r="AY1099"/>
      <c r="AZ1099"/>
      <c r="BA1099"/>
      <c r="BB1099"/>
      <c r="BC1099"/>
      <c r="BD1099"/>
      <c r="BE1099"/>
      <c r="BF1099"/>
      <c r="BG1099"/>
      <c r="BH1099"/>
      <c r="BI1099"/>
      <c r="BJ1099"/>
      <c r="BK1099"/>
      <c r="BL1099"/>
      <c r="BM1099"/>
      <c r="BN1099"/>
      <c r="BO1099"/>
      <c r="BP1099"/>
      <c r="BQ1099"/>
      <c r="BR1099"/>
      <c r="BY1099"/>
      <c r="BZ1099"/>
      <c r="CA1099"/>
      <c r="CB1099"/>
      <c r="CC1099"/>
      <c r="CD1099"/>
      <c r="CE1099"/>
      <c r="CF1099"/>
      <c r="CG1099"/>
      <c r="CH1099"/>
      <c r="CI1099"/>
      <c r="CJ1099"/>
      <c r="CK1099"/>
      <c r="CL1099"/>
      <c r="CM1099"/>
      <c r="CN1099"/>
      <c r="CO1099"/>
      <c r="CP1099"/>
      <c r="CQ1099"/>
      <c r="CR1099"/>
      <c r="CS1099"/>
      <c r="CT1099"/>
      <c r="CU1099"/>
      <c r="CV1099"/>
      <c r="CW1099"/>
      <c r="CX1099"/>
      <c r="CY1099"/>
    </row>
    <row r="1100" spans="50:103" ht="20.100000000000001" customHeight="1" x14ac:dyDescent="0.25">
      <c r="AX1100"/>
      <c r="AY1100"/>
      <c r="AZ1100"/>
      <c r="BA1100"/>
      <c r="BB1100"/>
      <c r="BC1100"/>
      <c r="BD1100"/>
      <c r="BE1100"/>
      <c r="BF1100"/>
      <c r="BG1100"/>
      <c r="BH1100"/>
      <c r="BI1100"/>
      <c r="BJ1100"/>
      <c r="BK1100"/>
      <c r="BL1100"/>
      <c r="BM1100"/>
      <c r="BN1100"/>
      <c r="BO1100"/>
      <c r="BP1100"/>
      <c r="BQ1100"/>
      <c r="BR1100"/>
      <c r="BY1100"/>
      <c r="BZ1100"/>
      <c r="CA1100"/>
      <c r="CB1100"/>
      <c r="CC1100"/>
      <c r="CD1100"/>
      <c r="CE1100"/>
      <c r="CF1100"/>
      <c r="CG1100"/>
      <c r="CH1100"/>
      <c r="CI1100"/>
      <c r="CJ1100"/>
      <c r="CK1100"/>
      <c r="CL1100"/>
      <c r="CM1100"/>
      <c r="CN1100"/>
      <c r="CO1100"/>
      <c r="CP1100"/>
      <c r="CQ1100"/>
      <c r="CR1100"/>
      <c r="CS1100"/>
      <c r="CT1100"/>
      <c r="CU1100"/>
      <c r="CV1100"/>
      <c r="CW1100"/>
      <c r="CX1100"/>
      <c r="CY1100"/>
    </row>
    <row r="1101" spans="50:103" ht="20.100000000000001" customHeight="1" x14ac:dyDescent="0.25">
      <c r="AX1101"/>
      <c r="AY1101"/>
      <c r="AZ1101"/>
      <c r="BA1101"/>
      <c r="BB1101"/>
      <c r="BC1101"/>
      <c r="BD1101"/>
      <c r="BE1101"/>
      <c r="BF1101"/>
      <c r="BG1101"/>
      <c r="BH1101"/>
      <c r="BI1101"/>
      <c r="BJ1101"/>
      <c r="BK1101"/>
      <c r="BL1101"/>
      <c r="BM1101"/>
      <c r="BN1101"/>
      <c r="BO1101"/>
      <c r="BP1101"/>
      <c r="BQ1101"/>
      <c r="BR1101"/>
      <c r="BY1101"/>
      <c r="BZ1101"/>
      <c r="CA1101"/>
      <c r="CB1101"/>
      <c r="CC1101"/>
      <c r="CD1101"/>
      <c r="CE1101"/>
      <c r="CF1101"/>
      <c r="CG1101"/>
      <c r="CH1101"/>
      <c r="CI1101"/>
      <c r="CJ1101"/>
      <c r="CK1101"/>
      <c r="CL1101"/>
      <c r="CM1101"/>
      <c r="CN1101"/>
      <c r="CO1101"/>
      <c r="CP1101"/>
      <c r="CQ1101"/>
      <c r="CR1101"/>
      <c r="CS1101"/>
      <c r="CT1101"/>
      <c r="CU1101"/>
      <c r="CV1101"/>
      <c r="CW1101"/>
      <c r="CX1101"/>
      <c r="CY1101"/>
    </row>
    <row r="1102" spans="50:103" ht="20.100000000000001" customHeight="1" x14ac:dyDescent="0.25">
      <c r="AX1102"/>
      <c r="AY1102"/>
      <c r="AZ1102"/>
      <c r="BA1102"/>
      <c r="BB1102"/>
      <c r="BC1102"/>
      <c r="BD1102"/>
      <c r="BE1102"/>
      <c r="BF1102"/>
      <c r="BG1102"/>
      <c r="BH1102"/>
      <c r="BI1102"/>
      <c r="BJ1102"/>
      <c r="BK1102"/>
      <c r="BL1102"/>
      <c r="BM1102"/>
      <c r="BN1102"/>
      <c r="BO1102"/>
      <c r="BP1102"/>
      <c r="BQ1102"/>
      <c r="BR1102"/>
      <c r="BY1102"/>
      <c r="BZ1102"/>
      <c r="CA1102"/>
      <c r="CB1102"/>
      <c r="CC1102"/>
      <c r="CD1102"/>
      <c r="CE1102"/>
      <c r="CF1102"/>
      <c r="CG1102"/>
      <c r="CH1102"/>
      <c r="CI1102"/>
      <c r="CJ1102"/>
      <c r="CK1102"/>
      <c r="CL1102"/>
      <c r="CM1102"/>
      <c r="CN1102"/>
      <c r="CO1102"/>
      <c r="CP1102"/>
      <c r="CQ1102"/>
      <c r="CR1102"/>
      <c r="CS1102"/>
      <c r="CT1102"/>
      <c r="CU1102"/>
      <c r="CV1102"/>
      <c r="CW1102"/>
      <c r="CX1102"/>
      <c r="CY1102"/>
    </row>
    <row r="1103" spans="50:103" ht="20.100000000000001" customHeight="1" x14ac:dyDescent="0.25">
      <c r="AX1103"/>
      <c r="AY1103"/>
      <c r="AZ1103"/>
      <c r="BA1103"/>
      <c r="BB1103"/>
      <c r="BC1103"/>
      <c r="BD1103"/>
      <c r="BE1103"/>
      <c r="BF1103"/>
      <c r="BG1103"/>
      <c r="BH1103"/>
      <c r="BI1103"/>
      <c r="BJ1103"/>
      <c r="BK1103"/>
      <c r="BL1103"/>
      <c r="BM1103"/>
      <c r="BN1103"/>
      <c r="BO1103"/>
      <c r="BP1103"/>
      <c r="BQ1103"/>
      <c r="BR1103"/>
      <c r="BY1103"/>
      <c r="BZ1103"/>
      <c r="CA1103"/>
      <c r="CB1103"/>
      <c r="CC1103"/>
      <c r="CD1103"/>
      <c r="CE1103"/>
      <c r="CF1103"/>
      <c r="CG1103"/>
      <c r="CH1103"/>
      <c r="CI1103"/>
      <c r="CJ1103"/>
      <c r="CK1103"/>
      <c r="CL1103"/>
      <c r="CM1103"/>
      <c r="CN1103"/>
      <c r="CO1103"/>
      <c r="CP1103"/>
      <c r="CQ1103"/>
      <c r="CR1103"/>
      <c r="CS1103"/>
      <c r="CT1103"/>
      <c r="CU1103"/>
      <c r="CV1103"/>
      <c r="CW1103"/>
      <c r="CX1103"/>
      <c r="CY1103"/>
    </row>
    <row r="1104" spans="50:103" ht="20.100000000000001" customHeight="1" x14ac:dyDescent="0.25">
      <c r="AX1104"/>
      <c r="AY1104"/>
      <c r="AZ1104"/>
      <c r="BA1104"/>
      <c r="BB1104"/>
      <c r="BC1104"/>
      <c r="BD1104"/>
      <c r="BE1104"/>
      <c r="BF1104"/>
      <c r="BG1104"/>
      <c r="BH1104"/>
      <c r="BI1104"/>
      <c r="BJ1104"/>
      <c r="BK1104"/>
      <c r="BL1104"/>
      <c r="BM1104"/>
      <c r="BN1104"/>
      <c r="BO1104"/>
      <c r="BP1104"/>
      <c r="BQ1104"/>
      <c r="BR1104"/>
      <c r="BY1104"/>
      <c r="BZ1104"/>
      <c r="CA1104"/>
      <c r="CB1104"/>
      <c r="CC1104"/>
      <c r="CD1104"/>
      <c r="CE1104"/>
      <c r="CF1104"/>
      <c r="CG1104"/>
      <c r="CH1104"/>
      <c r="CI1104"/>
      <c r="CJ1104"/>
      <c r="CK1104"/>
      <c r="CL1104"/>
      <c r="CM1104"/>
      <c r="CN1104"/>
      <c r="CO1104"/>
      <c r="CP1104"/>
      <c r="CQ1104"/>
      <c r="CR1104"/>
      <c r="CS1104"/>
      <c r="CT1104"/>
      <c r="CU1104"/>
      <c r="CV1104"/>
      <c r="CW1104"/>
      <c r="CX1104"/>
      <c r="CY1104"/>
    </row>
    <row r="1105" spans="50:103" ht="20.100000000000001" customHeight="1" x14ac:dyDescent="0.25">
      <c r="AX1105"/>
      <c r="AY1105"/>
      <c r="AZ1105"/>
      <c r="BA1105"/>
      <c r="BB1105"/>
      <c r="BC1105"/>
      <c r="BD1105"/>
      <c r="BE1105"/>
      <c r="BF1105"/>
      <c r="BG1105"/>
      <c r="BH1105"/>
      <c r="BI1105"/>
      <c r="BJ1105"/>
      <c r="BK1105"/>
      <c r="BL1105"/>
      <c r="BM1105"/>
      <c r="BN1105"/>
      <c r="BO1105"/>
      <c r="BP1105"/>
      <c r="BQ1105"/>
      <c r="BR1105"/>
      <c r="BY1105"/>
      <c r="BZ1105"/>
      <c r="CA1105"/>
      <c r="CB1105"/>
      <c r="CC1105"/>
      <c r="CD1105"/>
      <c r="CE1105"/>
      <c r="CF1105"/>
      <c r="CG1105"/>
      <c r="CH1105"/>
      <c r="CI1105"/>
      <c r="CJ1105"/>
      <c r="CK1105"/>
      <c r="CL1105"/>
      <c r="CM1105"/>
      <c r="CN1105"/>
      <c r="CO1105"/>
      <c r="CP1105"/>
      <c r="CQ1105"/>
      <c r="CR1105"/>
      <c r="CS1105"/>
      <c r="CT1105"/>
      <c r="CU1105"/>
      <c r="CV1105"/>
      <c r="CW1105"/>
      <c r="CX1105"/>
      <c r="CY1105"/>
    </row>
    <row r="1106" spans="50:103" ht="20.100000000000001" customHeight="1" x14ac:dyDescent="0.25">
      <c r="AX1106"/>
      <c r="AY1106"/>
      <c r="AZ1106"/>
      <c r="BA1106"/>
      <c r="BB1106"/>
      <c r="BC1106"/>
      <c r="BD1106"/>
      <c r="BE1106"/>
      <c r="BF1106"/>
      <c r="BG1106"/>
      <c r="BH1106"/>
      <c r="BI1106"/>
      <c r="BJ1106"/>
      <c r="BK1106"/>
      <c r="BL1106"/>
      <c r="BM1106"/>
      <c r="BN1106"/>
      <c r="BO1106"/>
      <c r="BP1106"/>
      <c r="BQ1106"/>
      <c r="BR1106"/>
      <c r="BY1106"/>
      <c r="BZ1106"/>
      <c r="CA1106"/>
      <c r="CB1106"/>
      <c r="CC1106"/>
      <c r="CD1106"/>
      <c r="CE1106"/>
      <c r="CF1106"/>
      <c r="CG1106"/>
      <c r="CH1106"/>
      <c r="CI1106"/>
      <c r="CJ1106"/>
      <c r="CK1106"/>
      <c r="CL1106"/>
      <c r="CM1106"/>
      <c r="CN1106"/>
      <c r="CO1106"/>
      <c r="CP1106"/>
      <c r="CQ1106"/>
      <c r="CR1106"/>
      <c r="CS1106"/>
      <c r="CT1106"/>
      <c r="CU1106"/>
      <c r="CV1106"/>
      <c r="CW1106"/>
      <c r="CX1106"/>
      <c r="CY1106"/>
    </row>
    <row r="1107" spans="50:103" ht="20.100000000000001" customHeight="1" x14ac:dyDescent="0.25">
      <c r="AX1107"/>
      <c r="AY1107"/>
      <c r="AZ1107"/>
      <c r="BA1107"/>
      <c r="BB1107"/>
      <c r="BC1107"/>
      <c r="BD1107"/>
      <c r="BE1107"/>
      <c r="BF1107"/>
      <c r="BG1107"/>
      <c r="BH1107"/>
      <c r="BI1107"/>
      <c r="BJ1107"/>
      <c r="BK1107"/>
      <c r="BL1107"/>
      <c r="BM1107"/>
      <c r="BN1107"/>
      <c r="BO1107"/>
      <c r="BP1107"/>
      <c r="BQ1107"/>
      <c r="BR1107"/>
      <c r="BY1107"/>
      <c r="BZ1107"/>
      <c r="CA1107"/>
      <c r="CB1107"/>
      <c r="CC1107"/>
      <c r="CD1107"/>
      <c r="CE1107"/>
      <c r="CF1107"/>
      <c r="CG1107"/>
      <c r="CH1107"/>
      <c r="CI1107"/>
      <c r="CJ1107"/>
      <c r="CK1107"/>
      <c r="CL1107"/>
      <c r="CM1107"/>
      <c r="CN1107"/>
      <c r="CO1107"/>
      <c r="CP1107"/>
      <c r="CQ1107"/>
      <c r="CR1107"/>
      <c r="CS1107"/>
      <c r="CT1107"/>
      <c r="CU1107"/>
      <c r="CV1107"/>
      <c r="CW1107"/>
      <c r="CX1107"/>
      <c r="CY1107"/>
    </row>
    <row r="1108" spans="50:103" ht="20.100000000000001" customHeight="1" x14ac:dyDescent="0.25">
      <c r="AX1108"/>
      <c r="AY1108"/>
      <c r="AZ1108"/>
      <c r="BA1108"/>
      <c r="BB1108"/>
      <c r="BC1108"/>
      <c r="BD1108"/>
      <c r="BE1108"/>
      <c r="BF1108"/>
      <c r="BG1108"/>
      <c r="BH1108"/>
      <c r="BI1108"/>
      <c r="BJ1108"/>
      <c r="BK1108"/>
      <c r="BL1108"/>
      <c r="BM1108"/>
      <c r="BN1108"/>
      <c r="BO1108"/>
      <c r="BP1108"/>
      <c r="BQ1108"/>
      <c r="BR1108"/>
      <c r="BY1108"/>
      <c r="BZ1108"/>
      <c r="CA1108"/>
      <c r="CB1108"/>
      <c r="CC1108"/>
      <c r="CD1108"/>
      <c r="CE1108"/>
      <c r="CF1108"/>
      <c r="CG1108"/>
      <c r="CH1108"/>
      <c r="CI1108"/>
      <c r="CJ1108"/>
      <c r="CK1108"/>
      <c r="CL1108"/>
      <c r="CM1108"/>
      <c r="CN1108"/>
      <c r="CO1108"/>
      <c r="CP1108"/>
      <c r="CQ1108"/>
      <c r="CR1108"/>
      <c r="CS1108"/>
      <c r="CT1108"/>
      <c r="CU1108"/>
      <c r="CV1108"/>
      <c r="CW1108"/>
      <c r="CX1108"/>
      <c r="CY1108"/>
    </row>
    <row r="1109" spans="50:103" ht="20.100000000000001" customHeight="1" x14ac:dyDescent="0.25">
      <c r="AX1109"/>
      <c r="AY1109"/>
      <c r="AZ1109"/>
      <c r="BA1109"/>
      <c r="BB1109"/>
      <c r="BC1109"/>
      <c r="BD1109"/>
      <c r="BE1109"/>
      <c r="BF1109"/>
      <c r="BG1109"/>
      <c r="BH1109"/>
      <c r="BI1109"/>
      <c r="BJ1109"/>
      <c r="BK1109"/>
      <c r="BL1109"/>
      <c r="BM1109"/>
      <c r="BN1109"/>
      <c r="BO1109"/>
      <c r="BP1109"/>
      <c r="BQ1109"/>
      <c r="BR1109"/>
      <c r="BY1109"/>
      <c r="BZ1109"/>
      <c r="CA1109"/>
      <c r="CB1109"/>
      <c r="CC1109"/>
      <c r="CD1109"/>
      <c r="CE1109"/>
      <c r="CF1109"/>
      <c r="CG1109"/>
      <c r="CH1109"/>
      <c r="CI1109"/>
      <c r="CJ1109"/>
      <c r="CK1109"/>
      <c r="CL1109"/>
      <c r="CM1109"/>
      <c r="CN1109"/>
      <c r="CO1109"/>
      <c r="CP1109"/>
      <c r="CQ1109"/>
      <c r="CR1109"/>
      <c r="CS1109"/>
      <c r="CT1109"/>
      <c r="CU1109"/>
      <c r="CV1109"/>
      <c r="CW1109"/>
      <c r="CX1109"/>
      <c r="CY1109"/>
    </row>
    <row r="1110" spans="50:103" ht="20.100000000000001" customHeight="1" x14ac:dyDescent="0.25">
      <c r="AX1110"/>
      <c r="AY1110"/>
      <c r="AZ1110"/>
      <c r="BA1110"/>
      <c r="BB1110"/>
      <c r="BC1110"/>
      <c r="BD1110"/>
      <c r="BE1110"/>
      <c r="BF1110"/>
      <c r="BG1110"/>
      <c r="BH1110"/>
      <c r="BI1110"/>
      <c r="BJ1110"/>
      <c r="BK1110"/>
      <c r="BL1110"/>
      <c r="BM1110"/>
      <c r="BN1110"/>
      <c r="BO1110"/>
      <c r="BP1110"/>
      <c r="BQ1110"/>
      <c r="BR1110"/>
      <c r="BY1110"/>
      <c r="BZ1110"/>
      <c r="CA1110"/>
      <c r="CB1110"/>
      <c r="CC1110"/>
      <c r="CD1110"/>
      <c r="CE1110"/>
      <c r="CF1110"/>
      <c r="CG1110"/>
      <c r="CH1110"/>
      <c r="CI1110"/>
      <c r="CJ1110"/>
      <c r="CK1110"/>
      <c r="CL1110"/>
      <c r="CM1110"/>
      <c r="CN1110"/>
      <c r="CO1110"/>
      <c r="CP1110"/>
      <c r="CQ1110"/>
      <c r="CR1110"/>
      <c r="CS1110"/>
      <c r="CT1110"/>
      <c r="CU1110"/>
      <c r="CV1110"/>
      <c r="CW1110"/>
      <c r="CX1110"/>
      <c r="CY1110"/>
    </row>
    <row r="1111" spans="50:103" ht="20.100000000000001" customHeight="1" x14ac:dyDescent="0.25">
      <c r="AX1111"/>
      <c r="AY1111"/>
      <c r="AZ1111"/>
      <c r="BA1111"/>
      <c r="BB1111"/>
      <c r="BC1111"/>
      <c r="BD1111"/>
      <c r="BE1111"/>
      <c r="BF1111"/>
      <c r="BG1111"/>
      <c r="BH1111"/>
      <c r="BI1111"/>
      <c r="BJ1111"/>
      <c r="BK1111"/>
      <c r="BL1111"/>
      <c r="BM1111"/>
      <c r="BN1111"/>
      <c r="BO1111"/>
      <c r="BP1111"/>
      <c r="BQ1111"/>
      <c r="BR1111"/>
      <c r="BY1111"/>
      <c r="BZ1111"/>
      <c r="CA1111"/>
      <c r="CB1111"/>
      <c r="CC1111"/>
      <c r="CD1111"/>
      <c r="CE1111"/>
      <c r="CF1111"/>
      <c r="CG1111"/>
      <c r="CH1111"/>
      <c r="CI1111"/>
      <c r="CJ1111"/>
      <c r="CK1111"/>
      <c r="CL1111"/>
      <c r="CM1111"/>
      <c r="CN1111"/>
      <c r="CO1111"/>
      <c r="CP1111"/>
      <c r="CQ1111"/>
      <c r="CR1111"/>
      <c r="CS1111"/>
      <c r="CT1111"/>
      <c r="CU1111"/>
      <c r="CV1111"/>
      <c r="CW1111"/>
      <c r="CX1111"/>
      <c r="CY1111"/>
    </row>
    <row r="1112" spans="50:103" ht="20.100000000000001" customHeight="1" x14ac:dyDescent="0.25">
      <c r="AX1112"/>
      <c r="AY1112"/>
      <c r="AZ1112"/>
      <c r="BA1112"/>
      <c r="BB1112"/>
      <c r="BC1112"/>
      <c r="BD1112"/>
      <c r="BE1112"/>
      <c r="BF1112"/>
      <c r="BG1112"/>
      <c r="BH1112"/>
      <c r="BI1112"/>
      <c r="BJ1112"/>
      <c r="BK1112"/>
      <c r="BL1112"/>
      <c r="BM1112"/>
      <c r="BN1112"/>
      <c r="BO1112"/>
      <c r="BP1112"/>
      <c r="BQ1112"/>
      <c r="BR1112"/>
      <c r="BY1112"/>
      <c r="BZ1112"/>
      <c r="CA1112"/>
      <c r="CB1112"/>
      <c r="CC1112"/>
      <c r="CD1112"/>
      <c r="CE1112"/>
      <c r="CF1112"/>
      <c r="CG1112"/>
      <c r="CH1112"/>
      <c r="CI1112"/>
      <c r="CJ1112"/>
      <c r="CK1112"/>
      <c r="CL1112"/>
      <c r="CM1112"/>
      <c r="CN1112"/>
      <c r="CO1112"/>
      <c r="CP1112"/>
      <c r="CQ1112"/>
      <c r="CR1112"/>
      <c r="CS1112"/>
      <c r="CT1112"/>
      <c r="CU1112"/>
      <c r="CV1112"/>
      <c r="CW1112"/>
      <c r="CX1112"/>
      <c r="CY1112"/>
    </row>
    <row r="1113" spans="50:103" ht="20.100000000000001" customHeight="1" x14ac:dyDescent="0.25">
      <c r="AX1113"/>
      <c r="AY1113"/>
      <c r="AZ1113"/>
      <c r="BA1113"/>
      <c r="BB1113"/>
      <c r="BC1113"/>
      <c r="BD1113"/>
      <c r="BE1113"/>
      <c r="BF1113"/>
      <c r="BG1113"/>
      <c r="BH1113"/>
      <c r="BI1113"/>
      <c r="BJ1113"/>
      <c r="BK1113"/>
      <c r="BL1113"/>
      <c r="BM1113"/>
      <c r="BN1113"/>
      <c r="BO1113"/>
      <c r="BP1113"/>
      <c r="BQ1113"/>
      <c r="BR1113"/>
      <c r="BY1113"/>
      <c r="BZ1113"/>
      <c r="CA1113"/>
      <c r="CB1113"/>
      <c r="CC1113"/>
      <c r="CD1113"/>
      <c r="CE1113"/>
      <c r="CF1113"/>
      <c r="CG1113"/>
      <c r="CH1113"/>
      <c r="CI1113"/>
      <c r="CJ1113"/>
      <c r="CK1113"/>
      <c r="CL1113"/>
      <c r="CM1113"/>
      <c r="CN1113"/>
      <c r="CO1113"/>
      <c r="CP1113"/>
      <c r="CQ1113"/>
      <c r="CR1113"/>
      <c r="CS1113"/>
      <c r="CT1113"/>
      <c r="CU1113"/>
      <c r="CV1113"/>
      <c r="CW1113"/>
      <c r="CX1113"/>
      <c r="CY1113"/>
    </row>
    <row r="1114" spans="50:103" ht="20.100000000000001" customHeight="1" x14ac:dyDescent="0.25">
      <c r="AX1114"/>
      <c r="AY1114"/>
      <c r="AZ1114"/>
      <c r="BA1114"/>
      <c r="BB1114"/>
      <c r="BC1114"/>
      <c r="BD1114"/>
      <c r="BE1114"/>
      <c r="BF1114"/>
      <c r="BG1114"/>
      <c r="BH1114"/>
      <c r="BI1114"/>
      <c r="BJ1114"/>
      <c r="BK1114"/>
      <c r="BL1114"/>
      <c r="BM1114"/>
      <c r="BN1114"/>
      <c r="BO1114"/>
      <c r="BP1114"/>
      <c r="BQ1114"/>
      <c r="BR1114"/>
      <c r="BY1114"/>
      <c r="BZ1114"/>
      <c r="CA1114"/>
      <c r="CB1114"/>
      <c r="CC1114"/>
      <c r="CD1114"/>
      <c r="CE1114"/>
      <c r="CF1114"/>
      <c r="CG1114"/>
      <c r="CH1114"/>
      <c r="CI1114"/>
      <c r="CJ1114"/>
      <c r="CK1114"/>
      <c r="CL1114"/>
      <c r="CM1114"/>
      <c r="CN1114"/>
      <c r="CO1114"/>
      <c r="CP1114"/>
      <c r="CQ1114"/>
      <c r="CR1114"/>
      <c r="CS1114"/>
      <c r="CT1114"/>
      <c r="CU1114"/>
      <c r="CV1114"/>
      <c r="CW1114"/>
      <c r="CX1114"/>
      <c r="CY1114"/>
    </row>
    <row r="1115" spans="50:103" ht="20.100000000000001" customHeight="1" x14ac:dyDescent="0.25">
      <c r="AX1115"/>
      <c r="AY1115"/>
      <c r="AZ1115"/>
      <c r="BA1115"/>
      <c r="BB1115"/>
      <c r="BC1115"/>
      <c r="BD1115"/>
      <c r="BE1115"/>
      <c r="BF1115"/>
      <c r="BG1115"/>
      <c r="BH1115"/>
      <c r="BI1115"/>
      <c r="BJ1115"/>
      <c r="BK1115"/>
      <c r="BL1115"/>
      <c r="BM1115"/>
      <c r="BN1115"/>
      <c r="BO1115"/>
      <c r="BP1115"/>
      <c r="BQ1115"/>
      <c r="BR1115"/>
      <c r="BY1115"/>
      <c r="BZ1115"/>
      <c r="CA1115"/>
      <c r="CB1115"/>
      <c r="CC1115"/>
      <c r="CD1115"/>
      <c r="CE1115"/>
      <c r="CF1115"/>
      <c r="CG1115"/>
      <c r="CH1115"/>
      <c r="CI1115"/>
      <c r="CJ1115"/>
      <c r="CK1115"/>
      <c r="CL1115"/>
      <c r="CM1115"/>
      <c r="CN1115"/>
      <c r="CO1115"/>
      <c r="CP1115"/>
      <c r="CQ1115"/>
      <c r="CR1115"/>
      <c r="CS1115"/>
      <c r="CT1115"/>
      <c r="CU1115"/>
      <c r="CV1115"/>
      <c r="CW1115"/>
      <c r="CX1115"/>
      <c r="CY1115"/>
    </row>
    <row r="1116" spans="50:103" ht="20.100000000000001" customHeight="1" x14ac:dyDescent="0.25">
      <c r="AX1116"/>
      <c r="AY1116"/>
      <c r="AZ1116"/>
      <c r="BA1116"/>
      <c r="BB1116"/>
      <c r="BC1116"/>
      <c r="BD1116"/>
      <c r="BE1116"/>
      <c r="BF1116"/>
      <c r="BG1116"/>
      <c r="BH1116"/>
      <c r="BI1116"/>
      <c r="BJ1116"/>
      <c r="BK1116"/>
      <c r="BL1116"/>
      <c r="BM1116"/>
      <c r="BN1116"/>
      <c r="BO1116"/>
      <c r="BP1116"/>
      <c r="BQ1116"/>
      <c r="BR1116"/>
      <c r="BY1116"/>
      <c r="BZ1116"/>
      <c r="CA1116"/>
      <c r="CB1116"/>
      <c r="CC1116"/>
      <c r="CD1116"/>
      <c r="CE1116"/>
      <c r="CF1116"/>
      <c r="CG1116"/>
      <c r="CH1116"/>
      <c r="CI1116"/>
      <c r="CJ1116"/>
      <c r="CK1116"/>
      <c r="CL1116"/>
      <c r="CM1116"/>
      <c r="CN1116"/>
      <c r="CO1116"/>
      <c r="CP1116"/>
      <c r="CQ1116"/>
      <c r="CR1116"/>
      <c r="CS1116"/>
      <c r="CT1116"/>
      <c r="CU1116"/>
      <c r="CV1116"/>
      <c r="CW1116"/>
      <c r="CX1116"/>
      <c r="CY1116"/>
    </row>
    <row r="1117" spans="50:103" ht="20.100000000000001" customHeight="1" x14ac:dyDescent="0.25">
      <c r="AX1117"/>
      <c r="AY1117"/>
      <c r="AZ1117"/>
      <c r="BA1117"/>
      <c r="BB1117"/>
      <c r="BC1117"/>
      <c r="BD1117"/>
      <c r="BE1117"/>
      <c r="BF1117"/>
      <c r="BG1117"/>
      <c r="BH1117"/>
      <c r="BI1117"/>
      <c r="BJ1117"/>
      <c r="BK1117"/>
      <c r="BL1117"/>
      <c r="BM1117"/>
      <c r="BN1117"/>
      <c r="BO1117"/>
      <c r="BP1117"/>
      <c r="BQ1117"/>
      <c r="BR1117"/>
      <c r="BY1117"/>
      <c r="BZ1117"/>
      <c r="CA1117"/>
      <c r="CB1117"/>
      <c r="CC1117"/>
      <c r="CD1117"/>
      <c r="CE1117"/>
      <c r="CF1117"/>
      <c r="CG1117"/>
      <c r="CH1117"/>
      <c r="CI1117"/>
      <c r="CJ1117"/>
      <c r="CK1117"/>
      <c r="CL1117"/>
      <c r="CM1117"/>
      <c r="CN1117"/>
      <c r="CO1117"/>
      <c r="CP1117"/>
      <c r="CQ1117"/>
      <c r="CR1117"/>
      <c r="CS1117"/>
      <c r="CT1117"/>
      <c r="CU1117"/>
      <c r="CV1117"/>
      <c r="CW1117"/>
      <c r="CX1117"/>
      <c r="CY1117"/>
    </row>
    <row r="1118" spans="50:103" ht="20.100000000000001" customHeight="1" x14ac:dyDescent="0.25">
      <c r="AX1118"/>
      <c r="AY1118"/>
      <c r="AZ1118"/>
      <c r="BA1118"/>
      <c r="BB1118"/>
      <c r="BC1118"/>
      <c r="BD1118"/>
      <c r="BE1118"/>
      <c r="BF1118"/>
      <c r="BG1118"/>
      <c r="BH1118"/>
      <c r="BI1118"/>
      <c r="BJ1118"/>
      <c r="BK1118"/>
      <c r="BL1118"/>
      <c r="BM1118"/>
      <c r="BN1118"/>
      <c r="BO1118"/>
      <c r="BP1118"/>
      <c r="BQ1118"/>
      <c r="BR1118"/>
      <c r="BY1118"/>
      <c r="BZ1118"/>
      <c r="CA1118"/>
      <c r="CB1118"/>
      <c r="CC1118"/>
      <c r="CD1118"/>
      <c r="CE1118"/>
      <c r="CF1118"/>
      <c r="CG1118"/>
      <c r="CH1118"/>
      <c r="CI1118"/>
      <c r="CJ1118"/>
      <c r="CK1118"/>
      <c r="CL1118"/>
      <c r="CM1118"/>
      <c r="CN1118"/>
      <c r="CO1118"/>
      <c r="CP1118"/>
      <c r="CQ1118"/>
      <c r="CR1118"/>
      <c r="CS1118"/>
      <c r="CT1118"/>
      <c r="CU1118"/>
      <c r="CV1118"/>
      <c r="CW1118"/>
      <c r="CX1118"/>
      <c r="CY1118"/>
    </row>
    <row r="1119" spans="50:103" ht="20.100000000000001" customHeight="1" x14ac:dyDescent="0.25">
      <c r="AX1119"/>
      <c r="AY1119"/>
      <c r="AZ1119"/>
      <c r="BA1119"/>
      <c r="BB1119"/>
      <c r="BC1119"/>
      <c r="BD1119"/>
      <c r="BE1119"/>
      <c r="BF1119"/>
      <c r="BG1119"/>
      <c r="BH1119"/>
      <c r="BI1119"/>
      <c r="BJ1119"/>
      <c r="BK1119"/>
      <c r="BL1119"/>
      <c r="BM1119"/>
      <c r="BN1119"/>
      <c r="BO1119"/>
      <c r="BP1119"/>
      <c r="BQ1119"/>
      <c r="BR1119"/>
      <c r="BY1119"/>
      <c r="BZ1119"/>
      <c r="CA1119"/>
      <c r="CB1119"/>
      <c r="CC1119"/>
      <c r="CD1119"/>
      <c r="CE1119"/>
      <c r="CF1119"/>
      <c r="CG1119"/>
      <c r="CH1119"/>
      <c r="CI1119"/>
      <c r="CJ1119"/>
      <c r="CK1119"/>
      <c r="CL1119"/>
      <c r="CM1119"/>
      <c r="CN1119"/>
      <c r="CO1119"/>
      <c r="CP1119"/>
      <c r="CQ1119"/>
      <c r="CR1119"/>
      <c r="CS1119"/>
      <c r="CT1119"/>
      <c r="CU1119"/>
      <c r="CV1119"/>
      <c r="CW1119"/>
      <c r="CX1119"/>
      <c r="CY1119"/>
    </row>
    <row r="1120" spans="50:103" ht="20.100000000000001" customHeight="1" x14ac:dyDescent="0.25">
      <c r="AX1120"/>
      <c r="AY1120"/>
      <c r="AZ1120"/>
      <c r="BA1120"/>
      <c r="BB1120"/>
      <c r="BC1120"/>
      <c r="BD1120"/>
      <c r="BE1120"/>
      <c r="BF1120"/>
      <c r="BG1120"/>
      <c r="BH1120"/>
      <c r="BI1120"/>
      <c r="BJ1120"/>
      <c r="BK1120"/>
      <c r="BL1120"/>
      <c r="BM1120"/>
      <c r="BN1120"/>
      <c r="BO1120"/>
      <c r="BP1120"/>
      <c r="BQ1120"/>
      <c r="BR1120"/>
      <c r="BY1120"/>
      <c r="BZ1120"/>
      <c r="CA1120"/>
      <c r="CB1120"/>
      <c r="CC1120"/>
      <c r="CD1120"/>
      <c r="CE1120"/>
      <c r="CF1120"/>
      <c r="CG1120"/>
      <c r="CH1120"/>
      <c r="CI1120"/>
      <c r="CJ1120"/>
      <c r="CK1120"/>
      <c r="CL1120"/>
      <c r="CM1120"/>
      <c r="CN1120"/>
      <c r="CO1120"/>
      <c r="CP1120"/>
      <c r="CQ1120"/>
      <c r="CR1120"/>
      <c r="CS1120"/>
      <c r="CT1120"/>
      <c r="CU1120"/>
      <c r="CV1120"/>
      <c r="CW1120"/>
      <c r="CX1120"/>
      <c r="CY1120"/>
    </row>
    <row r="1121" spans="50:103" ht="20.100000000000001" customHeight="1" x14ac:dyDescent="0.25">
      <c r="AX1121"/>
      <c r="AY1121"/>
      <c r="AZ1121"/>
      <c r="BA1121"/>
      <c r="BB1121"/>
      <c r="BC1121"/>
      <c r="BD1121"/>
      <c r="BE1121"/>
      <c r="BF1121"/>
      <c r="BG1121"/>
      <c r="BH1121"/>
      <c r="BI1121"/>
      <c r="BJ1121"/>
      <c r="BK1121"/>
      <c r="BL1121"/>
      <c r="BM1121"/>
      <c r="BN1121"/>
      <c r="BO1121"/>
      <c r="BP1121"/>
      <c r="BQ1121"/>
      <c r="BR1121"/>
      <c r="BY1121"/>
      <c r="BZ1121"/>
      <c r="CA1121"/>
      <c r="CB1121"/>
      <c r="CC1121"/>
      <c r="CD1121"/>
      <c r="CE1121"/>
      <c r="CF1121"/>
      <c r="CG1121"/>
      <c r="CH1121"/>
      <c r="CI1121"/>
      <c r="CJ1121"/>
      <c r="CK1121"/>
      <c r="CL1121"/>
      <c r="CM1121"/>
      <c r="CN1121"/>
      <c r="CO1121"/>
      <c r="CP1121"/>
      <c r="CQ1121"/>
      <c r="CR1121"/>
      <c r="CS1121"/>
      <c r="CT1121"/>
      <c r="CU1121"/>
      <c r="CV1121"/>
      <c r="CW1121"/>
      <c r="CX1121"/>
      <c r="CY1121"/>
    </row>
    <row r="1122" spans="50:103" ht="20.100000000000001" customHeight="1" x14ac:dyDescent="0.25">
      <c r="AX1122"/>
      <c r="AY1122"/>
      <c r="AZ1122"/>
      <c r="BA1122"/>
      <c r="BB1122"/>
      <c r="BC1122"/>
      <c r="BD1122"/>
      <c r="BE1122"/>
      <c r="BF1122"/>
      <c r="BG1122"/>
      <c r="BH1122"/>
      <c r="BI1122"/>
      <c r="BJ1122"/>
      <c r="BK1122"/>
      <c r="BL1122"/>
      <c r="BM1122"/>
      <c r="BN1122"/>
      <c r="BO1122"/>
      <c r="BP1122"/>
      <c r="BQ1122"/>
      <c r="BR1122"/>
      <c r="BY1122"/>
      <c r="BZ1122"/>
      <c r="CA1122"/>
      <c r="CB1122"/>
      <c r="CC1122"/>
      <c r="CD1122"/>
      <c r="CE1122"/>
      <c r="CF1122"/>
      <c r="CG1122"/>
      <c r="CH1122"/>
      <c r="CI1122"/>
      <c r="CJ1122"/>
      <c r="CK1122"/>
      <c r="CL1122"/>
      <c r="CM1122"/>
      <c r="CN1122"/>
      <c r="CO1122"/>
      <c r="CP1122"/>
      <c r="CQ1122"/>
      <c r="CR1122"/>
      <c r="CS1122"/>
      <c r="CT1122"/>
      <c r="CU1122"/>
      <c r="CV1122"/>
      <c r="CW1122"/>
      <c r="CX1122"/>
      <c r="CY1122"/>
    </row>
    <row r="1123" spans="50:103" ht="20.100000000000001" customHeight="1" x14ac:dyDescent="0.25">
      <c r="AX1123"/>
      <c r="AY1123"/>
      <c r="AZ1123"/>
      <c r="BA1123"/>
      <c r="BB1123"/>
      <c r="BC1123"/>
      <c r="BD1123"/>
      <c r="BE1123"/>
      <c r="BF1123"/>
      <c r="BG1123"/>
      <c r="BH1123"/>
      <c r="BI1123"/>
      <c r="BJ1123"/>
      <c r="BK1123"/>
      <c r="BL1123"/>
      <c r="BM1123"/>
      <c r="BN1123"/>
      <c r="BO1123"/>
      <c r="BP1123"/>
      <c r="BQ1123"/>
      <c r="BR1123"/>
      <c r="BY1123"/>
      <c r="BZ1123"/>
      <c r="CA1123"/>
      <c r="CB1123"/>
      <c r="CC1123"/>
      <c r="CD1123"/>
      <c r="CE1123"/>
      <c r="CF1123"/>
      <c r="CG1123"/>
      <c r="CH1123"/>
      <c r="CI1123"/>
      <c r="CJ1123"/>
      <c r="CK1123"/>
      <c r="CL1123"/>
      <c r="CM1123"/>
      <c r="CN1123"/>
      <c r="CO1123"/>
      <c r="CP1123"/>
      <c r="CQ1123"/>
      <c r="CR1123"/>
      <c r="CS1123"/>
      <c r="CT1123"/>
      <c r="CU1123"/>
      <c r="CV1123"/>
      <c r="CW1123"/>
      <c r="CX1123"/>
      <c r="CY1123"/>
    </row>
    <row r="1124" spans="50:103" ht="20.100000000000001" customHeight="1" x14ac:dyDescent="0.25">
      <c r="AX1124"/>
      <c r="AY1124"/>
      <c r="AZ1124"/>
      <c r="BA1124"/>
      <c r="BB1124"/>
      <c r="BC1124"/>
      <c r="BD1124"/>
      <c r="BE1124"/>
      <c r="BF1124"/>
      <c r="BG1124"/>
      <c r="BH1124"/>
      <c r="BI1124"/>
      <c r="BJ1124"/>
      <c r="BK1124"/>
      <c r="BL1124"/>
      <c r="BM1124"/>
      <c r="BN1124"/>
      <c r="BO1124"/>
      <c r="BP1124"/>
      <c r="BQ1124"/>
      <c r="BR1124"/>
      <c r="BY1124"/>
      <c r="BZ1124"/>
      <c r="CA1124"/>
      <c r="CB1124"/>
      <c r="CC1124"/>
      <c r="CD1124"/>
      <c r="CE1124"/>
      <c r="CF1124"/>
      <c r="CG1124"/>
      <c r="CH1124"/>
      <c r="CI1124"/>
      <c r="CJ1124"/>
      <c r="CK1124"/>
      <c r="CL1124"/>
      <c r="CM1124"/>
      <c r="CN1124"/>
      <c r="CO1124"/>
      <c r="CP1124"/>
      <c r="CQ1124"/>
      <c r="CR1124"/>
      <c r="CS1124"/>
      <c r="CT1124"/>
      <c r="CU1124"/>
      <c r="CV1124"/>
      <c r="CW1124"/>
      <c r="CX1124"/>
      <c r="CY1124"/>
    </row>
    <row r="1125" spans="50:103" ht="20.100000000000001" customHeight="1" x14ac:dyDescent="0.25">
      <c r="AX1125"/>
      <c r="AY1125"/>
      <c r="AZ1125"/>
      <c r="BA1125"/>
      <c r="BB1125"/>
      <c r="BC1125"/>
      <c r="BD1125"/>
      <c r="BE1125"/>
      <c r="BF1125"/>
      <c r="BG1125"/>
      <c r="BH1125"/>
      <c r="BI1125"/>
      <c r="BJ1125"/>
      <c r="BK1125"/>
      <c r="BL1125"/>
      <c r="BM1125"/>
      <c r="BN1125"/>
      <c r="BO1125"/>
      <c r="BP1125"/>
      <c r="BQ1125"/>
      <c r="BR1125"/>
      <c r="BY1125"/>
      <c r="BZ1125"/>
      <c r="CA1125"/>
      <c r="CB1125"/>
      <c r="CC1125"/>
      <c r="CD1125"/>
      <c r="CE1125"/>
      <c r="CF1125"/>
      <c r="CG1125"/>
      <c r="CH1125"/>
      <c r="CI1125"/>
      <c r="CJ1125"/>
      <c r="CK1125"/>
      <c r="CL1125"/>
      <c r="CM1125"/>
      <c r="CN1125"/>
      <c r="CO1125"/>
      <c r="CP1125"/>
      <c r="CQ1125"/>
      <c r="CR1125"/>
      <c r="CS1125"/>
      <c r="CT1125"/>
      <c r="CU1125"/>
      <c r="CV1125"/>
      <c r="CW1125"/>
      <c r="CX1125"/>
      <c r="CY1125"/>
    </row>
    <row r="1126" spans="50:103" ht="20.100000000000001" customHeight="1" x14ac:dyDescent="0.25">
      <c r="AX1126"/>
      <c r="AY1126"/>
      <c r="AZ1126"/>
      <c r="BA1126"/>
      <c r="BB1126"/>
      <c r="BC1126"/>
      <c r="BD1126"/>
      <c r="BE1126"/>
      <c r="BF1126"/>
      <c r="BG1126"/>
      <c r="BH1126"/>
      <c r="BI1126"/>
      <c r="BJ1126"/>
      <c r="BK1126"/>
      <c r="BL1126"/>
      <c r="BM1126"/>
      <c r="BN1126"/>
      <c r="BO1126"/>
      <c r="BP1126"/>
      <c r="BQ1126"/>
      <c r="BR1126"/>
      <c r="BY1126"/>
      <c r="BZ1126"/>
      <c r="CA1126"/>
      <c r="CB1126"/>
      <c r="CC1126"/>
      <c r="CD1126"/>
      <c r="CE1126"/>
      <c r="CF1126"/>
      <c r="CG1126"/>
      <c r="CH1126"/>
      <c r="CI1126"/>
      <c r="CJ1126"/>
      <c r="CK1126"/>
      <c r="CL1126"/>
      <c r="CM1126"/>
      <c r="CN1126"/>
      <c r="CO1126"/>
      <c r="CP1126"/>
      <c r="CQ1126"/>
      <c r="CR1126"/>
      <c r="CS1126"/>
      <c r="CT1126"/>
      <c r="CU1126"/>
      <c r="CV1126"/>
      <c r="CW1126"/>
      <c r="CX1126"/>
      <c r="CY1126"/>
    </row>
    <row r="1127" spans="50:103" ht="20.100000000000001" customHeight="1" x14ac:dyDescent="0.25">
      <c r="AX1127"/>
      <c r="AY1127"/>
      <c r="AZ1127"/>
      <c r="BA1127"/>
      <c r="BB1127"/>
      <c r="BC1127"/>
      <c r="BD1127"/>
      <c r="BE1127"/>
      <c r="BF1127"/>
      <c r="BG1127"/>
      <c r="BH1127"/>
      <c r="BI1127"/>
      <c r="BJ1127"/>
      <c r="BK1127"/>
      <c r="BL1127"/>
      <c r="BM1127"/>
      <c r="BN1127"/>
      <c r="BO1127"/>
      <c r="BP1127"/>
      <c r="BQ1127"/>
      <c r="BR1127"/>
      <c r="BY1127"/>
      <c r="BZ1127"/>
      <c r="CA1127"/>
      <c r="CB1127"/>
      <c r="CC1127"/>
      <c r="CD1127"/>
      <c r="CE1127"/>
      <c r="CF1127"/>
      <c r="CG1127"/>
      <c r="CH1127"/>
      <c r="CI1127"/>
      <c r="CJ1127"/>
      <c r="CK1127"/>
      <c r="CL1127"/>
      <c r="CM1127"/>
      <c r="CN1127"/>
      <c r="CO1127"/>
      <c r="CP1127"/>
      <c r="CQ1127"/>
      <c r="CR1127"/>
      <c r="CS1127"/>
      <c r="CT1127"/>
      <c r="CU1127"/>
      <c r="CV1127"/>
      <c r="CW1127"/>
      <c r="CX1127"/>
      <c r="CY1127"/>
    </row>
    <row r="1128" spans="50:103" ht="20.100000000000001" customHeight="1" x14ac:dyDescent="0.25">
      <c r="AX1128"/>
      <c r="AY1128"/>
      <c r="AZ1128"/>
      <c r="BA1128"/>
      <c r="BB1128"/>
      <c r="BC1128"/>
      <c r="BD1128"/>
      <c r="BE1128"/>
      <c r="BF1128"/>
      <c r="BG1128"/>
      <c r="BH1128"/>
      <c r="BI1128"/>
      <c r="BJ1128"/>
      <c r="BK1128"/>
      <c r="BL1128"/>
      <c r="BM1128"/>
      <c r="BN1128"/>
      <c r="BO1128"/>
      <c r="BP1128"/>
      <c r="BQ1128"/>
      <c r="BR1128"/>
      <c r="BY1128"/>
      <c r="BZ1128"/>
      <c r="CA1128"/>
      <c r="CB1128"/>
      <c r="CC1128"/>
      <c r="CD1128"/>
      <c r="CE1128"/>
      <c r="CF1128"/>
      <c r="CG1128"/>
      <c r="CH1128"/>
      <c r="CI1128"/>
      <c r="CJ1128"/>
      <c r="CK1128"/>
      <c r="CL1128"/>
      <c r="CM1128"/>
      <c r="CN1128"/>
      <c r="CO1128"/>
      <c r="CP1128"/>
      <c r="CQ1128"/>
      <c r="CR1128"/>
      <c r="CS1128"/>
      <c r="CT1128"/>
      <c r="CU1128"/>
      <c r="CV1128"/>
      <c r="CW1128"/>
      <c r="CX1128"/>
      <c r="CY1128"/>
    </row>
    <row r="1129" spans="50:103" ht="20.100000000000001" customHeight="1" x14ac:dyDescent="0.25">
      <c r="AX1129"/>
      <c r="AY1129"/>
      <c r="AZ1129"/>
      <c r="BA1129"/>
      <c r="BB1129"/>
      <c r="BC1129"/>
      <c r="BD1129"/>
      <c r="BE1129"/>
      <c r="BF1129"/>
      <c r="BG1129"/>
      <c r="BH1129"/>
      <c r="BI1129"/>
      <c r="BJ1129"/>
      <c r="BK1129"/>
      <c r="BL1129"/>
      <c r="BM1129"/>
      <c r="BN1129"/>
      <c r="BO1129"/>
      <c r="BP1129"/>
      <c r="BQ1129"/>
      <c r="BR1129"/>
      <c r="BY1129"/>
      <c r="BZ1129"/>
      <c r="CA1129"/>
      <c r="CB1129"/>
      <c r="CC1129"/>
      <c r="CD1129"/>
      <c r="CE1129"/>
      <c r="CF1129"/>
      <c r="CG1129"/>
      <c r="CH1129"/>
      <c r="CI1129"/>
      <c r="CJ1129"/>
      <c r="CK1129"/>
      <c r="CL1129"/>
      <c r="CM1129"/>
      <c r="CN1129"/>
      <c r="CO1129"/>
      <c r="CP1129"/>
      <c r="CQ1129"/>
      <c r="CR1129"/>
      <c r="CS1129"/>
      <c r="CT1129"/>
      <c r="CU1129"/>
      <c r="CV1129"/>
      <c r="CW1129"/>
      <c r="CX1129"/>
      <c r="CY1129"/>
    </row>
    <row r="1130" spans="50:103" ht="20.100000000000001" customHeight="1" x14ac:dyDescent="0.25">
      <c r="AX1130"/>
      <c r="AY1130"/>
      <c r="AZ1130"/>
      <c r="BA1130"/>
      <c r="BB1130"/>
      <c r="BC1130"/>
      <c r="BD1130"/>
      <c r="BE1130"/>
      <c r="BF1130"/>
      <c r="BG1130"/>
      <c r="BH1130"/>
      <c r="BI1130"/>
      <c r="BJ1130"/>
      <c r="BK1130"/>
      <c r="BL1130"/>
      <c r="BM1130"/>
      <c r="BN1130"/>
      <c r="BO1130"/>
      <c r="BP1130"/>
      <c r="BQ1130"/>
      <c r="BR1130"/>
      <c r="BY1130"/>
      <c r="BZ1130"/>
      <c r="CA1130"/>
      <c r="CB1130"/>
      <c r="CC1130"/>
      <c r="CD1130"/>
      <c r="CE1130"/>
      <c r="CF1130"/>
      <c r="CG1130"/>
      <c r="CH1130"/>
      <c r="CI1130"/>
      <c r="CJ1130"/>
      <c r="CK1130"/>
      <c r="CL1130"/>
      <c r="CM1130"/>
      <c r="CN1130"/>
      <c r="CO1130"/>
      <c r="CP1130"/>
      <c r="CQ1130"/>
      <c r="CR1130"/>
      <c r="CS1130"/>
      <c r="CT1130"/>
      <c r="CU1130"/>
      <c r="CV1130"/>
      <c r="CW1130"/>
      <c r="CX1130"/>
      <c r="CY1130"/>
    </row>
    <row r="1131" spans="50:103" ht="20.100000000000001" customHeight="1" x14ac:dyDescent="0.25">
      <c r="AX1131"/>
      <c r="AY1131"/>
      <c r="AZ1131"/>
      <c r="BA1131"/>
      <c r="BB1131"/>
      <c r="BC1131"/>
      <c r="BD1131"/>
      <c r="BE1131"/>
      <c r="BF1131"/>
      <c r="BG1131"/>
      <c r="BH1131"/>
      <c r="BI1131"/>
      <c r="BJ1131"/>
      <c r="BK1131"/>
      <c r="BL1131"/>
      <c r="BM1131"/>
      <c r="BN1131"/>
      <c r="BO1131"/>
      <c r="BP1131"/>
      <c r="BQ1131"/>
      <c r="BR1131"/>
      <c r="BY1131"/>
      <c r="BZ1131"/>
      <c r="CA1131"/>
      <c r="CB1131"/>
      <c r="CC1131"/>
      <c r="CD1131"/>
      <c r="CE1131"/>
      <c r="CF1131"/>
      <c r="CG1131"/>
      <c r="CH1131"/>
      <c r="CI1131"/>
      <c r="CJ1131"/>
      <c r="CK1131"/>
      <c r="CL1131"/>
      <c r="CM1131"/>
      <c r="CN1131"/>
      <c r="CO1131"/>
      <c r="CP1131"/>
      <c r="CQ1131"/>
      <c r="CR1131"/>
      <c r="CS1131"/>
      <c r="CT1131"/>
      <c r="CU1131"/>
      <c r="CV1131"/>
      <c r="CW1131"/>
      <c r="CX1131"/>
      <c r="CY1131"/>
    </row>
    <row r="1132" spans="50:103" ht="20.100000000000001" customHeight="1" x14ac:dyDescent="0.25">
      <c r="AX1132"/>
      <c r="AY1132"/>
      <c r="AZ1132"/>
      <c r="BA1132"/>
      <c r="BB1132"/>
      <c r="BC1132"/>
      <c r="BD1132"/>
      <c r="BE1132"/>
      <c r="BF1132"/>
      <c r="BG1132"/>
      <c r="BH1132"/>
      <c r="BI1132"/>
      <c r="BJ1132"/>
      <c r="BK1132"/>
      <c r="BL1132"/>
      <c r="BM1132"/>
      <c r="BN1132"/>
      <c r="BO1132"/>
      <c r="BP1132"/>
      <c r="BQ1132"/>
      <c r="BR1132"/>
      <c r="BY1132"/>
      <c r="BZ1132"/>
      <c r="CA1132"/>
      <c r="CB1132"/>
      <c r="CC1132"/>
      <c r="CD1132"/>
      <c r="CE1132"/>
      <c r="CF1132"/>
      <c r="CG1132"/>
      <c r="CH1132"/>
      <c r="CI1132"/>
      <c r="CJ1132"/>
      <c r="CK1132"/>
      <c r="CL1132"/>
      <c r="CM1132"/>
      <c r="CN1132"/>
      <c r="CO1132"/>
      <c r="CP1132"/>
      <c r="CQ1132"/>
      <c r="CR1132"/>
      <c r="CS1132"/>
      <c r="CT1132"/>
      <c r="CU1132"/>
      <c r="CV1132"/>
      <c r="CW1132"/>
      <c r="CX1132"/>
      <c r="CY1132"/>
    </row>
    <row r="1133" spans="50:103" ht="20.100000000000001" customHeight="1" x14ac:dyDescent="0.25">
      <c r="AX1133"/>
      <c r="AY1133"/>
      <c r="AZ1133"/>
      <c r="BA1133"/>
      <c r="BB1133"/>
      <c r="BC1133"/>
      <c r="BD1133"/>
      <c r="BE1133"/>
      <c r="BF1133"/>
      <c r="BG1133"/>
      <c r="BH1133"/>
      <c r="BI1133"/>
      <c r="BJ1133"/>
      <c r="BK1133"/>
      <c r="BL1133"/>
      <c r="BM1133"/>
      <c r="BN1133"/>
      <c r="BO1133"/>
      <c r="BP1133"/>
      <c r="BQ1133"/>
      <c r="BR1133"/>
      <c r="BY1133"/>
      <c r="BZ1133"/>
      <c r="CA1133"/>
      <c r="CB1133"/>
      <c r="CC1133"/>
      <c r="CD1133"/>
      <c r="CE1133"/>
      <c r="CF1133"/>
      <c r="CG1133"/>
      <c r="CH1133"/>
      <c r="CI1133"/>
      <c r="CJ1133"/>
      <c r="CK1133"/>
      <c r="CL1133"/>
      <c r="CM1133"/>
      <c r="CN1133"/>
      <c r="CO1133"/>
      <c r="CP1133"/>
      <c r="CQ1133"/>
      <c r="CR1133"/>
      <c r="CS1133"/>
      <c r="CT1133"/>
      <c r="CU1133"/>
      <c r="CV1133"/>
      <c r="CW1133"/>
      <c r="CX1133"/>
      <c r="CY1133"/>
    </row>
    <row r="1134" spans="50:103" ht="20.100000000000001" customHeight="1" x14ac:dyDescent="0.25">
      <c r="AX1134"/>
      <c r="AY1134"/>
      <c r="AZ1134"/>
      <c r="BA1134"/>
      <c r="BB1134"/>
      <c r="BC1134"/>
      <c r="BD1134"/>
      <c r="BE1134"/>
      <c r="BF1134"/>
      <c r="BG1134"/>
      <c r="BH1134"/>
      <c r="BI1134"/>
      <c r="BJ1134"/>
      <c r="BK1134"/>
      <c r="BL1134"/>
      <c r="BM1134"/>
      <c r="BN1134"/>
      <c r="BO1134"/>
      <c r="BP1134"/>
      <c r="BQ1134"/>
      <c r="BR1134"/>
      <c r="BY1134"/>
      <c r="BZ1134"/>
      <c r="CA1134"/>
      <c r="CB1134"/>
      <c r="CC1134"/>
      <c r="CD1134"/>
      <c r="CE1134"/>
      <c r="CF1134"/>
      <c r="CG1134"/>
      <c r="CH1134"/>
      <c r="CI1134"/>
      <c r="CJ1134"/>
      <c r="CK1134"/>
      <c r="CL1134"/>
      <c r="CM1134"/>
      <c r="CN1134"/>
      <c r="CO1134"/>
      <c r="CP1134"/>
      <c r="CQ1134"/>
      <c r="CR1134"/>
      <c r="CS1134"/>
      <c r="CT1134"/>
      <c r="CU1134"/>
      <c r="CV1134"/>
      <c r="CW1134"/>
      <c r="CX1134"/>
      <c r="CY1134"/>
    </row>
    <row r="1135" spans="50:103" ht="20.100000000000001" customHeight="1" x14ac:dyDescent="0.25">
      <c r="AX1135"/>
      <c r="AY1135"/>
      <c r="AZ1135"/>
      <c r="BA1135"/>
      <c r="BB1135"/>
      <c r="BC1135"/>
      <c r="BD1135"/>
      <c r="BE1135"/>
      <c r="BF1135"/>
      <c r="BG1135"/>
      <c r="BH1135"/>
      <c r="BI1135"/>
      <c r="BJ1135"/>
      <c r="BK1135"/>
      <c r="BL1135"/>
      <c r="BM1135"/>
      <c r="BN1135"/>
      <c r="BO1135"/>
      <c r="BP1135"/>
      <c r="BQ1135"/>
      <c r="BR1135"/>
      <c r="BY1135"/>
      <c r="BZ1135"/>
      <c r="CA1135"/>
      <c r="CB1135"/>
      <c r="CC1135"/>
      <c r="CD1135"/>
      <c r="CE1135"/>
      <c r="CF1135"/>
      <c r="CG1135"/>
      <c r="CH1135"/>
      <c r="CI1135"/>
      <c r="CJ1135"/>
      <c r="CK1135"/>
      <c r="CL1135"/>
      <c r="CM1135"/>
      <c r="CN1135"/>
      <c r="CO1135"/>
      <c r="CP1135"/>
      <c r="CQ1135"/>
      <c r="CR1135"/>
      <c r="CS1135"/>
      <c r="CT1135"/>
      <c r="CU1135"/>
      <c r="CV1135"/>
      <c r="CW1135"/>
      <c r="CX1135"/>
      <c r="CY1135"/>
    </row>
    <row r="1136" spans="50:103" ht="20.100000000000001" customHeight="1" x14ac:dyDescent="0.25">
      <c r="AX1136"/>
      <c r="AY1136"/>
      <c r="AZ1136"/>
      <c r="BA1136"/>
      <c r="BB1136"/>
      <c r="BC1136"/>
      <c r="BD1136"/>
      <c r="BE1136"/>
      <c r="BF1136"/>
      <c r="BG1136"/>
      <c r="BH1136"/>
      <c r="BI1136"/>
      <c r="BJ1136"/>
      <c r="BK1136"/>
      <c r="BL1136"/>
      <c r="BM1136"/>
      <c r="BN1136"/>
      <c r="BO1136"/>
      <c r="BP1136"/>
      <c r="BQ1136"/>
      <c r="BR1136"/>
      <c r="BY1136"/>
      <c r="BZ1136"/>
      <c r="CA1136"/>
      <c r="CB1136"/>
      <c r="CC1136"/>
      <c r="CD1136"/>
      <c r="CE1136"/>
      <c r="CF1136"/>
      <c r="CG1136"/>
      <c r="CH1136"/>
      <c r="CI1136"/>
      <c r="CJ1136"/>
      <c r="CK1136"/>
      <c r="CL1136"/>
      <c r="CM1136"/>
      <c r="CN1136"/>
      <c r="CO1136"/>
      <c r="CP1136"/>
      <c r="CQ1136"/>
      <c r="CR1136"/>
      <c r="CS1136"/>
      <c r="CT1136"/>
      <c r="CU1136"/>
      <c r="CV1136"/>
      <c r="CW1136"/>
      <c r="CX1136"/>
      <c r="CY1136"/>
    </row>
    <row r="1137" spans="50:103" ht="20.100000000000001" customHeight="1" x14ac:dyDescent="0.25">
      <c r="AX1137"/>
      <c r="AY1137"/>
      <c r="AZ1137"/>
      <c r="BA1137"/>
      <c r="BB1137"/>
      <c r="BC1137"/>
      <c r="BD1137"/>
      <c r="BE1137"/>
      <c r="BF1137"/>
      <c r="BG1137"/>
      <c r="BH1137"/>
      <c r="BI1137"/>
      <c r="BJ1137"/>
      <c r="BK1137"/>
      <c r="BL1137"/>
      <c r="BM1137"/>
      <c r="BN1137"/>
      <c r="BO1137"/>
      <c r="BP1137"/>
      <c r="BQ1137"/>
      <c r="BR1137"/>
      <c r="BY1137"/>
      <c r="BZ1137"/>
      <c r="CA1137"/>
      <c r="CB1137"/>
      <c r="CC1137"/>
      <c r="CD1137"/>
      <c r="CE1137"/>
      <c r="CF1137"/>
      <c r="CG1137"/>
      <c r="CH1137"/>
      <c r="CI1137"/>
      <c r="CJ1137"/>
      <c r="CK1137"/>
      <c r="CL1137"/>
      <c r="CM1137"/>
      <c r="CN1137"/>
      <c r="CO1137"/>
      <c r="CP1137"/>
      <c r="CQ1137"/>
      <c r="CR1137"/>
      <c r="CS1137"/>
      <c r="CT1137"/>
      <c r="CU1137"/>
      <c r="CV1137"/>
      <c r="CW1137"/>
      <c r="CX1137"/>
      <c r="CY1137"/>
    </row>
    <row r="1138" spans="50:103" ht="20.100000000000001" customHeight="1" x14ac:dyDescent="0.25">
      <c r="AX1138"/>
      <c r="AY1138"/>
      <c r="AZ1138"/>
      <c r="BA1138"/>
      <c r="BB1138"/>
      <c r="BC1138"/>
      <c r="BD1138"/>
      <c r="BE1138"/>
      <c r="BF1138"/>
      <c r="BG1138"/>
      <c r="BH1138"/>
      <c r="BI1138"/>
      <c r="BJ1138"/>
      <c r="BK1138"/>
      <c r="BL1138"/>
      <c r="BM1138"/>
      <c r="BN1138"/>
      <c r="BO1138"/>
      <c r="BP1138"/>
      <c r="BQ1138"/>
      <c r="BR1138"/>
      <c r="BY1138"/>
      <c r="BZ1138"/>
      <c r="CA1138"/>
      <c r="CB1138"/>
      <c r="CC1138"/>
      <c r="CD1138"/>
      <c r="CE1138"/>
      <c r="CF1138"/>
      <c r="CG1138"/>
      <c r="CH1138"/>
      <c r="CI1138"/>
      <c r="CJ1138"/>
      <c r="CK1138"/>
      <c r="CL1138"/>
      <c r="CM1138"/>
      <c r="CN1138"/>
      <c r="CO1138"/>
      <c r="CP1138"/>
      <c r="CQ1138"/>
      <c r="CR1138"/>
      <c r="CS1138"/>
      <c r="CT1138"/>
      <c r="CU1138"/>
      <c r="CV1138"/>
      <c r="CW1138"/>
      <c r="CX1138"/>
      <c r="CY1138"/>
    </row>
    <row r="1139" spans="50:103" ht="20.100000000000001" customHeight="1" x14ac:dyDescent="0.25">
      <c r="AX1139"/>
      <c r="AY1139"/>
      <c r="AZ1139"/>
      <c r="BA1139"/>
      <c r="BB1139"/>
      <c r="BC1139"/>
      <c r="BD1139"/>
      <c r="BE1139"/>
      <c r="BF1139"/>
      <c r="BG1139"/>
      <c r="BH1139"/>
      <c r="BI1139"/>
      <c r="BJ1139"/>
      <c r="BK1139"/>
      <c r="BL1139"/>
      <c r="BM1139"/>
      <c r="BN1139"/>
      <c r="BO1139"/>
      <c r="BP1139"/>
      <c r="BQ1139"/>
      <c r="BR1139"/>
      <c r="BY1139"/>
      <c r="BZ1139"/>
      <c r="CA1139"/>
      <c r="CB1139"/>
      <c r="CC1139"/>
      <c r="CD1139"/>
      <c r="CE1139"/>
      <c r="CF1139"/>
      <c r="CG1139"/>
      <c r="CH1139"/>
      <c r="CI1139"/>
      <c r="CJ1139"/>
      <c r="CK1139"/>
      <c r="CL1139"/>
      <c r="CM1139"/>
      <c r="CN1139"/>
      <c r="CO1139"/>
      <c r="CP1139"/>
      <c r="CQ1139"/>
      <c r="CR1139"/>
      <c r="CS1139"/>
      <c r="CT1139"/>
      <c r="CU1139"/>
      <c r="CV1139"/>
      <c r="CW1139"/>
      <c r="CX1139"/>
      <c r="CY1139"/>
    </row>
    <row r="1140" spans="50:103" ht="20.100000000000001" customHeight="1" x14ac:dyDescent="0.25">
      <c r="AX1140"/>
      <c r="AY1140"/>
      <c r="AZ1140"/>
      <c r="BA1140"/>
      <c r="BB1140"/>
      <c r="BC1140"/>
      <c r="BD1140"/>
      <c r="BE1140"/>
      <c r="BF1140"/>
      <c r="BG1140"/>
      <c r="BH1140"/>
      <c r="BI1140"/>
      <c r="BJ1140"/>
      <c r="BK1140"/>
      <c r="BL1140"/>
      <c r="BM1140"/>
      <c r="BN1140"/>
      <c r="BO1140"/>
      <c r="BP1140"/>
      <c r="BQ1140"/>
      <c r="BR1140"/>
      <c r="BY1140"/>
      <c r="BZ1140"/>
      <c r="CA1140"/>
      <c r="CB1140"/>
      <c r="CC1140"/>
      <c r="CD1140"/>
      <c r="CE1140"/>
      <c r="CF1140"/>
      <c r="CG1140"/>
      <c r="CH1140"/>
      <c r="CI1140"/>
      <c r="CJ1140"/>
      <c r="CK1140"/>
      <c r="CL1140"/>
      <c r="CM1140"/>
      <c r="CN1140"/>
      <c r="CO1140"/>
      <c r="CP1140"/>
      <c r="CQ1140"/>
      <c r="CR1140"/>
      <c r="CS1140"/>
      <c r="CT1140"/>
      <c r="CU1140"/>
      <c r="CV1140"/>
      <c r="CW1140"/>
      <c r="CX1140"/>
      <c r="CY1140"/>
    </row>
    <row r="1141" spans="50:103" ht="20.100000000000001" customHeight="1" x14ac:dyDescent="0.25">
      <c r="AX1141"/>
      <c r="AY1141"/>
      <c r="AZ1141"/>
      <c r="BA1141"/>
      <c r="BB1141"/>
      <c r="BC1141"/>
      <c r="BD1141"/>
      <c r="BE1141"/>
      <c r="BF1141"/>
      <c r="BG1141"/>
      <c r="BH1141"/>
      <c r="BI1141"/>
      <c r="BJ1141"/>
      <c r="BK1141"/>
      <c r="BL1141"/>
      <c r="BM1141"/>
      <c r="BN1141"/>
      <c r="BO1141"/>
      <c r="BP1141"/>
      <c r="BQ1141"/>
      <c r="BR1141"/>
      <c r="BY1141"/>
      <c r="BZ1141"/>
      <c r="CA1141"/>
      <c r="CB1141"/>
      <c r="CC1141"/>
      <c r="CD1141"/>
      <c r="CE1141"/>
      <c r="CF1141"/>
      <c r="CG1141"/>
      <c r="CH1141"/>
      <c r="CI1141"/>
      <c r="CJ1141"/>
      <c r="CK1141"/>
      <c r="CL1141"/>
      <c r="CM1141"/>
      <c r="CN1141"/>
      <c r="CO1141"/>
      <c r="CP1141"/>
      <c r="CQ1141"/>
      <c r="CR1141"/>
      <c r="CS1141"/>
      <c r="CT1141"/>
      <c r="CU1141"/>
      <c r="CV1141"/>
      <c r="CW1141"/>
      <c r="CX1141"/>
      <c r="CY1141"/>
    </row>
    <row r="1142" spans="50:103" ht="20.100000000000001" customHeight="1" x14ac:dyDescent="0.25">
      <c r="AX1142"/>
      <c r="AY1142"/>
      <c r="AZ1142"/>
      <c r="BA1142"/>
      <c r="BB1142"/>
      <c r="BC1142"/>
      <c r="BD1142"/>
      <c r="BE1142"/>
      <c r="BF1142"/>
      <c r="BG1142"/>
      <c r="BH1142"/>
      <c r="BI1142"/>
      <c r="BJ1142"/>
      <c r="BK1142"/>
      <c r="BL1142"/>
      <c r="BM1142"/>
      <c r="BN1142"/>
      <c r="BO1142"/>
      <c r="BP1142"/>
      <c r="BQ1142"/>
      <c r="BR1142"/>
      <c r="BY1142"/>
      <c r="BZ1142"/>
      <c r="CA1142"/>
      <c r="CB1142"/>
      <c r="CC1142"/>
      <c r="CD1142"/>
      <c r="CE1142"/>
      <c r="CF1142"/>
      <c r="CG1142"/>
      <c r="CH1142"/>
      <c r="CI1142"/>
      <c r="CJ1142"/>
      <c r="CK1142"/>
      <c r="CL1142"/>
      <c r="CM1142"/>
      <c r="CN1142"/>
      <c r="CO1142"/>
      <c r="CP1142"/>
      <c r="CQ1142"/>
      <c r="CR1142"/>
      <c r="CS1142"/>
      <c r="CT1142"/>
      <c r="CU1142"/>
      <c r="CV1142"/>
      <c r="CW1142"/>
      <c r="CX1142"/>
      <c r="CY1142"/>
    </row>
    <row r="1143" spans="50:103" ht="20.100000000000001" customHeight="1" x14ac:dyDescent="0.25">
      <c r="AX1143"/>
      <c r="AY1143"/>
      <c r="AZ1143"/>
      <c r="BA1143"/>
      <c r="BB1143"/>
      <c r="BC1143"/>
      <c r="BD1143"/>
      <c r="BE1143"/>
      <c r="BF1143"/>
      <c r="BG1143"/>
      <c r="BH1143"/>
      <c r="BI1143"/>
      <c r="BJ1143"/>
      <c r="BK1143"/>
      <c r="BL1143"/>
      <c r="BM1143"/>
      <c r="BN1143"/>
      <c r="BO1143"/>
      <c r="BP1143"/>
      <c r="BQ1143"/>
      <c r="BR1143"/>
      <c r="BY1143"/>
      <c r="BZ1143"/>
      <c r="CA1143"/>
      <c r="CB1143"/>
      <c r="CC1143"/>
      <c r="CD1143"/>
      <c r="CE1143"/>
      <c r="CF1143"/>
      <c r="CG1143"/>
      <c r="CH1143"/>
      <c r="CI1143"/>
      <c r="CJ1143"/>
      <c r="CK1143"/>
      <c r="CL1143"/>
      <c r="CM1143"/>
      <c r="CN1143"/>
      <c r="CO1143"/>
      <c r="CP1143"/>
      <c r="CQ1143"/>
      <c r="CR1143"/>
      <c r="CS1143"/>
      <c r="CT1143"/>
      <c r="CU1143"/>
      <c r="CV1143"/>
      <c r="CW1143"/>
      <c r="CX1143"/>
      <c r="CY1143"/>
    </row>
    <row r="1144" spans="50:103" ht="20.100000000000001" customHeight="1" x14ac:dyDescent="0.25">
      <c r="AX1144"/>
      <c r="AY1144"/>
      <c r="AZ1144"/>
      <c r="BA1144"/>
      <c r="BB1144"/>
      <c r="BC1144"/>
      <c r="BD1144"/>
      <c r="BE1144"/>
      <c r="BF1144"/>
      <c r="BG1144"/>
      <c r="BH1144"/>
      <c r="BI1144"/>
      <c r="BJ1144"/>
      <c r="BK1144"/>
      <c r="BL1144"/>
      <c r="BM1144"/>
      <c r="BN1144"/>
      <c r="BO1144"/>
      <c r="BP1144"/>
      <c r="BQ1144"/>
      <c r="BR1144"/>
      <c r="BY1144"/>
      <c r="BZ1144"/>
      <c r="CA1144"/>
      <c r="CB1144"/>
      <c r="CC1144"/>
      <c r="CD1144"/>
      <c r="CE1144"/>
      <c r="CF1144"/>
      <c r="CG1144"/>
      <c r="CH1144"/>
      <c r="CI1144"/>
      <c r="CJ1144"/>
      <c r="CK1144"/>
      <c r="CL1144"/>
      <c r="CM1144"/>
      <c r="CN1144"/>
      <c r="CO1144"/>
      <c r="CP1144"/>
      <c r="CQ1144"/>
      <c r="CR1144"/>
      <c r="CS1144"/>
      <c r="CT1144"/>
      <c r="CU1144"/>
      <c r="CV1144"/>
      <c r="CW1144"/>
      <c r="CX1144"/>
      <c r="CY1144"/>
    </row>
    <row r="1145" spans="50:103" ht="20.100000000000001" customHeight="1" x14ac:dyDescent="0.25">
      <c r="AX1145"/>
      <c r="AY1145"/>
      <c r="AZ1145"/>
      <c r="BA1145"/>
      <c r="BB1145"/>
      <c r="BC1145"/>
      <c r="BD1145"/>
      <c r="BE1145"/>
      <c r="BF1145"/>
      <c r="BG1145"/>
      <c r="BH1145"/>
      <c r="BI1145"/>
      <c r="BJ1145"/>
      <c r="BK1145"/>
      <c r="BL1145"/>
      <c r="BM1145"/>
      <c r="BN1145"/>
      <c r="BO1145"/>
      <c r="BP1145"/>
      <c r="BQ1145"/>
      <c r="BR1145"/>
      <c r="BY1145"/>
      <c r="BZ1145"/>
      <c r="CA1145"/>
      <c r="CB1145"/>
      <c r="CC1145"/>
      <c r="CD1145"/>
      <c r="CE1145"/>
      <c r="CF1145"/>
      <c r="CG1145"/>
      <c r="CH1145"/>
      <c r="CI1145"/>
      <c r="CJ1145"/>
      <c r="CK1145"/>
      <c r="CL1145"/>
      <c r="CM1145"/>
      <c r="CN1145"/>
      <c r="CO1145"/>
      <c r="CP1145"/>
      <c r="CQ1145"/>
      <c r="CR1145"/>
      <c r="CS1145"/>
      <c r="CT1145"/>
      <c r="CU1145"/>
      <c r="CV1145"/>
      <c r="CW1145"/>
      <c r="CX1145"/>
      <c r="CY1145"/>
    </row>
    <row r="1146" spans="50:103" ht="20.100000000000001" customHeight="1" x14ac:dyDescent="0.25">
      <c r="AX1146"/>
      <c r="AY1146"/>
      <c r="AZ1146"/>
      <c r="BA1146"/>
      <c r="BB1146"/>
      <c r="BC1146"/>
      <c r="BD1146"/>
      <c r="BE1146"/>
      <c r="BF1146"/>
      <c r="BG1146"/>
      <c r="BH1146"/>
      <c r="BI1146"/>
      <c r="BJ1146"/>
      <c r="BK1146"/>
      <c r="BL1146"/>
      <c r="BM1146"/>
      <c r="BN1146"/>
      <c r="BO1146"/>
      <c r="BP1146"/>
      <c r="BQ1146"/>
      <c r="BR1146"/>
      <c r="BY1146"/>
      <c r="BZ1146"/>
      <c r="CA1146"/>
      <c r="CB1146"/>
      <c r="CC1146"/>
      <c r="CD1146"/>
      <c r="CE1146"/>
      <c r="CF1146"/>
      <c r="CG1146"/>
      <c r="CH1146"/>
      <c r="CI1146"/>
      <c r="CJ1146"/>
      <c r="CK1146"/>
      <c r="CL1146"/>
      <c r="CM1146"/>
      <c r="CN1146"/>
      <c r="CO1146"/>
      <c r="CP1146"/>
      <c r="CQ1146"/>
      <c r="CR1146"/>
      <c r="CS1146"/>
      <c r="CT1146"/>
      <c r="CU1146"/>
      <c r="CV1146"/>
      <c r="CW1146"/>
      <c r="CX1146"/>
      <c r="CY1146"/>
    </row>
    <row r="1147" spans="50:103" ht="20.100000000000001" customHeight="1" x14ac:dyDescent="0.25">
      <c r="AX1147"/>
      <c r="AY1147"/>
      <c r="AZ1147"/>
      <c r="BA1147"/>
      <c r="BB1147"/>
      <c r="BC1147"/>
      <c r="BD1147"/>
      <c r="BE1147"/>
      <c r="BF1147"/>
      <c r="BG1147"/>
      <c r="BH1147"/>
      <c r="BI1147"/>
      <c r="BJ1147"/>
      <c r="BK1147"/>
      <c r="BL1147"/>
      <c r="BM1147"/>
      <c r="BN1147"/>
      <c r="BO1147"/>
      <c r="BP1147"/>
      <c r="BQ1147"/>
      <c r="BR1147"/>
      <c r="BY1147"/>
      <c r="BZ1147"/>
      <c r="CA1147"/>
      <c r="CB1147"/>
      <c r="CC1147"/>
      <c r="CD1147"/>
      <c r="CE1147"/>
      <c r="CF1147"/>
      <c r="CG1147"/>
      <c r="CH1147"/>
      <c r="CI1147"/>
      <c r="CJ1147"/>
      <c r="CK1147"/>
      <c r="CL1147"/>
      <c r="CM1147"/>
      <c r="CN1147"/>
      <c r="CO1147"/>
      <c r="CP1147"/>
      <c r="CQ1147"/>
      <c r="CR1147"/>
      <c r="CS1147"/>
      <c r="CT1147"/>
      <c r="CU1147"/>
      <c r="CV1147"/>
      <c r="CW1147"/>
      <c r="CX1147"/>
      <c r="CY1147"/>
    </row>
    <row r="1148" spans="50:103" ht="20.100000000000001" customHeight="1" x14ac:dyDescent="0.25">
      <c r="AX1148"/>
      <c r="AY1148"/>
      <c r="AZ1148"/>
      <c r="BA1148"/>
      <c r="BB1148"/>
      <c r="BC1148"/>
      <c r="BD1148"/>
      <c r="BE1148"/>
      <c r="BF1148"/>
      <c r="BG1148"/>
      <c r="BH1148"/>
      <c r="BI1148"/>
      <c r="BJ1148"/>
      <c r="BK1148"/>
      <c r="BL1148"/>
      <c r="BM1148"/>
      <c r="BN1148"/>
      <c r="BO1148"/>
      <c r="BP1148"/>
      <c r="BQ1148"/>
      <c r="BR1148"/>
      <c r="BY1148"/>
      <c r="BZ1148"/>
      <c r="CA1148"/>
      <c r="CB1148"/>
      <c r="CC1148"/>
      <c r="CD1148"/>
      <c r="CE1148"/>
      <c r="CF1148"/>
      <c r="CG1148"/>
      <c r="CH1148"/>
      <c r="CI1148"/>
      <c r="CJ1148"/>
      <c r="CK1148"/>
      <c r="CL1148"/>
      <c r="CM1148"/>
      <c r="CN1148"/>
      <c r="CO1148"/>
      <c r="CP1148"/>
      <c r="CQ1148"/>
      <c r="CR1148"/>
      <c r="CS1148"/>
      <c r="CT1148"/>
      <c r="CU1148"/>
      <c r="CV1148"/>
      <c r="CW1148"/>
      <c r="CX1148"/>
      <c r="CY1148"/>
    </row>
    <row r="1149" spans="50:103" ht="20.100000000000001" customHeight="1" x14ac:dyDescent="0.25">
      <c r="AX1149"/>
      <c r="AY1149"/>
      <c r="AZ1149"/>
      <c r="BA1149"/>
      <c r="BB1149"/>
      <c r="BC1149"/>
      <c r="BD1149"/>
      <c r="BE1149"/>
      <c r="BF1149"/>
      <c r="BG1149"/>
      <c r="BH1149"/>
      <c r="BI1149"/>
      <c r="BJ1149"/>
      <c r="BK1149"/>
      <c r="BL1149"/>
      <c r="BM1149"/>
      <c r="BN1149"/>
      <c r="BO1149"/>
      <c r="BP1149"/>
      <c r="BQ1149"/>
      <c r="BR1149"/>
      <c r="BY1149"/>
      <c r="BZ1149"/>
      <c r="CA1149"/>
      <c r="CB1149"/>
      <c r="CC1149"/>
      <c r="CD1149"/>
      <c r="CE1149"/>
      <c r="CF1149"/>
      <c r="CG1149"/>
      <c r="CH1149"/>
      <c r="CI1149"/>
      <c r="CJ1149"/>
      <c r="CK1149"/>
      <c r="CL1149"/>
      <c r="CM1149"/>
      <c r="CN1149"/>
      <c r="CO1149"/>
      <c r="CP1149"/>
      <c r="CQ1149"/>
      <c r="CR1149"/>
      <c r="CS1149"/>
      <c r="CT1149"/>
      <c r="CU1149"/>
      <c r="CV1149"/>
      <c r="CW1149"/>
      <c r="CX1149"/>
      <c r="CY1149"/>
    </row>
    <row r="1150" spans="50:103" ht="20.100000000000001" customHeight="1" x14ac:dyDescent="0.25">
      <c r="AX1150"/>
      <c r="AY1150"/>
      <c r="AZ1150"/>
      <c r="BA1150"/>
      <c r="BB1150"/>
      <c r="BC1150"/>
      <c r="BD1150"/>
      <c r="BE1150"/>
      <c r="BF1150"/>
      <c r="BG1150"/>
      <c r="BH1150"/>
      <c r="BI1150"/>
      <c r="BJ1150"/>
      <c r="BK1150"/>
      <c r="BL1150"/>
      <c r="BM1150"/>
      <c r="BN1150"/>
      <c r="BO1150"/>
      <c r="BP1150"/>
      <c r="BQ1150"/>
      <c r="BR1150"/>
      <c r="BY1150"/>
      <c r="BZ1150"/>
      <c r="CA1150"/>
      <c r="CB1150"/>
      <c r="CC1150"/>
      <c r="CD1150"/>
      <c r="CE1150"/>
      <c r="CF1150"/>
      <c r="CG1150"/>
      <c r="CH1150"/>
      <c r="CI1150"/>
      <c r="CJ1150"/>
      <c r="CK1150"/>
      <c r="CL1150"/>
      <c r="CM1150"/>
      <c r="CN1150"/>
      <c r="CO1150"/>
      <c r="CP1150"/>
      <c r="CQ1150"/>
      <c r="CR1150"/>
      <c r="CS1150"/>
      <c r="CT1150"/>
      <c r="CU1150"/>
      <c r="CV1150"/>
      <c r="CW1150"/>
      <c r="CX1150"/>
      <c r="CY1150"/>
    </row>
    <row r="1151" spans="50:103" ht="20.100000000000001" customHeight="1" x14ac:dyDescent="0.25">
      <c r="AX1151"/>
      <c r="AY1151"/>
      <c r="AZ1151"/>
      <c r="BA1151"/>
      <c r="BB1151"/>
      <c r="BC1151"/>
      <c r="BD1151"/>
      <c r="BE1151"/>
      <c r="BF1151"/>
      <c r="BG1151"/>
      <c r="BH1151"/>
      <c r="BI1151"/>
      <c r="BJ1151"/>
      <c r="BK1151"/>
      <c r="BL1151"/>
      <c r="BM1151"/>
      <c r="BN1151"/>
      <c r="BO1151"/>
      <c r="BP1151"/>
      <c r="BQ1151"/>
      <c r="BR1151"/>
      <c r="BY1151"/>
      <c r="BZ1151"/>
      <c r="CA1151"/>
      <c r="CB1151"/>
      <c r="CC1151"/>
      <c r="CD1151"/>
      <c r="CE1151"/>
      <c r="CF1151"/>
      <c r="CG1151"/>
      <c r="CH1151"/>
      <c r="CI1151"/>
      <c r="CJ1151"/>
      <c r="CK1151"/>
      <c r="CL1151"/>
      <c r="CM1151"/>
      <c r="CN1151"/>
      <c r="CO1151"/>
      <c r="CP1151"/>
      <c r="CQ1151"/>
      <c r="CR1151"/>
      <c r="CS1151"/>
      <c r="CT1151"/>
      <c r="CU1151"/>
      <c r="CV1151"/>
      <c r="CW1151"/>
      <c r="CX1151"/>
      <c r="CY1151"/>
    </row>
    <row r="1152" spans="50:103" ht="20.100000000000001" customHeight="1" x14ac:dyDescent="0.25">
      <c r="AX1152"/>
      <c r="AY1152"/>
      <c r="AZ1152"/>
      <c r="BA1152"/>
      <c r="BB1152"/>
      <c r="BC1152"/>
      <c r="BD1152"/>
      <c r="BE1152"/>
      <c r="BF1152"/>
      <c r="BG1152"/>
      <c r="BH1152"/>
      <c r="BI1152"/>
      <c r="BJ1152"/>
      <c r="BK1152"/>
      <c r="BL1152"/>
      <c r="BM1152"/>
      <c r="BN1152"/>
      <c r="BO1152"/>
      <c r="BP1152"/>
      <c r="BQ1152"/>
      <c r="BR1152"/>
      <c r="BY1152"/>
      <c r="BZ1152"/>
      <c r="CA1152"/>
      <c r="CB1152"/>
      <c r="CC1152"/>
      <c r="CD1152"/>
      <c r="CE1152"/>
      <c r="CF1152"/>
      <c r="CG1152"/>
      <c r="CH1152"/>
      <c r="CI1152"/>
      <c r="CJ1152"/>
      <c r="CK1152"/>
      <c r="CL1152"/>
      <c r="CM1152"/>
      <c r="CN1152"/>
      <c r="CO1152"/>
      <c r="CP1152"/>
      <c r="CQ1152"/>
      <c r="CR1152"/>
      <c r="CS1152"/>
      <c r="CT1152"/>
      <c r="CU1152"/>
      <c r="CV1152"/>
      <c r="CW1152"/>
      <c r="CX1152"/>
      <c r="CY1152"/>
    </row>
    <row r="1153" spans="50:103" ht="20.100000000000001" customHeight="1" x14ac:dyDescent="0.25">
      <c r="AX1153"/>
      <c r="AY1153"/>
      <c r="AZ1153"/>
      <c r="BA1153"/>
      <c r="BB1153"/>
      <c r="BC1153"/>
      <c r="BD1153"/>
      <c r="BE1153"/>
      <c r="BF1153"/>
      <c r="BG1153"/>
      <c r="BH1153"/>
      <c r="BI1153"/>
      <c r="BJ1153"/>
      <c r="BK1153"/>
      <c r="BL1153"/>
      <c r="BM1153"/>
      <c r="BN1153"/>
      <c r="BO1153"/>
      <c r="BP1153"/>
      <c r="BQ1153"/>
      <c r="BR1153"/>
      <c r="BY1153"/>
      <c r="BZ1153"/>
      <c r="CA1153"/>
      <c r="CB1153"/>
      <c r="CC1153"/>
      <c r="CD1153"/>
      <c r="CE1153"/>
      <c r="CF1153"/>
      <c r="CG1153"/>
      <c r="CH1153"/>
      <c r="CI1153"/>
      <c r="CJ1153"/>
      <c r="CK1153"/>
      <c r="CL1153"/>
      <c r="CM1153"/>
      <c r="CN1153"/>
      <c r="CO1153"/>
      <c r="CP1153"/>
      <c r="CQ1153"/>
      <c r="CR1153"/>
      <c r="CS1153"/>
      <c r="CT1153"/>
      <c r="CU1153"/>
      <c r="CV1153"/>
      <c r="CW1153"/>
      <c r="CX1153"/>
      <c r="CY1153"/>
    </row>
    <row r="1154" spans="50:103" ht="20.100000000000001" customHeight="1" x14ac:dyDescent="0.25">
      <c r="AX1154"/>
      <c r="AY1154"/>
      <c r="AZ1154"/>
      <c r="BA1154"/>
      <c r="BB1154"/>
      <c r="BC1154"/>
      <c r="BD1154"/>
      <c r="BE1154"/>
      <c r="BF1154"/>
      <c r="BG1154"/>
      <c r="BH1154"/>
      <c r="BI1154"/>
      <c r="BJ1154"/>
      <c r="BK1154"/>
      <c r="BL1154"/>
      <c r="BM1154"/>
      <c r="BN1154"/>
      <c r="BO1154"/>
      <c r="BP1154"/>
      <c r="BQ1154"/>
      <c r="BR1154"/>
      <c r="BY1154"/>
      <c r="BZ1154"/>
      <c r="CA1154"/>
      <c r="CB1154"/>
      <c r="CC1154"/>
      <c r="CD1154"/>
      <c r="CE1154"/>
      <c r="CF1154"/>
      <c r="CG1154"/>
      <c r="CH1154"/>
      <c r="CI1154"/>
      <c r="CJ1154"/>
      <c r="CK1154"/>
      <c r="CL1154"/>
      <c r="CM1154"/>
      <c r="CN1154"/>
      <c r="CO1154"/>
      <c r="CP1154"/>
      <c r="CQ1154"/>
      <c r="CR1154"/>
      <c r="CS1154"/>
      <c r="CT1154"/>
      <c r="CU1154"/>
      <c r="CV1154"/>
      <c r="CW1154"/>
      <c r="CX1154"/>
      <c r="CY1154"/>
    </row>
    <row r="1155" spans="50:103" ht="20.100000000000001" customHeight="1" x14ac:dyDescent="0.25">
      <c r="AX1155"/>
      <c r="AY1155"/>
      <c r="AZ1155"/>
      <c r="BA1155"/>
      <c r="BB1155"/>
      <c r="BC1155"/>
      <c r="BD1155"/>
      <c r="BE1155"/>
      <c r="BF1155"/>
      <c r="BG1155"/>
      <c r="BH1155"/>
      <c r="BI1155"/>
      <c r="BJ1155"/>
      <c r="BK1155"/>
      <c r="BL1155"/>
      <c r="BM1155"/>
      <c r="BN1155"/>
      <c r="BO1155"/>
      <c r="BP1155"/>
      <c r="BQ1155"/>
      <c r="BR1155"/>
      <c r="BY1155"/>
      <c r="BZ1155"/>
      <c r="CA1155"/>
      <c r="CB1155"/>
      <c r="CC1155"/>
      <c r="CD1155"/>
      <c r="CE1155"/>
      <c r="CF1155"/>
      <c r="CG1155"/>
      <c r="CH1155"/>
      <c r="CI1155"/>
      <c r="CJ1155"/>
      <c r="CK1155"/>
      <c r="CL1155"/>
      <c r="CM1155"/>
      <c r="CN1155"/>
      <c r="CO1155"/>
      <c r="CP1155"/>
      <c r="CQ1155"/>
      <c r="CR1155"/>
      <c r="CS1155"/>
      <c r="CT1155"/>
      <c r="CU1155"/>
      <c r="CV1155"/>
      <c r="CW1155"/>
      <c r="CX1155"/>
      <c r="CY1155"/>
    </row>
    <row r="1156" spans="50:103" ht="20.100000000000001" customHeight="1" x14ac:dyDescent="0.25">
      <c r="AX1156"/>
      <c r="AY1156"/>
      <c r="AZ1156"/>
      <c r="BA1156"/>
      <c r="BB1156"/>
      <c r="BC1156"/>
      <c r="BD1156"/>
      <c r="BE1156"/>
      <c r="BF1156"/>
      <c r="BG1156"/>
      <c r="BH1156"/>
      <c r="BI1156"/>
      <c r="BJ1156"/>
      <c r="BK1156"/>
      <c r="BL1156"/>
      <c r="BM1156"/>
      <c r="BN1156"/>
      <c r="BO1156"/>
      <c r="BP1156"/>
      <c r="BQ1156"/>
      <c r="BR1156"/>
      <c r="BY1156"/>
      <c r="BZ1156"/>
      <c r="CA1156"/>
      <c r="CB1156"/>
      <c r="CC1156"/>
      <c r="CD1156"/>
      <c r="CE1156"/>
      <c r="CF1156"/>
      <c r="CG1156"/>
      <c r="CH1156"/>
      <c r="CI1156"/>
      <c r="CJ1156"/>
      <c r="CK1156"/>
      <c r="CL1156"/>
      <c r="CM1156"/>
      <c r="CN1156"/>
      <c r="CO1156"/>
      <c r="CP1156"/>
      <c r="CQ1156"/>
      <c r="CR1156"/>
      <c r="CS1156"/>
      <c r="CT1156"/>
      <c r="CU1156"/>
      <c r="CV1156"/>
      <c r="CW1156"/>
      <c r="CX1156"/>
      <c r="CY1156"/>
    </row>
    <row r="1157" spans="50:103" ht="20.100000000000001" customHeight="1" x14ac:dyDescent="0.25">
      <c r="AX1157"/>
      <c r="AY1157"/>
      <c r="AZ1157"/>
      <c r="BA1157"/>
      <c r="BB1157"/>
      <c r="BC1157"/>
      <c r="BD1157"/>
      <c r="BE1157"/>
      <c r="BF1157"/>
      <c r="BG1157"/>
      <c r="BH1157"/>
      <c r="BI1157"/>
      <c r="BJ1157"/>
      <c r="BK1157"/>
      <c r="BL1157"/>
      <c r="BM1157"/>
      <c r="BN1157"/>
      <c r="BO1157"/>
      <c r="BP1157"/>
      <c r="BQ1157"/>
      <c r="BR1157"/>
      <c r="BY1157"/>
      <c r="BZ1157"/>
      <c r="CA1157"/>
      <c r="CB1157"/>
      <c r="CC1157"/>
      <c r="CD1157"/>
      <c r="CE1157"/>
      <c r="CF1157"/>
      <c r="CG1157"/>
      <c r="CH1157"/>
      <c r="CI1157"/>
      <c r="CJ1157"/>
      <c r="CK1157"/>
      <c r="CL1157"/>
      <c r="CM1157"/>
      <c r="CN1157"/>
      <c r="CO1157"/>
      <c r="CP1157"/>
      <c r="CQ1157"/>
      <c r="CR1157"/>
      <c r="CS1157"/>
      <c r="CT1157"/>
      <c r="CU1157"/>
      <c r="CV1157"/>
      <c r="CW1157"/>
      <c r="CX1157"/>
      <c r="CY1157"/>
    </row>
    <row r="1158" spans="50:103" ht="20.100000000000001" customHeight="1" x14ac:dyDescent="0.25">
      <c r="AX1158"/>
      <c r="AY1158"/>
      <c r="AZ1158"/>
      <c r="BA1158"/>
      <c r="BB1158"/>
      <c r="BC1158"/>
      <c r="BD1158"/>
      <c r="BE1158"/>
      <c r="BF1158"/>
      <c r="BG1158"/>
      <c r="BH1158"/>
      <c r="BI1158"/>
      <c r="BJ1158"/>
      <c r="BK1158"/>
      <c r="BL1158"/>
      <c r="BM1158"/>
      <c r="BN1158"/>
      <c r="BO1158"/>
      <c r="BP1158"/>
      <c r="BQ1158"/>
      <c r="BR1158"/>
      <c r="BY1158"/>
      <c r="BZ1158"/>
      <c r="CA1158"/>
      <c r="CB1158"/>
      <c r="CC1158"/>
      <c r="CD1158"/>
      <c r="CE1158"/>
      <c r="CF1158"/>
      <c r="CG1158"/>
      <c r="CH1158"/>
      <c r="CI1158"/>
      <c r="CJ1158"/>
      <c r="CK1158"/>
      <c r="CL1158"/>
      <c r="CM1158"/>
      <c r="CN1158"/>
      <c r="CO1158"/>
      <c r="CP1158"/>
      <c r="CQ1158"/>
      <c r="CR1158"/>
      <c r="CS1158"/>
      <c r="CT1158"/>
      <c r="CU1158"/>
      <c r="CV1158"/>
      <c r="CW1158"/>
      <c r="CX1158"/>
      <c r="CY1158"/>
    </row>
    <row r="1159" spans="50:103" ht="20.100000000000001" customHeight="1" x14ac:dyDescent="0.25">
      <c r="AX1159"/>
      <c r="AY1159"/>
      <c r="AZ1159"/>
      <c r="BA1159"/>
      <c r="BB1159"/>
      <c r="BC1159"/>
      <c r="BD1159"/>
      <c r="BE1159"/>
      <c r="BF1159"/>
      <c r="BG1159"/>
      <c r="BH1159"/>
      <c r="BI1159"/>
      <c r="BJ1159"/>
      <c r="BK1159"/>
      <c r="BL1159"/>
      <c r="BM1159"/>
      <c r="BN1159"/>
      <c r="BO1159"/>
      <c r="BP1159"/>
      <c r="BQ1159"/>
      <c r="BR1159"/>
      <c r="BY1159"/>
      <c r="BZ1159"/>
      <c r="CA1159"/>
      <c r="CB1159"/>
      <c r="CC1159"/>
      <c r="CD1159"/>
      <c r="CE1159"/>
      <c r="CF1159"/>
      <c r="CG1159"/>
      <c r="CH1159"/>
      <c r="CI1159"/>
      <c r="CJ1159"/>
      <c r="CK1159"/>
      <c r="CL1159"/>
      <c r="CM1159"/>
      <c r="CN1159"/>
      <c r="CO1159"/>
      <c r="CP1159"/>
      <c r="CQ1159"/>
      <c r="CR1159"/>
      <c r="CS1159"/>
      <c r="CT1159"/>
      <c r="CU1159"/>
      <c r="CV1159"/>
      <c r="CW1159"/>
      <c r="CX1159"/>
      <c r="CY1159"/>
    </row>
    <row r="1160" spans="50:103" ht="20.100000000000001" customHeight="1" x14ac:dyDescent="0.25">
      <c r="AX1160"/>
      <c r="AY1160"/>
      <c r="AZ1160"/>
      <c r="BA1160"/>
      <c r="BB1160"/>
      <c r="BC1160"/>
      <c r="BD1160"/>
      <c r="BE1160"/>
      <c r="BF1160"/>
      <c r="BG1160"/>
      <c r="BH1160"/>
      <c r="BI1160"/>
      <c r="BJ1160"/>
      <c r="BK1160"/>
      <c r="BL1160"/>
      <c r="BM1160"/>
      <c r="BN1160"/>
      <c r="BO1160"/>
      <c r="BP1160"/>
      <c r="BQ1160"/>
      <c r="BR1160"/>
      <c r="BY1160"/>
      <c r="BZ1160"/>
      <c r="CA1160"/>
      <c r="CB1160"/>
      <c r="CC1160"/>
      <c r="CD1160"/>
      <c r="CE1160"/>
      <c r="CF1160"/>
      <c r="CG1160"/>
      <c r="CH1160"/>
      <c r="CI1160"/>
      <c r="CJ1160"/>
      <c r="CK1160"/>
      <c r="CL1160"/>
      <c r="CM1160"/>
      <c r="CN1160"/>
      <c r="CO1160"/>
      <c r="CP1160"/>
      <c r="CQ1160"/>
      <c r="CR1160"/>
      <c r="CS1160"/>
      <c r="CT1160"/>
      <c r="CU1160"/>
      <c r="CV1160"/>
      <c r="CW1160"/>
      <c r="CX1160"/>
      <c r="CY1160"/>
    </row>
    <row r="1161" spans="50:103" ht="20.100000000000001" customHeight="1" x14ac:dyDescent="0.25">
      <c r="AX1161"/>
      <c r="AY1161"/>
      <c r="AZ1161"/>
      <c r="BA1161"/>
      <c r="BB1161"/>
      <c r="BC1161"/>
      <c r="BD1161"/>
      <c r="BE1161"/>
      <c r="BF1161"/>
      <c r="BG1161"/>
      <c r="BH1161"/>
      <c r="BI1161"/>
      <c r="BJ1161"/>
      <c r="BK1161"/>
      <c r="BL1161"/>
      <c r="BM1161"/>
      <c r="BN1161"/>
      <c r="BO1161"/>
      <c r="BP1161"/>
      <c r="BQ1161"/>
      <c r="BR1161"/>
      <c r="BY1161"/>
      <c r="BZ1161"/>
      <c r="CA1161"/>
      <c r="CB1161"/>
      <c r="CC1161"/>
      <c r="CD1161"/>
      <c r="CE1161"/>
      <c r="CF1161"/>
      <c r="CG1161"/>
      <c r="CH1161"/>
      <c r="CI1161"/>
      <c r="CJ1161"/>
      <c r="CK1161"/>
      <c r="CL1161"/>
      <c r="CM1161"/>
      <c r="CN1161"/>
      <c r="CO1161"/>
      <c r="CP1161"/>
      <c r="CQ1161"/>
      <c r="CR1161"/>
      <c r="CS1161"/>
      <c r="CT1161"/>
      <c r="CU1161"/>
      <c r="CV1161"/>
      <c r="CW1161"/>
      <c r="CX1161"/>
      <c r="CY1161"/>
    </row>
    <row r="1162" spans="50:103" ht="20.100000000000001" customHeight="1" x14ac:dyDescent="0.25">
      <c r="AX1162"/>
      <c r="AY1162"/>
      <c r="AZ1162"/>
      <c r="BA1162"/>
      <c r="BB1162"/>
      <c r="BC1162"/>
      <c r="BD1162"/>
      <c r="BE1162"/>
      <c r="BF1162"/>
      <c r="BG1162"/>
      <c r="BH1162"/>
      <c r="BI1162"/>
      <c r="BJ1162"/>
      <c r="BK1162"/>
      <c r="BL1162"/>
      <c r="BM1162"/>
      <c r="BN1162"/>
      <c r="BO1162"/>
      <c r="BP1162"/>
      <c r="BQ1162"/>
      <c r="BR1162"/>
      <c r="BY1162"/>
      <c r="BZ1162"/>
      <c r="CA1162"/>
      <c r="CB1162"/>
      <c r="CC1162"/>
      <c r="CD1162"/>
      <c r="CE1162"/>
      <c r="CF1162"/>
      <c r="CG1162"/>
      <c r="CH1162"/>
      <c r="CI1162"/>
      <c r="CJ1162"/>
      <c r="CK1162"/>
      <c r="CL1162"/>
      <c r="CM1162"/>
      <c r="CN1162"/>
      <c r="CO1162"/>
      <c r="CP1162"/>
      <c r="CQ1162"/>
      <c r="CR1162"/>
      <c r="CS1162"/>
      <c r="CT1162"/>
      <c r="CU1162"/>
      <c r="CV1162"/>
      <c r="CW1162"/>
      <c r="CX1162"/>
      <c r="CY1162"/>
    </row>
    <row r="1163" spans="50:103" ht="20.100000000000001" customHeight="1" x14ac:dyDescent="0.25">
      <c r="AX1163"/>
      <c r="AY1163"/>
      <c r="AZ1163"/>
      <c r="BA1163"/>
      <c r="BB1163"/>
      <c r="BC1163"/>
      <c r="BD1163"/>
      <c r="BE1163"/>
      <c r="BF1163"/>
      <c r="BG1163"/>
      <c r="BH1163"/>
      <c r="BI1163"/>
      <c r="BJ1163"/>
      <c r="BK1163"/>
      <c r="BL1163"/>
      <c r="BM1163"/>
      <c r="BN1163"/>
      <c r="BO1163"/>
      <c r="BP1163"/>
      <c r="BQ1163"/>
      <c r="BR1163"/>
      <c r="BY1163"/>
      <c r="BZ1163"/>
      <c r="CA1163"/>
      <c r="CB1163"/>
      <c r="CC1163"/>
      <c r="CD1163"/>
      <c r="CE1163"/>
      <c r="CF1163"/>
      <c r="CG1163"/>
      <c r="CH1163"/>
      <c r="CI1163"/>
      <c r="CJ1163"/>
      <c r="CK1163"/>
      <c r="CL1163"/>
      <c r="CM1163"/>
      <c r="CN1163"/>
      <c r="CO1163"/>
      <c r="CP1163"/>
      <c r="CQ1163"/>
      <c r="CR1163"/>
      <c r="CS1163"/>
      <c r="CT1163"/>
      <c r="CU1163"/>
      <c r="CV1163"/>
      <c r="CW1163"/>
      <c r="CX1163"/>
      <c r="CY1163"/>
    </row>
    <row r="1164" spans="50:103" ht="20.100000000000001" customHeight="1" x14ac:dyDescent="0.25">
      <c r="AX1164"/>
      <c r="AY1164"/>
      <c r="AZ1164"/>
      <c r="BA1164"/>
      <c r="BB1164"/>
      <c r="BC1164"/>
      <c r="BD1164"/>
      <c r="BE1164"/>
      <c r="BF1164"/>
      <c r="BG1164"/>
      <c r="BH1164"/>
      <c r="BI1164"/>
      <c r="BJ1164"/>
      <c r="BK1164"/>
      <c r="BL1164"/>
      <c r="BM1164"/>
      <c r="BN1164"/>
      <c r="BO1164"/>
      <c r="BP1164"/>
      <c r="BQ1164"/>
      <c r="BR1164"/>
      <c r="BY1164"/>
      <c r="BZ1164"/>
      <c r="CA1164"/>
      <c r="CB1164"/>
      <c r="CC1164"/>
      <c r="CD1164"/>
      <c r="CE1164"/>
      <c r="CF1164"/>
      <c r="CG1164"/>
      <c r="CH1164"/>
      <c r="CI1164"/>
      <c r="CJ1164"/>
      <c r="CK1164"/>
      <c r="CL1164"/>
      <c r="CM1164"/>
      <c r="CN1164"/>
      <c r="CO1164"/>
      <c r="CP1164"/>
      <c r="CQ1164"/>
      <c r="CR1164"/>
      <c r="CS1164"/>
      <c r="CT1164"/>
      <c r="CU1164"/>
      <c r="CV1164"/>
      <c r="CW1164"/>
      <c r="CX1164"/>
      <c r="CY1164"/>
    </row>
    <row r="1165" spans="50:103" ht="20.100000000000001" customHeight="1" x14ac:dyDescent="0.25">
      <c r="AX1165"/>
      <c r="AY1165"/>
      <c r="AZ1165"/>
      <c r="BA1165"/>
      <c r="BB1165"/>
      <c r="BC1165"/>
      <c r="BD1165"/>
      <c r="BE1165"/>
      <c r="BF1165"/>
      <c r="BG1165"/>
      <c r="BH1165"/>
      <c r="BI1165"/>
      <c r="BJ1165"/>
      <c r="BK1165"/>
      <c r="BL1165"/>
      <c r="BM1165"/>
      <c r="BN1165"/>
      <c r="BO1165"/>
      <c r="BP1165"/>
      <c r="BQ1165"/>
      <c r="BR1165"/>
      <c r="BY1165"/>
      <c r="BZ1165"/>
      <c r="CA1165"/>
      <c r="CB1165"/>
      <c r="CC1165"/>
      <c r="CD1165"/>
      <c r="CE1165"/>
      <c r="CF1165"/>
      <c r="CG1165"/>
      <c r="CH1165"/>
      <c r="CI1165"/>
      <c r="CJ1165"/>
      <c r="CK1165"/>
      <c r="CL1165"/>
      <c r="CM1165"/>
      <c r="CN1165"/>
      <c r="CO1165"/>
      <c r="CP1165"/>
      <c r="CQ1165"/>
      <c r="CR1165"/>
      <c r="CS1165"/>
      <c r="CT1165"/>
      <c r="CU1165"/>
      <c r="CV1165"/>
      <c r="CW1165"/>
      <c r="CX1165"/>
      <c r="CY1165"/>
    </row>
    <row r="1166" spans="50:103" ht="20.100000000000001" customHeight="1" x14ac:dyDescent="0.25">
      <c r="AX1166"/>
      <c r="AY1166"/>
      <c r="AZ1166"/>
      <c r="BA1166"/>
      <c r="BB1166"/>
      <c r="BC1166"/>
      <c r="BD1166"/>
      <c r="BE1166"/>
      <c r="BF1166"/>
      <c r="BG1166"/>
      <c r="BH1166"/>
      <c r="BI1166"/>
      <c r="BJ1166"/>
      <c r="BK1166"/>
      <c r="BL1166"/>
      <c r="BM1166"/>
      <c r="BN1166"/>
      <c r="BO1166"/>
      <c r="BP1166"/>
      <c r="BQ1166"/>
      <c r="BR1166"/>
      <c r="BY1166"/>
      <c r="BZ1166"/>
      <c r="CA1166"/>
      <c r="CB1166"/>
      <c r="CC1166"/>
      <c r="CD1166"/>
      <c r="CE1166"/>
      <c r="CF1166"/>
      <c r="CG1166"/>
      <c r="CH1166"/>
      <c r="CI1166"/>
      <c r="CJ1166"/>
      <c r="CK1166"/>
      <c r="CL1166"/>
      <c r="CM1166"/>
      <c r="CN1166"/>
      <c r="CO1166"/>
      <c r="CP1166"/>
      <c r="CQ1166"/>
      <c r="CR1166"/>
      <c r="CS1166"/>
      <c r="CT1166"/>
      <c r="CU1166"/>
      <c r="CV1166"/>
      <c r="CW1166"/>
      <c r="CX1166"/>
      <c r="CY1166"/>
    </row>
    <row r="1167" spans="50:103" ht="20.100000000000001" customHeight="1" x14ac:dyDescent="0.25">
      <c r="AX1167"/>
      <c r="AY1167"/>
      <c r="AZ1167"/>
      <c r="BA1167"/>
      <c r="BB1167"/>
      <c r="BC1167"/>
      <c r="BD1167"/>
      <c r="BE1167"/>
      <c r="BF1167"/>
      <c r="BG1167"/>
      <c r="BH1167"/>
      <c r="BI1167"/>
      <c r="BJ1167"/>
      <c r="BK1167"/>
      <c r="BL1167"/>
      <c r="BM1167"/>
      <c r="BN1167"/>
      <c r="BO1167"/>
      <c r="BP1167"/>
      <c r="BQ1167"/>
      <c r="BR1167"/>
      <c r="BY1167"/>
      <c r="BZ1167"/>
      <c r="CA1167"/>
      <c r="CB1167"/>
      <c r="CC1167"/>
      <c r="CD1167"/>
      <c r="CE1167"/>
      <c r="CF1167"/>
      <c r="CG1167"/>
      <c r="CH1167"/>
      <c r="CI1167"/>
      <c r="CJ1167"/>
      <c r="CK1167"/>
      <c r="CL1167"/>
      <c r="CM1167"/>
      <c r="CN1167"/>
      <c r="CO1167"/>
      <c r="CP1167"/>
      <c r="CQ1167"/>
      <c r="CR1167"/>
      <c r="CS1167"/>
      <c r="CT1167"/>
      <c r="CU1167"/>
      <c r="CV1167"/>
      <c r="CW1167"/>
      <c r="CX1167"/>
      <c r="CY1167"/>
    </row>
    <row r="1168" spans="50:103" ht="20.100000000000001" customHeight="1" x14ac:dyDescent="0.25">
      <c r="AX1168"/>
      <c r="AY1168"/>
      <c r="AZ1168"/>
      <c r="BA1168"/>
      <c r="BB1168"/>
      <c r="BC1168"/>
      <c r="BD1168"/>
      <c r="BE1168"/>
      <c r="BF1168"/>
      <c r="BG1168"/>
      <c r="BH1168"/>
      <c r="BI1168"/>
      <c r="BJ1168"/>
      <c r="BK1168"/>
      <c r="BL1168"/>
      <c r="BM1168"/>
      <c r="BN1168"/>
      <c r="BO1168"/>
      <c r="BP1168"/>
      <c r="BQ1168"/>
      <c r="BR1168"/>
      <c r="BY1168"/>
      <c r="BZ1168"/>
      <c r="CA1168"/>
      <c r="CB1168"/>
      <c r="CC1168"/>
      <c r="CD1168"/>
      <c r="CE1168"/>
      <c r="CF1168"/>
      <c r="CG1168"/>
      <c r="CH1168"/>
      <c r="CI1168"/>
      <c r="CJ1168"/>
      <c r="CK1168"/>
      <c r="CL1168"/>
      <c r="CM1168"/>
      <c r="CN1168"/>
      <c r="CO1168"/>
      <c r="CP1168"/>
      <c r="CQ1168"/>
      <c r="CR1168"/>
      <c r="CS1168"/>
      <c r="CT1168"/>
      <c r="CU1168"/>
      <c r="CV1168"/>
      <c r="CW1168"/>
      <c r="CX1168"/>
      <c r="CY1168"/>
    </row>
    <row r="1169" spans="50:103" ht="20.100000000000001" customHeight="1" x14ac:dyDescent="0.25">
      <c r="AX1169"/>
      <c r="AY1169"/>
      <c r="AZ1169"/>
      <c r="BA1169"/>
      <c r="BB1169"/>
      <c r="BC1169"/>
      <c r="BD1169"/>
      <c r="BE1169"/>
      <c r="BF1169"/>
      <c r="BG1169"/>
      <c r="BH1169"/>
      <c r="BI1169"/>
      <c r="BJ1169"/>
      <c r="BK1169"/>
      <c r="BL1169"/>
      <c r="BM1169"/>
      <c r="BN1169"/>
      <c r="BO1169"/>
      <c r="BP1169"/>
      <c r="BQ1169"/>
      <c r="BR1169"/>
      <c r="BY1169"/>
      <c r="BZ1169"/>
      <c r="CA1169"/>
      <c r="CB1169"/>
      <c r="CC1169"/>
      <c r="CD1169"/>
      <c r="CE1169"/>
      <c r="CF1169"/>
      <c r="CG1169"/>
      <c r="CH1169"/>
      <c r="CI1169"/>
      <c r="CJ1169"/>
      <c r="CK1169"/>
      <c r="CL1169"/>
      <c r="CM1169"/>
      <c r="CN1169"/>
      <c r="CO1169"/>
      <c r="CP1169"/>
      <c r="CQ1169"/>
      <c r="CR1169"/>
      <c r="CS1169"/>
      <c r="CT1169"/>
      <c r="CU1169"/>
      <c r="CV1169"/>
      <c r="CW1169"/>
      <c r="CX1169"/>
      <c r="CY1169"/>
    </row>
    <row r="1170" spans="50:103" ht="20.100000000000001" customHeight="1" x14ac:dyDescent="0.25">
      <c r="AX1170"/>
      <c r="AY1170"/>
      <c r="AZ1170"/>
      <c r="BA1170"/>
      <c r="BB1170"/>
      <c r="BC1170"/>
      <c r="BD1170"/>
      <c r="BE1170"/>
      <c r="BF1170"/>
      <c r="BG1170"/>
      <c r="BH1170"/>
      <c r="BI1170"/>
      <c r="BJ1170"/>
      <c r="BK1170"/>
      <c r="BL1170"/>
      <c r="BM1170"/>
      <c r="BN1170"/>
      <c r="BO1170"/>
      <c r="BP1170"/>
      <c r="BQ1170"/>
      <c r="BR1170"/>
      <c r="BY1170"/>
      <c r="BZ1170"/>
      <c r="CA1170"/>
      <c r="CB1170"/>
      <c r="CC1170"/>
      <c r="CD1170"/>
      <c r="CE1170"/>
      <c r="CF1170"/>
      <c r="CG1170"/>
      <c r="CH1170"/>
      <c r="CI1170"/>
      <c r="CJ1170"/>
      <c r="CK1170"/>
      <c r="CL1170"/>
      <c r="CM1170"/>
      <c r="CN1170"/>
      <c r="CO1170"/>
      <c r="CP1170"/>
      <c r="CQ1170"/>
      <c r="CR1170"/>
      <c r="CS1170"/>
      <c r="CT1170"/>
      <c r="CU1170"/>
      <c r="CV1170"/>
      <c r="CW1170"/>
      <c r="CX1170"/>
      <c r="CY1170"/>
    </row>
    <row r="1171" spans="50:103" ht="20.100000000000001" customHeight="1" x14ac:dyDescent="0.25">
      <c r="AX1171"/>
      <c r="AY1171"/>
      <c r="AZ1171"/>
      <c r="BA1171"/>
      <c r="BB1171"/>
      <c r="BC1171"/>
      <c r="BD1171"/>
      <c r="BE1171"/>
      <c r="BF1171"/>
      <c r="BG1171"/>
      <c r="BH1171"/>
      <c r="BI1171"/>
      <c r="BJ1171"/>
      <c r="BK1171"/>
      <c r="BL1171"/>
      <c r="BM1171"/>
      <c r="BN1171"/>
      <c r="BO1171"/>
      <c r="BP1171"/>
      <c r="BQ1171"/>
      <c r="BR1171"/>
      <c r="BY1171"/>
      <c r="BZ1171"/>
      <c r="CA1171"/>
      <c r="CB1171"/>
      <c r="CC1171"/>
      <c r="CD1171"/>
      <c r="CE1171"/>
      <c r="CF1171"/>
      <c r="CG1171"/>
      <c r="CH1171"/>
      <c r="CI1171"/>
      <c r="CJ1171"/>
      <c r="CK1171"/>
      <c r="CL1171"/>
      <c r="CM1171"/>
      <c r="CN1171"/>
      <c r="CO1171"/>
      <c r="CP1171"/>
      <c r="CQ1171"/>
      <c r="CR1171"/>
      <c r="CS1171"/>
      <c r="CT1171"/>
      <c r="CU1171"/>
      <c r="CV1171"/>
      <c r="CW1171"/>
      <c r="CX1171"/>
      <c r="CY1171"/>
    </row>
    <row r="1172" spans="50:103" ht="20.100000000000001" customHeight="1" x14ac:dyDescent="0.25">
      <c r="AX1172"/>
      <c r="AY1172"/>
      <c r="AZ1172"/>
      <c r="BA1172"/>
      <c r="BB1172"/>
      <c r="BC1172"/>
      <c r="BD1172"/>
      <c r="BE1172"/>
      <c r="BF1172"/>
      <c r="BG1172"/>
      <c r="BH1172"/>
      <c r="BI1172"/>
      <c r="BJ1172"/>
      <c r="BK1172"/>
      <c r="BL1172"/>
      <c r="BM1172"/>
      <c r="BN1172"/>
      <c r="BO1172"/>
      <c r="BP1172"/>
      <c r="BQ1172"/>
      <c r="BR1172"/>
      <c r="BY1172"/>
      <c r="BZ1172"/>
      <c r="CA1172"/>
      <c r="CB1172"/>
      <c r="CC1172"/>
      <c r="CD1172"/>
      <c r="CE1172"/>
      <c r="CF1172"/>
      <c r="CG1172"/>
      <c r="CH1172"/>
      <c r="CI1172"/>
      <c r="CJ1172"/>
      <c r="CK1172"/>
      <c r="CL1172"/>
      <c r="CM1172"/>
      <c r="CN1172"/>
      <c r="CO1172"/>
      <c r="CP1172"/>
      <c r="CQ1172"/>
      <c r="CR1172"/>
      <c r="CS1172"/>
      <c r="CT1172"/>
      <c r="CU1172"/>
      <c r="CV1172"/>
      <c r="CW1172"/>
      <c r="CX1172"/>
      <c r="CY1172"/>
    </row>
    <row r="1173" spans="50:103" ht="20.100000000000001" customHeight="1" x14ac:dyDescent="0.25">
      <c r="AX1173"/>
      <c r="AY1173"/>
      <c r="AZ1173"/>
      <c r="BA1173"/>
      <c r="BB1173"/>
      <c r="BC1173"/>
      <c r="BD1173"/>
      <c r="BE1173"/>
      <c r="BF1173"/>
      <c r="BG1173"/>
      <c r="BH1173"/>
      <c r="BI1173"/>
      <c r="BJ1173"/>
      <c r="BK1173"/>
      <c r="BL1173"/>
      <c r="BM1173"/>
      <c r="BN1173"/>
      <c r="BO1173"/>
      <c r="BP1173"/>
      <c r="BQ1173"/>
      <c r="BR1173"/>
      <c r="BY1173"/>
      <c r="BZ1173"/>
      <c r="CA1173"/>
      <c r="CB1173"/>
      <c r="CC1173"/>
      <c r="CD1173"/>
      <c r="CE1173"/>
      <c r="CF1173"/>
      <c r="CG1173"/>
      <c r="CH1173"/>
      <c r="CI1173"/>
      <c r="CJ1173"/>
      <c r="CK1173"/>
      <c r="CL1173"/>
      <c r="CM1173"/>
      <c r="CN1173"/>
      <c r="CO1173"/>
      <c r="CP1173"/>
      <c r="CQ1173"/>
      <c r="CR1173"/>
      <c r="CS1173"/>
      <c r="CT1173"/>
      <c r="CU1173"/>
      <c r="CV1173"/>
      <c r="CW1173"/>
      <c r="CX1173"/>
      <c r="CY1173"/>
    </row>
    <row r="1174" spans="50:103" ht="20.100000000000001" customHeight="1" x14ac:dyDescent="0.25">
      <c r="AX1174"/>
      <c r="AY1174"/>
      <c r="AZ1174"/>
      <c r="BA1174"/>
      <c r="BB1174"/>
      <c r="BC1174"/>
      <c r="BD1174"/>
      <c r="BE1174"/>
      <c r="BF1174"/>
      <c r="BG1174"/>
      <c r="BH1174"/>
      <c r="BI1174"/>
      <c r="BJ1174"/>
      <c r="BK1174"/>
      <c r="BL1174"/>
      <c r="BM1174"/>
      <c r="BN1174"/>
      <c r="BO1174"/>
      <c r="BP1174"/>
      <c r="BQ1174"/>
      <c r="BR1174"/>
      <c r="BY1174"/>
      <c r="BZ1174"/>
      <c r="CA1174"/>
      <c r="CB1174"/>
      <c r="CC1174"/>
      <c r="CD1174"/>
      <c r="CE1174"/>
      <c r="CF1174"/>
      <c r="CG1174"/>
      <c r="CH1174"/>
      <c r="CI1174"/>
      <c r="CJ1174"/>
      <c r="CK1174"/>
      <c r="CL1174"/>
      <c r="CM1174"/>
      <c r="CN1174"/>
      <c r="CO1174"/>
      <c r="CP1174"/>
      <c r="CQ1174"/>
      <c r="CR1174"/>
      <c r="CS1174"/>
      <c r="CT1174"/>
      <c r="CU1174"/>
      <c r="CV1174"/>
      <c r="CW1174"/>
      <c r="CX1174"/>
      <c r="CY1174"/>
    </row>
    <row r="1175" spans="50:103" ht="20.100000000000001" customHeight="1" x14ac:dyDescent="0.25">
      <c r="AX1175"/>
      <c r="AY1175"/>
      <c r="AZ1175"/>
      <c r="BA1175"/>
      <c r="BB1175"/>
      <c r="BC1175"/>
      <c r="BD1175"/>
      <c r="BE1175"/>
      <c r="BF1175"/>
      <c r="BG1175"/>
      <c r="BH1175"/>
      <c r="BI1175"/>
      <c r="BJ1175"/>
      <c r="BK1175"/>
      <c r="BL1175"/>
      <c r="BM1175"/>
      <c r="BN1175"/>
      <c r="BO1175"/>
      <c r="BP1175"/>
      <c r="BQ1175"/>
      <c r="BR1175"/>
      <c r="BY1175"/>
      <c r="BZ1175"/>
      <c r="CA1175"/>
      <c r="CB1175"/>
      <c r="CC1175"/>
      <c r="CD1175"/>
      <c r="CE1175"/>
      <c r="CF1175"/>
      <c r="CG1175"/>
      <c r="CH1175"/>
      <c r="CI1175"/>
      <c r="CJ1175"/>
      <c r="CK1175"/>
      <c r="CL1175"/>
      <c r="CM1175"/>
      <c r="CN1175"/>
      <c r="CO1175"/>
      <c r="CP1175"/>
      <c r="CQ1175"/>
      <c r="CR1175"/>
      <c r="CS1175"/>
      <c r="CT1175"/>
      <c r="CU1175"/>
      <c r="CV1175"/>
      <c r="CW1175"/>
      <c r="CX1175"/>
      <c r="CY1175"/>
    </row>
    <row r="1176" spans="50:103" ht="20.100000000000001" customHeight="1" x14ac:dyDescent="0.25">
      <c r="AX1176"/>
      <c r="AY1176"/>
      <c r="AZ1176"/>
      <c r="BA1176"/>
      <c r="BB1176"/>
      <c r="BC1176"/>
      <c r="BD1176"/>
      <c r="BE1176"/>
      <c r="BF1176"/>
      <c r="BG1176"/>
      <c r="BH1176"/>
      <c r="BI1176"/>
      <c r="BJ1176"/>
      <c r="BK1176"/>
      <c r="BL1176"/>
      <c r="BM1176"/>
      <c r="BN1176"/>
      <c r="BO1176"/>
      <c r="BP1176"/>
      <c r="BQ1176"/>
      <c r="BR1176"/>
      <c r="BY1176"/>
      <c r="BZ1176"/>
      <c r="CA1176"/>
      <c r="CB1176"/>
      <c r="CC1176"/>
      <c r="CD1176"/>
      <c r="CE1176"/>
      <c r="CF1176"/>
      <c r="CG1176"/>
      <c r="CH1176"/>
      <c r="CI1176"/>
      <c r="CJ1176"/>
      <c r="CK1176"/>
      <c r="CL1176"/>
      <c r="CM1176"/>
      <c r="CN1176"/>
      <c r="CO1176"/>
      <c r="CP1176"/>
      <c r="CQ1176"/>
      <c r="CR1176"/>
      <c r="CS1176"/>
      <c r="CT1176"/>
      <c r="CU1176"/>
      <c r="CV1176"/>
      <c r="CW1176"/>
      <c r="CX1176"/>
      <c r="CY1176"/>
    </row>
    <row r="1177" spans="50:103" ht="20.100000000000001" customHeight="1" x14ac:dyDescent="0.25">
      <c r="AX1177"/>
      <c r="AY1177"/>
      <c r="AZ1177"/>
      <c r="BA1177"/>
      <c r="BB1177"/>
      <c r="BC1177"/>
      <c r="BD1177"/>
      <c r="BE1177"/>
      <c r="BF1177"/>
      <c r="BG1177"/>
      <c r="BH1177"/>
      <c r="BI1177"/>
      <c r="BJ1177"/>
      <c r="BK1177"/>
      <c r="BL1177"/>
      <c r="BM1177"/>
      <c r="BN1177"/>
      <c r="BO1177"/>
      <c r="BP1177"/>
      <c r="BQ1177"/>
      <c r="BR1177"/>
      <c r="BY1177"/>
      <c r="BZ1177"/>
      <c r="CA1177"/>
      <c r="CB1177"/>
      <c r="CC1177"/>
      <c r="CD1177"/>
      <c r="CE1177"/>
      <c r="CF1177"/>
      <c r="CG1177"/>
      <c r="CH1177"/>
      <c r="CI1177"/>
      <c r="CJ1177"/>
      <c r="CK1177"/>
      <c r="CL1177"/>
      <c r="CM1177"/>
      <c r="CN1177"/>
      <c r="CO1177"/>
      <c r="CP1177"/>
      <c r="CQ1177"/>
      <c r="CR1177"/>
      <c r="CS1177"/>
      <c r="CT1177"/>
      <c r="CU1177"/>
      <c r="CV1177"/>
      <c r="CW1177"/>
      <c r="CX1177"/>
      <c r="CY1177"/>
    </row>
    <row r="1178" spans="50:103" ht="20.100000000000001" customHeight="1" x14ac:dyDescent="0.25">
      <c r="AX1178"/>
      <c r="AY1178"/>
      <c r="AZ1178"/>
      <c r="BA1178"/>
      <c r="BB1178"/>
      <c r="BC1178"/>
      <c r="BD1178"/>
      <c r="BE1178"/>
      <c r="BF1178"/>
      <c r="BG1178"/>
      <c r="BH1178"/>
      <c r="BI1178"/>
      <c r="BJ1178"/>
      <c r="BK1178"/>
      <c r="BL1178"/>
      <c r="BM1178"/>
      <c r="BN1178"/>
      <c r="BO1178"/>
      <c r="BP1178"/>
      <c r="BQ1178"/>
      <c r="BR1178"/>
      <c r="BY1178"/>
      <c r="BZ1178"/>
      <c r="CA1178"/>
      <c r="CB1178"/>
      <c r="CC1178"/>
      <c r="CD1178"/>
      <c r="CE1178"/>
      <c r="CF1178"/>
      <c r="CG1178"/>
      <c r="CH1178"/>
      <c r="CI1178"/>
      <c r="CJ1178"/>
      <c r="CK1178"/>
      <c r="CL1178"/>
      <c r="CM1178"/>
      <c r="CN1178"/>
      <c r="CO1178"/>
      <c r="CP1178"/>
      <c r="CQ1178"/>
      <c r="CR1178"/>
      <c r="CS1178"/>
      <c r="CT1178"/>
      <c r="CU1178"/>
      <c r="CV1178"/>
      <c r="CW1178"/>
      <c r="CX1178"/>
      <c r="CY1178"/>
    </row>
    <row r="1179" spans="50:103" ht="20.100000000000001" customHeight="1" x14ac:dyDescent="0.25">
      <c r="AX1179"/>
      <c r="AY1179"/>
      <c r="AZ1179"/>
      <c r="BA1179"/>
      <c r="BB1179"/>
      <c r="BC1179"/>
      <c r="BD1179"/>
      <c r="BE1179"/>
      <c r="BF1179"/>
      <c r="BG1179"/>
      <c r="BH1179"/>
      <c r="BI1179"/>
      <c r="BJ1179"/>
      <c r="BK1179"/>
      <c r="BL1179"/>
      <c r="BM1179"/>
      <c r="BN1179"/>
      <c r="BO1179"/>
      <c r="BP1179"/>
      <c r="BQ1179"/>
      <c r="BR1179"/>
      <c r="BY1179"/>
      <c r="BZ1179"/>
      <c r="CA1179"/>
      <c r="CB1179"/>
      <c r="CC1179"/>
      <c r="CD1179"/>
      <c r="CE1179"/>
      <c r="CF1179"/>
      <c r="CG1179"/>
      <c r="CH1179"/>
      <c r="CI1179"/>
      <c r="CJ1179"/>
      <c r="CK1179"/>
      <c r="CL1179"/>
      <c r="CM1179"/>
      <c r="CN1179"/>
      <c r="CO1179"/>
      <c r="CP1179"/>
      <c r="CQ1179"/>
      <c r="CR1179"/>
      <c r="CS1179"/>
      <c r="CT1179"/>
      <c r="CU1179"/>
      <c r="CV1179"/>
      <c r="CW1179"/>
      <c r="CX1179"/>
      <c r="CY1179"/>
    </row>
    <row r="1180" spans="50:103" ht="20.100000000000001" customHeight="1" x14ac:dyDescent="0.25">
      <c r="AX1180"/>
      <c r="AY1180"/>
      <c r="AZ1180"/>
      <c r="BA1180"/>
      <c r="BB1180"/>
      <c r="BC1180"/>
      <c r="BD1180"/>
      <c r="BE1180"/>
      <c r="BF1180"/>
      <c r="BG1180"/>
      <c r="BH1180"/>
      <c r="BI1180"/>
      <c r="BJ1180"/>
      <c r="BK1180"/>
      <c r="BL1180"/>
      <c r="BM1180"/>
      <c r="BN1180"/>
      <c r="BO1180"/>
      <c r="BP1180"/>
      <c r="BQ1180"/>
      <c r="BR1180"/>
      <c r="BY1180"/>
      <c r="BZ1180"/>
      <c r="CA1180"/>
      <c r="CB1180"/>
      <c r="CC1180"/>
      <c r="CD1180"/>
      <c r="CE1180"/>
      <c r="CF1180"/>
      <c r="CG1180"/>
      <c r="CH1180"/>
      <c r="CI1180"/>
      <c r="CJ1180"/>
      <c r="CK1180"/>
      <c r="CL1180"/>
      <c r="CM1180"/>
      <c r="CN1180"/>
      <c r="CO1180"/>
      <c r="CP1180"/>
      <c r="CQ1180"/>
      <c r="CR1180"/>
      <c r="CS1180"/>
      <c r="CT1180"/>
      <c r="CU1180"/>
      <c r="CV1180"/>
      <c r="CW1180"/>
      <c r="CX1180"/>
      <c r="CY1180"/>
    </row>
    <row r="1181" spans="50:103" ht="20.100000000000001" customHeight="1" x14ac:dyDescent="0.25">
      <c r="AX1181"/>
      <c r="AY1181"/>
      <c r="AZ1181"/>
      <c r="BA1181"/>
      <c r="BB1181"/>
      <c r="BC1181"/>
      <c r="BD1181"/>
      <c r="BE1181"/>
      <c r="BF1181"/>
      <c r="BG1181"/>
      <c r="BH1181"/>
      <c r="BI1181"/>
      <c r="BJ1181"/>
      <c r="BK1181"/>
      <c r="BL1181"/>
      <c r="BM1181"/>
      <c r="BN1181"/>
      <c r="BO1181"/>
      <c r="BP1181"/>
      <c r="BQ1181"/>
      <c r="BR1181"/>
      <c r="BY1181"/>
      <c r="BZ1181"/>
      <c r="CA1181"/>
      <c r="CB1181"/>
      <c r="CC1181"/>
      <c r="CD1181"/>
      <c r="CE1181"/>
      <c r="CF1181"/>
      <c r="CG1181"/>
      <c r="CH1181"/>
      <c r="CI1181"/>
      <c r="CJ1181"/>
      <c r="CK1181"/>
      <c r="CL1181"/>
      <c r="CM1181"/>
      <c r="CN1181"/>
      <c r="CO1181"/>
      <c r="CP1181"/>
      <c r="CQ1181"/>
      <c r="CR1181"/>
      <c r="CS1181"/>
      <c r="CT1181"/>
      <c r="CU1181"/>
      <c r="CV1181"/>
      <c r="CW1181"/>
      <c r="CX1181"/>
      <c r="CY1181"/>
    </row>
    <row r="1182" spans="50:103" ht="20.100000000000001" customHeight="1" x14ac:dyDescent="0.25">
      <c r="AX1182"/>
      <c r="AY1182"/>
      <c r="AZ1182"/>
      <c r="BA1182"/>
      <c r="BB1182"/>
      <c r="BC1182"/>
      <c r="BD1182"/>
      <c r="BE1182"/>
      <c r="BF1182"/>
      <c r="BG1182"/>
      <c r="BH1182"/>
      <c r="BI1182"/>
      <c r="BJ1182"/>
      <c r="BK1182"/>
      <c r="BL1182"/>
      <c r="BM1182"/>
      <c r="BN1182"/>
      <c r="BO1182"/>
      <c r="BP1182"/>
      <c r="BQ1182"/>
      <c r="BR1182"/>
      <c r="BY1182"/>
      <c r="BZ1182"/>
      <c r="CA1182"/>
      <c r="CB1182"/>
      <c r="CC1182"/>
      <c r="CD1182"/>
      <c r="CE1182"/>
      <c r="CF1182"/>
      <c r="CG1182"/>
      <c r="CH1182"/>
      <c r="CI1182"/>
      <c r="CJ1182"/>
      <c r="CK1182"/>
      <c r="CL1182"/>
      <c r="CM1182"/>
      <c r="CN1182"/>
      <c r="CO1182"/>
      <c r="CP1182"/>
      <c r="CQ1182"/>
      <c r="CR1182"/>
      <c r="CS1182"/>
      <c r="CT1182"/>
      <c r="CU1182"/>
      <c r="CV1182"/>
      <c r="CW1182"/>
      <c r="CX1182"/>
      <c r="CY1182"/>
    </row>
    <row r="1183" spans="50:103" ht="20.100000000000001" customHeight="1" x14ac:dyDescent="0.25">
      <c r="AX1183"/>
      <c r="AY1183"/>
      <c r="AZ1183"/>
      <c r="BA1183"/>
      <c r="BB1183"/>
      <c r="BC1183"/>
      <c r="BD1183"/>
      <c r="BE1183"/>
      <c r="BF1183"/>
      <c r="BG1183"/>
      <c r="BH1183"/>
      <c r="BI1183"/>
      <c r="BJ1183"/>
      <c r="BK1183"/>
      <c r="BL1183"/>
      <c r="BM1183"/>
      <c r="BN1183"/>
      <c r="BO1183"/>
      <c r="BP1183"/>
      <c r="BQ1183"/>
      <c r="BR1183"/>
      <c r="BY1183"/>
      <c r="BZ1183"/>
      <c r="CA1183"/>
      <c r="CB1183"/>
      <c r="CC1183"/>
      <c r="CD1183"/>
      <c r="CE1183"/>
      <c r="CF1183"/>
      <c r="CG1183"/>
      <c r="CH1183"/>
      <c r="CI1183"/>
      <c r="CJ1183"/>
      <c r="CK1183"/>
      <c r="CL1183"/>
      <c r="CM1183"/>
      <c r="CN1183"/>
      <c r="CO1183"/>
      <c r="CP1183"/>
      <c r="CQ1183"/>
      <c r="CR1183"/>
      <c r="CS1183"/>
      <c r="CT1183"/>
      <c r="CU1183"/>
      <c r="CV1183"/>
      <c r="CW1183"/>
      <c r="CX1183"/>
      <c r="CY1183"/>
    </row>
    <row r="1184" spans="50:103" ht="20.100000000000001" customHeight="1" x14ac:dyDescent="0.25">
      <c r="AX1184"/>
      <c r="AY1184"/>
      <c r="AZ1184"/>
      <c r="BA1184"/>
      <c r="BB1184"/>
      <c r="BC1184"/>
      <c r="BD1184"/>
      <c r="BE1184"/>
      <c r="BF1184"/>
      <c r="BG1184"/>
      <c r="BH1184"/>
      <c r="BI1184"/>
      <c r="BJ1184"/>
      <c r="BK1184"/>
      <c r="BL1184"/>
      <c r="BM1184"/>
      <c r="BN1184"/>
      <c r="BO1184"/>
      <c r="BP1184"/>
      <c r="BQ1184"/>
      <c r="BR1184"/>
      <c r="BY1184"/>
      <c r="BZ1184"/>
      <c r="CA1184"/>
      <c r="CB1184"/>
      <c r="CC1184"/>
      <c r="CD1184"/>
      <c r="CE1184"/>
      <c r="CF1184"/>
      <c r="CG1184"/>
      <c r="CH1184"/>
      <c r="CI1184"/>
      <c r="CJ1184"/>
      <c r="CK1184"/>
      <c r="CL1184"/>
      <c r="CM1184"/>
      <c r="CN1184"/>
      <c r="CO1184"/>
      <c r="CP1184"/>
      <c r="CQ1184"/>
      <c r="CR1184"/>
      <c r="CS1184"/>
      <c r="CT1184"/>
      <c r="CU1184"/>
      <c r="CV1184"/>
      <c r="CW1184"/>
      <c r="CX1184"/>
      <c r="CY1184"/>
    </row>
    <row r="1185" spans="50:103" ht="20.100000000000001" customHeight="1" x14ac:dyDescent="0.25">
      <c r="AX1185"/>
      <c r="AY1185"/>
      <c r="AZ1185"/>
      <c r="BA1185"/>
      <c r="BB1185"/>
      <c r="BC1185"/>
      <c r="BD1185"/>
      <c r="BE1185"/>
      <c r="BF1185"/>
      <c r="BG1185"/>
      <c r="BH1185"/>
      <c r="BI1185"/>
      <c r="BJ1185"/>
      <c r="BK1185"/>
      <c r="BL1185"/>
      <c r="BM1185"/>
      <c r="BN1185"/>
      <c r="BO1185"/>
      <c r="BP1185"/>
      <c r="BQ1185"/>
      <c r="BR1185"/>
      <c r="BY1185"/>
      <c r="BZ1185"/>
      <c r="CA1185"/>
      <c r="CB1185"/>
      <c r="CC1185"/>
      <c r="CD1185"/>
      <c r="CE1185"/>
      <c r="CF1185"/>
      <c r="CG1185"/>
      <c r="CH1185"/>
      <c r="CI1185"/>
      <c r="CJ1185"/>
      <c r="CK1185"/>
      <c r="CL1185"/>
      <c r="CM1185"/>
      <c r="CN1185"/>
      <c r="CO1185"/>
      <c r="CP1185"/>
      <c r="CQ1185"/>
      <c r="CR1185"/>
      <c r="CS1185"/>
      <c r="CT1185"/>
      <c r="CU1185"/>
      <c r="CV1185"/>
      <c r="CW1185"/>
      <c r="CX1185"/>
      <c r="CY1185"/>
    </row>
    <row r="1186" spans="50:103" ht="20.100000000000001" customHeight="1" x14ac:dyDescent="0.25">
      <c r="AX1186"/>
      <c r="AY1186"/>
      <c r="AZ1186"/>
      <c r="BA1186"/>
      <c r="BB1186"/>
      <c r="BC1186"/>
      <c r="BD1186"/>
      <c r="BE1186"/>
      <c r="BF1186"/>
      <c r="BG1186"/>
      <c r="BH1186"/>
      <c r="BI1186"/>
      <c r="BJ1186"/>
      <c r="BK1186"/>
      <c r="BL1186"/>
      <c r="BM1186"/>
      <c r="BN1186"/>
      <c r="BO1186"/>
      <c r="BP1186"/>
      <c r="BQ1186"/>
      <c r="BR1186"/>
      <c r="BY1186"/>
      <c r="BZ1186"/>
      <c r="CA1186"/>
      <c r="CB1186"/>
      <c r="CC1186"/>
      <c r="CD1186"/>
      <c r="CE1186"/>
      <c r="CF1186"/>
      <c r="CG1186"/>
      <c r="CH1186"/>
      <c r="CI1186"/>
      <c r="CJ1186"/>
      <c r="CK1186"/>
      <c r="CL1186"/>
      <c r="CM1186"/>
      <c r="CN1186"/>
      <c r="CO1186"/>
      <c r="CP1186"/>
      <c r="CQ1186"/>
      <c r="CR1186"/>
      <c r="CS1186"/>
      <c r="CT1186"/>
      <c r="CU1186"/>
      <c r="CV1186"/>
      <c r="CW1186"/>
      <c r="CX1186"/>
      <c r="CY1186"/>
    </row>
    <row r="1187" spans="50:103" ht="20.100000000000001" customHeight="1" x14ac:dyDescent="0.25">
      <c r="AX1187"/>
      <c r="AY1187"/>
      <c r="AZ1187"/>
      <c r="BA1187"/>
      <c r="BB1187"/>
      <c r="BC1187"/>
      <c r="BD1187"/>
      <c r="BE1187"/>
      <c r="BF1187"/>
      <c r="BG1187"/>
      <c r="BH1187"/>
      <c r="BI1187"/>
      <c r="BJ1187"/>
      <c r="BK1187"/>
      <c r="BL1187"/>
      <c r="BM1187"/>
      <c r="BN1187"/>
      <c r="BO1187"/>
      <c r="BP1187"/>
      <c r="BQ1187"/>
      <c r="BR1187"/>
      <c r="BY1187"/>
      <c r="BZ1187"/>
      <c r="CA1187"/>
      <c r="CB1187"/>
      <c r="CC1187"/>
      <c r="CD1187"/>
      <c r="CE1187"/>
      <c r="CF1187"/>
      <c r="CG1187"/>
      <c r="CH1187"/>
      <c r="CI1187"/>
      <c r="CJ1187"/>
      <c r="CK1187"/>
      <c r="CL1187"/>
      <c r="CM1187"/>
      <c r="CN1187"/>
      <c r="CO1187"/>
      <c r="CP1187"/>
      <c r="CQ1187"/>
      <c r="CR1187"/>
      <c r="CS1187"/>
      <c r="CT1187"/>
      <c r="CU1187"/>
      <c r="CV1187"/>
      <c r="CW1187"/>
      <c r="CX1187"/>
      <c r="CY1187"/>
    </row>
    <row r="1188" spans="50:103" ht="20.100000000000001" customHeight="1" x14ac:dyDescent="0.25">
      <c r="AX1188"/>
      <c r="AY1188"/>
      <c r="AZ1188"/>
      <c r="BA1188"/>
      <c r="BB1188"/>
      <c r="BC1188"/>
      <c r="BD1188"/>
      <c r="BE1188"/>
      <c r="BF1188"/>
      <c r="BG1188"/>
      <c r="BH1188"/>
      <c r="BI1188"/>
      <c r="BJ1188"/>
      <c r="BK1188"/>
      <c r="BL1188"/>
      <c r="BM1188"/>
      <c r="BN1188"/>
      <c r="BO1188"/>
      <c r="BP1188"/>
      <c r="BQ1188"/>
      <c r="BR1188"/>
      <c r="BY1188"/>
      <c r="BZ1188"/>
      <c r="CA1188"/>
      <c r="CB1188"/>
      <c r="CC1188"/>
      <c r="CD1188"/>
      <c r="CE1188"/>
      <c r="CF1188"/>
      <c r="CG1188"/>
      <c r="CH1188"/>
      <c r="CI1188"/>
      <c r="CJ1188"/>
      <c r="CK1188"/>
      <c r="CL1188"/>
      <c r="CM1188"/>
      <c r="CN1188"/>
      <c r="CO1188"/>
      <c r="CP1188"/>
      <c r="CQ1188"/>
      <c r="CR1188"/>
      <c r="CS1188"/>
      <c r="CT1188"/>
      <c r="CU1188"/>
      <c r="CV1188"/>
      <c r="CW1188"/>
      <c r="CX1188"/>
      <c r="CY1188"/>
    </row>
    <row r="1189" spans="50:103" ht="20.100000000000001" customHeight="1" x14ac:dyDescent="0.25">
      <c r="AX1189"/>
      <c r="AY1189"/>
      <c r="AZ1189"/>
      <c r="BA1189"/>
      <c r="BB1189"/>
      <c r="BC1189"/>
      <c r="BD1189"/>
      <c r="BE1189"/>
      <c r="BF1189"/>
      <c r="BG1189"/>
      <c r="BH1189"/>
      <c r="BI1189"/>
      <c r="BJ1189"/>
      <c r="BK1189"/>
      <c r="BL1189"/>
      <c r="BM1189"/>
      <c r="BN1189"/>
      <c r="BO1189"/>
      <c r="BP1189"/>
      <c r="BQ1189"/>
      <c r="BR1189"/>
      <c r="BY1189"/>
      <c r="BZ1189"/>
      <c r="CA1189"/>
      <c r="CB1189"/>
      <c r="CC1189"/>
      <c r="CD1189"/>
      <c r="CE1189"/>
      <c r="CF1189"/>
      <c r="CG1189"/>
      <c r="CH1189"/>
      <c r="CI1189"/>
      <c r="CJ1189"/>
      <c r="CK1189"/>
      <c r="CL1189"/>
      <c r="CM1189"/>
      <c r="CN1189"/>
      <c r="CO1189"/>
      <c r="CP1189"/>
      <c r="CQ1189"/>
      <c r="CR1189"/>
      <c r="CS1189"/>
      <c r="CT1189"/>
      <c r="CU1189"/>
      <c r="CV1189"/>
      <c r="CW1189"/>
      <c r="CX1189"/>
      <c r="CY1189"/>
    </row>
    <row r="1190" spans="50:103" ht="20.100000000000001" customHeight="1" x14ac:dyDescent="0.25">
      <c r="AX1190"/>
      <c r="AY1190"/>
      <c r="AZ1190"/>
      <c r="BA1190"/>
      <c r="BB1190"/>
      <c r="BC1190"/>
      <c r="BD1190"/>
      <c r="BE1190"/>
      <c r="BF1190"/>
      <c r="BG1190"/>
      <c r="BH1190"/>
      <c r="BI1190"/>
      <c r="BJ1190"/>
      <c r="BK1190"/>
      <c r="BL1190"/>
      <c r="BM1190"/>
      <c r="BN1190"/>
      <c r="BO1190"/>
      <c r="BP1190"/>
      <c r="BQ1190"/>
      <c r="BR1190"/>
      <c r="BY1190"/>
      <c r="BZ1190"/>
      <c r="CA1190"/>
      <c r="CB1190"/>
      <c r="CC1190"/>
      <c r="CD1190"/>
      <c r="CE1190"/>
      <c r="CF1190"/>
      <c r="CG1190"/>
      <c r="CH1190"/>
      <c r="CI1190"/>
      <c r="CJ1190"/>
      <c r="CK1190"/>
      <c r="CL1190"/>
      <c r="CM1190"/>
      <c r="CN1190"/>
      <c r="CO1190"/>
      <c r="CP1190"/>
      <c r="CQ1190"/>
      <c r="CR1190"/>
      <c r="CS1190"/>
      <c r="CT1190"/>
      <c r="CU1190"/>
      <c r="CV1190"/>
      <c r="CW1190"/>
      <c r="CX1190"/>
      <c r="CY1190"/>
    </row>
    <row r="1191" spans="50:103" ht="20.100000000000001" customHeight="1" x14ac:dyDescent="0.25">
      <c r="AX1191"/>
      <c r="AY1191"/>
      <c r="AZ1191"/>
      <c r="BA1191"/>
      <c r="BB1191"/>
      <c r="BC1191"/>
      <c r="BD1191"/>
      <c r="BE1191"/>
      <c r="BF1191"/>
      <c r="BG1191"/>
      <c r="BH1191"/>
      <c r="BI1191"/>
      <c r="BJ1191"/>
      <c r="BK1191"/>
      <c r="BL1191"/>
      <c r="BM1191"/>
      <c r="BN1191"/>
      <c r="BO1191"/>
      <c r="BP1191"/>
      <c r="BQ1191"/>
      <c r="BR1191"/>
      <c r="BY1191"/>
      <c r="BZ1191"/>
      <c r="CA1191"/>
      <c r="CB1191"/>
      <c r="CC1191"/>
      <c r="CD1191"/>
      <c r="CE1191"/>
      <c r="CF1191"/>
      <c r="CG1191"/>
      <c r="CH1191"/>
      <c r="CI1191"/>
      <c r="CJ1191"/>
      <c r="CK1191"/>
      <c r="CL1191"/>
      <c r="CM1191"/>
      <c r="CN1191"/>
      <c r="CO1191"/>
      <c r="CP1191"/>
      <c r="CQ1191"/>
      <c r="CR1191"/>
      <c r="CS1191"/>
      <c r="CT1191"/>
      <c r="CU1191"/>
      <c r="CV1191"/>
      <c r="CW1191"/>
      <c r="CX1191"/>
      <c r="CY1191"/>
    </row>
    <row r="1192" spans="50:103" ht="20.100000000000001" customHeight="1" x14ac:dyDescent="0.25">
      <c r="AX1192"/>
      <c r="AY1192"/>
      <c r="AZ1192"/>
      <c r="BA1192"/>
      <c r="BB1192"/>
      <c r="BC1192"/>
      <c r="BD1192"/>
      <c r="BE1192"/>
      <c r="BF1192"/>
      <c r="BG1192"/>
      <c r="BH1192"/>
      <c r="BI1192"/>
      <c r="BJ1192"/>
      <c r="BK1192"/>
      <c r="BL1192"/>
      <c r="BM1192"/>
      <c r="BN1192"/>
      <c r="BO1192"/>
      <c r="BP1192"/>
      <c r="BQ1192"/>
      <c r="BR1192"/>
      <c r="BY1192"/>
      <c r="BZ1192"/>
      <c r="CA1192"/>
      <c r="CB1192"/>
      <c r="CC1192"/>
      <c r="CD1192"/>
      <c r="CE1192"/>
      <c r="CF1192"/>
      <c r="CG1192"/>
      <c r="CH1192"/>
      <c r="CI1192"/>
      <c r="CJ1192"/>
      <c r="CK1192"/>
      <c r="CL1192"/>
      <c r="CM1192"/>
      <c r="CN1192"/>
      <c r="CO1192"/>
      <c r="CP1192"/>
      <c r="CQ1192"/>
      <c r="CR1192"/>
      <c r="CS1192"/>
      <c r="CT1192"/>
      <c r="CU1192"/>
      <c r="CV1192"/>
      <c r="CW1192"/>
      <c r="CX1192"/>
      <c r="CY1192"/>
    </row>
    <row r="1193" spans="50:103" ht="20.100000000000001" customHeight="1" x14ac:dyDescent="0.25">
      <c r="AX1193"/>
      <c r="AY1193"/>
      <c r="AZ1193"/>
      <c r="BA1193"/>
      <c r="BB1193"/>
      <c r="BC1193"/>
      <c r="BD1193"/>
      <c r="BE1193"/>
      <c r="BF1193"/>
      <c r="BG1193"/>
      <c r="BH1193"/>
      <c r="BI1193"/>
      <c r="BJ1193"/>
      <c r="BK1193"/>
      <c r="BL1193"/>
      <c r="BM1193"/>
      <c r="BN1193"/>
      <c r="BO1193"/>
      <c r="BP1193"/>
      <c r="BQ1193"/>
      <c r="BR1193"/>
      <c r="BY1193"/>
      <c r="BZ1193"/>
      <c r="CA1193"/>
      <c r="CB1193"/>
      <c r="CC1193"/>
      <c r="CD1193"/>
      <c r="CE1193"/>
      <c r="CF1193"/>
      <c r="CG1193"/>
      <c r="CH1193"/>
      <c r="CI1193"/>
      <c r="CJ1193"/>
      <c r="CK1193"/>
      <c r="CL1193"/>
      <c r="CM1193"/>
      <c r="CN1193"/>
      <c r="CO1193"/>
      <c r="CP1193"/>
      <c r="CQ1193"/>
      <c r="CR1193"/>
      <c r="CS1193"/>
      <c r="CT1193"/>
      <c r="CU1193"/>
      <c r="CV1193"/>
      <c r="CW1193"/>
      <c r="CX1193"/>
      <c r="CY1193"/>
    </row>
    <row r="1194" spans="50:103" ht="20.100000000000001" customHeight="1" x14ac:dyDescent="0.25">
      <c r="AX1194"/>
      <c r="AY1194"/>
      <c r="AZ1194"/>
      <c r="BA1194"/>
      <c r="BB1194"/>
      <c r="BC1194"/>
      <c r="BD1194"/>
      <c r="BE1194"/>
      <c r="BF1194"/>
      <c r="BG1194"/>
      <c r="BH1194"/>
      <c r="BI1194"/>
      <c r="BJ1194"/>
      <c r="BK1194"/>
      <c r="BL1194"/>
      <c r="BM1194"/>
      <c r="BN1194"/>
      <c r="BO1194"/>
      <c r="BP1194"/>
      <c r="BQ1194"/>
      <c r="BR1194"/>
      <c r="BY1194"/>
      <c r="BZ1194"/>
      <c r="CA1194"/>
      <c r="CB1194"/>
      <c r="CC1194"/>
      <c r="CD1194"/>
      <c r="CE1194"/>
      <c r="CF1194"/>
      <c r="CG1194"/>
      <c r="CH1194"/>
      <c r="CI1194"/>
      <c r="CJ1194"/>
      <c r="CK1194"/>
      <c r="CL1194"/>
      <c r="CM1194"/>
      <c r="CN1194"/>
      <c r="CO1194"/>
      <c r="CP1194"/>
      <c r="CQ1194"/>
      <c r="CR1194"/>
      <c r="CS1194"/>
      <c r="CT1194"/>
      <c r="CU1194"/>
      <c r="CV1194"/>
      <c r="CW1194"/>
      <c r="CX1194"/>
      <c r="CY1194"/>
    </row>
    <row r="1195" spans="50:103" ht="20.100000000000001" customHeight="1" x14ac:dyDescent="0.25">
      <c r="AX1195"/>
      <c r="AY1195"/>
      <c r="AZ1195"/>
      <c r="BA1195"/>
      <c r="BB1195"/>
      <c r="BC1195"/>
      <c r="BD1195"/>
      <c r="BE1195"/>
      <c r="BF1195"/>
      <c r="BG1195"/>
      <c r="BH1195"/>
      <c r="BI1195"/>
      <c r="BJ1195"/>
      <c r="BK1195"/>
      <c r="BL1195"/>
      <c r="BM1195"/>
      <c r="BN1195"/>
      <c r="BO1195"/>
      <c r="BP1195"/>
      <c r="BQ1195"/>
      <c r="BR1195"/>
      <c r="BY1195"/>
      <c r="BZ1195"/>
      <c r="CA1195"/>
      <c r="CB1195"/>
      <c r="CC1195"/>
      <c r="CD1195"/>
      <c r="CE1195"/>
      <c r="CF1195"/>
      <c r="CG1195"/>
      <c r="CH1195"/>
      <c r="CI1195"/>
      <c r="CJ1195"/>
      <c r="CK1195"/>
      <c r="CL1195"/>
      <c r="CM1195"/>
      <c r="CN1195"/>
      <c r="CO1195"/>
      <c r="CP1195"/>
      <c r="CQ1195"/>
      <c r="CR1195"/>
      <c r="CS1195"/>
      <c r="CT1195"/>
      <c r="CU1195"/>
      <c r="CV1195"/>
      <c r="CW1195"/>
      <c r="CX1195"/>
      <c r="CY1195"/>
    </row>
    <row r="1196" spans="50:103" ht="20.100000000000001" customHeight="1" x14ac:dyDescent="0.25">
      <c r="AX1196"/>
      <c r="AY1196"/>
      <c r="AZ1196"/>
      <c r="BA1196"/>
      <c r="BB1196"/>
      <c r="BC1196"/>
      <c r="BD1196"/>
      <c r="BE1196"/>
      <c r="BF1196"/>
      <c r="BG1196"/>
      <c r="BH1196"/>
      <c r="BI1196"/>
      <c r="BJ1196"/>
      <c r="BK1196"/>
      <c r="BL1196"/>
      <c r="BM1196"/>
      <c r="BN1196"/>
      <c r="BO1196"/>
      <c r="BP1196"/>
      <c r="BQ1196"/>
      <c r="BR1196"/>
      <c r="BY1196"/>
      <c r="BZ1196"/>
      <c r="CA1196"/>
      <c r="CB1196"/>
      <c r="CC1196"/>
      <c r="CD1196"/>
      <c r="CE1196"/>
      <c r="CF1196"/>
      <c r="CG1196"/>
      <c r="CH1196"/>
      <c r="CI1196"/>
      <c r="CJ1196"/>
      <c r="CK1196"/>
      <c r="CL1196"/>
      <c r="CM1196"/>
      <c r="CN1196"/>
      <c r="CO1196"/>
      <c r="CP1196"/>
      <c r="CQ1196"/>
      <c r="CR1196"/>
      <c r="CS1196"/>
      <c r="CT1196"/>
      <c r="CU1196"/>
      <c r="CV1196"/>
      <c r="CW1196"/>
      <c r="CX1196"/>
      <c r="CY1196"/>
    </row>
    <row r="1197" spans="50:103" ht="20.100000000000001" customHeight="1" x14ac:dyDescent="0.25">
      <c r="AX1197"/>
      <c r="AY1197"/>
      <c r="AZ1197"/>
      <c r="BA1197"/>
      <c r="BB1197"/>
      <c r="BC1197"/>
      <c r="BD1197"/>
      <c r="BE1197"/>
      <c r="BF1197"/>
      <c r="BG1197"/>
      <c r="BH1197"/>
      <c r="BI1197"/>
      <c r="BJ1197"/>
      <c r="BK1197"/>
      <c r="BL1197"/>
      <c r="BM1197"/>
      <c r="BN1197"/>
      <c r="BO1197"/>
      <c r="BP1197"/>
      <c r="BQ1197"/>
      <c r="BR1197"/>
      <c r="BY1197"/>
      <c r="BZ1197"/>
      <c r="CA1197"/>
      <c r="CB1197"/>
      <c r="CC1197"/>
      <c r="CD1197"/>
      <c r="CE1197"/>
      <c r="CF1197"/>
      <c r="CG1197"/>
      <c r="CH1197"/>
      <c r="CI1197"/>
      <c r="CJ1197"/>
      <c r="CK1197"/>
      <c r="CL1197"/>
      <c r="CM1197"/>
      <c r="CN1197"/>
      <c r="CO1197"/>
      <c r="CP1197"/>
      <c r="CQ1197"/>
      <c r="CR1197"/>
      <c r="CS1197"/>
      <c r="CT1197"/>
      <c r="CU1197"/>
      <c r="CV1197"/>
      <c r="CW1197"/>
      <c r="CX1197"/>
      <c r="CY1197"/>
    </row>
    <row r="1198" spans="50:103" ht="20.100000000000001" customHeight="1" x14ac:dyDescent="0.25">
      <c r="AX1198"/>
      <c r="AY1198"/>
      <c r="AZ1198"/>
      <c r="BA1198"/>
      <c r="BB1198"/>
      <c r="BC1198"/>
      <c r="BD1198"/>
      <c r="BE1198"/>
      <c r="BF1198"/>
      <c r="BG1198"/>
      <c r="BH1198"/>
      <c r="BI1198"/>
      <c r="BJ1198"/>
      <c r="BK1198"/>
      <c r="BL1198"/>
      <c r="BM1198"/>
      <c r="BN1198"/>
      <c r="BO1198"/>
      <c r="BP1198"/>
      <c r="BQ1198"/>
      <c r="BR1198"/>
      <c r="BY1198"/>
      <c r="BZ1198"/>
      <c r="CA1198"/>
      <c r="CB1198"/>
      <c r="CC1198"/>
      <c r="CD1198"/>
      <c r="CE1198"/>
      <c r="CF1198"/>
      <c r="CG1198"/>
      <c r="CH1198"/>
      <c r="CI1198"/>
      <c r="CJ1198"/>
      <c r="CK1198"/>
      <c r="CL1198"/>
      <c r="CM1198"/>
      <c r="CN1198"/>
      <c r="CO1198"/>
      <c r="CP1198"/>
      <c r="CQ1198"/>
      <c r="CR1198"/>
      <c r="CS1198"/>
      <c r="CT1198"/>
      <c r="CU1198"/>
      <c r="CV1198"/>
      <c r="CW1198"/>
      <c r="CX1198"/>
      <c r="CY1198"/>
    </row>
    <row r="1199" spans="50:103" ht="20.100000000000001" customHeight="1" x14ac:dyDescent="0.25">
      <c r="AX1199"/>
      <c r="AY1199"/>
      <c r="AZ1199"/>
      <c r="BA1199"/>
      <c r="BB1199"/>
      <c r="BC1199"/>
      <c r="BD1199"/>
      <c r="BE1199"/>
      <c r="BF1199"/>
      <c r="BG1199"/>
      <c r="BH1199"/>
      <c r="BI1199"/>
      <c r="BJ1199"/>
      <c r="BK1199"/>
      <c r="BL1199"/>
      <c r="BM1199"/>
      <c r="BN1199"/>
      <c r="BO1199"/>
      <c r="BP1199"/>
      <c r="BQ1199"/>
      <c r="BR1199"/>
      <c r="BY1199"/>
      <c r="BZ1199"/>
      <c r="CA1199"/>
      <c r="CB1199"/>
      <c r="CC1199"/>
      <c r="CD1199"/>
      <c r="CE1199"/>
      <c r="CF1199"/>
      <c r="CG1199"/>
      <c r="CH1199"/>
      <c r="CI1199"/>
      <c r="CJ1199"/>
      <c r="CK1199"/>
      <c r="CL1199"/>
      <c r="CM1199"/>
      <c r="CN1199"/>
      <c r="CO1199"/>
      <c r="CP1199"/>
      <c r="CQ1199"/>
      <c r="CR1199"/>
      <c r="CS1199"/>
      <c r="CT1199"/>
      <c r="CU1199"/>
      <c r="CV1199"/>
      <c r="CW1199"/>
      <c r="CX1199"/>
      <c r="CY1199"/>
    </row>
    <row r="1200" spans="50:103" ht="20.100000000000001" customHeight="1" x14ac:dyDescent="0.25">
      <c r="AX1200"/>
      <c r="AY1200"/>
      <c r="AZ1200"/>
      <c r="BA1200"/>
      <c r="BB1200"/>
      <c r="BC1200"/>
      <c r="BD1200"/>
      <c r="BE1200"/>
      <c r="BF1200"/>
      <c r="BG1200"/>
      <c r="BH1200"/>
      <c r="BI1200"/>
      <c r="BJ1200"/>
      <c r="BK1200"/>
      <c r="BL1200"/>
      <c r="BM1200"/>
      <c r="BN1200"/>
      <c r="BO1200"/>
      <c r="BP1200"/>
      <c r="BQ1200"/>
      <c r="BR1200"/>
      <c r="BY1200"/>
      <c r="BZ1200"/>
      <c r="CA1200"/>
      <c r="CB1200"/>
      <c r="CC1200"/>
      <c r="CD1200"/>
      <c r="CE1200"/>
      <c r="CF1200"/>
      <c r="CG1200"/>
      <c r="CH1200"/>
      <c r="CI1200"/>
      <c r="CJ1200"/>
      <c r="CK1200"/>
      <c r="CL1200"/>
      <c r="CM1200"/>
      <c r="CN1200"/>
      <c r="CO1200"/>
      <c r="CP1200"/>
      <c r="CQ1200"/>
      <c r="CR1200"/>
      <c r="CS1200"/>
      <c r="CT1200"/>
      <c r="CU1200"/>
      <c r="CV1200"/>
      <c r="CW1200"/>
      <c r="CX1200"/>
      <c r="CY1200"/>
    </row>
    <row r="1201" spans="50:103" ht="20.100000000000001" customHeight="1" x14ac:dyDescent="0.25">
      <c r="AX1201"/>
      <c r="AY1201"/>
      <c r="AZ1201"/>
      <c r="BA1201"/>
      <c r="BB1201"/>
      <c r="BC1201"/>
      <c r="BD1201"/>
      <c r="BE1201"/>
      <c r="BF1201"/>
      <c r="BG1201"/>
      <c r="BH1201"/>
      <c r="BI1201"/>
      <c r="BJ1201"/>
      <c r="BK1201"/>
      <c r="BL1201"/>
      <c r="BM1201"/>
      <c r="BN1201"/>
      <c r="BO1201"/>
      <c r="BP1201"/>
      <c r="BQ1201"/>
      <c r="BR1201"/>
      <c r="BY1201"/>
      <c r="BZ1201"/>
      <c r="CA1201"/>
      <c r="CB1201"/>
      <c r="CC1201"/>
      <c r="CD1201"/>
      <c r="CE1201"/>
      <c r="CF1201"/>
      <c r="CG1201"/>
      <c r="CH1201"/>
      <c r="CI1201"/>
      <c r="CJ1201"/>
      <c r="CK1201"/>
      <c r="CL1201"/>
      <c r="CM1201"/>
      <c r="CN1201"/>
      <c r="CO1201"/>
      <c r="CP1201"/>
      <c r="CQ1201"/>
      <c r="CR1201"/>
      <c r="CS1201"/>
      <c r="CT1201"/>
      <c r="CU1201"/>
      <c r="CV1201"/>
      <c r="CW1201"/>
      <c r="CX1201"/>
      <c r="CY1201"/>
    </row>
    <row r="1202" spans="50:103" ht="20.100000000000001" customHeight="1" x14ac:dyDescent="0.25">
      <c r="AX1202"/>
      <c r="AY1202"/>
      <c r="AZ1202"/>
      <c r="BA1202"/>
      <c r="BB1202"/>
      <c r="BC1202"/>
      <c r="BD1202"/>
      <c r="BE1202"/>
      <c r="BF1202"/>
      <c r="BG1202"/>
      <c r="BH1202"/>
      <c r="BI1202"/>
      <c r="BJ1202"/>
      <c r="BK1202"/>
      <c r="BL1202"/>
      <c r="BM1202"/>
      <c r="BN1202"/>
      <c r="BO1202"/>
      <c r="BP1202"/>
      <c r="BQ1202"/>
      <c r="BR1202"/>
      <c r="BY1202"/>
      <c r="BZ1202"/>
      <c r="CA1202"/>
      <c r="CB1202"/>
      <c r="CC1202"/>
      <c r="CD1202"/>
      <c r="CE1202"/>
      <c r="CF1202"/>
      <c r="CG1202"/>
      <c r="CH1202"/>
      <c r="CI1202"/>
      <c r="CJ1202"/>
      <c r="CK1202"/>
      <c r="CL1202"/>
      <c r="CM1202"/>
      <c r="CN1202"/>
      <c r="CO1202"/>
      <c r="CP1202"/>
      <c r="CQ1202"/>
      <c r="CR1202"/>
      <c r="CS1202"/>
      <c r="CT1202"/>
      <c r="CU1202"/>
      <c r="CV1202"/>
      <c r="CW1202"/>
      <c r="CX1202"/>
      <c r="CY1202"/>
    </row>
    <row r="1203" spans="50:103" ht="20.100000000000001" customHeight="1" x14ac:dyDescent="0.25">
      <c r="AX1203"/>
      <c r="AY1203"/>
      <c r="AZ1203"/>
      <c r="BA1203"/>
      <c r="BB1203"/>
      <c r="BC1203"/>
      <c r="BD1203"/>
      <c r="BE1203"/>
      <c r="BF1203"/>
      <c r="BG1203"/>
      <c r="BH1203"/>
      <c r="BI1203"/>
      <c r="BJ1203"/>
      <c r="BK1203"/>
      <c r="BL1203"/>
      <c r="BM1203"/>
      <c r="BN1203"/>
      <c r="BO1203"/>
      <c r="BP1203"/>
      <c r="BQ1203"/>
      <c r="BR1203"/>
      <c r="BY1203"/>
      <c r="BZ1203"/>
      <c r="CA1203"/>
      <c r="CB1203"/>
      <c r="CC1203"/>
      <c r="CD1203"/>
      <c r="CE1203"/>
      <c r="CF1203"/>
      <c r="CG1203"/>
      <c r="CH1203"/>
      <c r="CI1203"/>
      <c r="CJ1203"/>
      <c r="CK1203"/>
      <c r="CL1203"/>
      <c r="CM1203"/>
      <c r="CN1203"/>
      <c r="CO1203"/>
      <c r="CP1203"/>
      <c r="CQ1203"/>
      <c r="CR1203"/>
      <c r="CS1203"/>
      <c r="CT1203"/>
      <c r="CU1203"/>
      <c r="CV1203"/>
      <c r="CW1203"/>
      <c r="CX1203"/>
      <c r="CY1203"/>
    </row>
    <row r="1204" spans="50:103" ht="20.100000000000001" customHeight="1" x14ac:dyDescent="0.25">
      <c r="AX1204"/>
      <c r="AY1204"/>
      <c r="AZ1204"/>
      <c r="BA1204"/>
      <c r="BB1204"/>
      <c r="BC1204"/>
      <c r="BD1204"/>
      <c r="BE1204"/>
      <c r="BF1204"/>
      <c r="BG1204"/>
      <c r="BH1204"/>
      <c r="BI1204"/>
      <c r="BJ1204"/>
      <c r="BK1204"/>
      <c r="BL1204"/>
      <c r="BM1204"/>
      <c r="BN1204"/>
      <c r="BO1204"/>
      <c r="BP1204"/>
      <c r="BQ1204"/>
      <c r="BR1204"/>
      <c r="BY1204"/>
      <c r="BZ1204"/>
      <c r="CA1204"/>
      <c r="CB1204"/>
      <c r="CC1204"/>
      <c r="CD1204"/>
      <c r="CE1204"/>
      <c r="CF1204"/>
      <c r="CG1204"/>
      <c r="CH1204"/>
      <c r="CI1204"/>
      <c r="CJ1204"/>
      <c r="CK1204"/>
      <c r="CL1204"/>
      <c r="CM1204"/>
      <c r="CN1204"/>
      <c r="CO1204"/>
      <c r="CP1204"/>
      <c r="CQ1204"/>
      <c r="CR1204"/>
      <c r="CS1204"/>
      <c r="CT1204"/>
      <c r="CU1204"/>
      <c r="CV1204"/>
      <c r="CW1204"/>
      <c r="CX1204"/>
      <c r="CY1204"/>
    </row>
    <row r="1205" spans="50:103" ht="20.100000000000001" customHeight="1" x14ac:dyDescent="0.25">
      <c r="AX1205"/>
      <c r="AY1205"/>
      <c r="AZ1205"/>
      <c r="BA1205"/>
      <c r="BB1205"/>
      <c r="BC1205"/>
      <c r="BD1205"/>
      <c r="BE1205"/>
      <c r="BF1205"/>
      <c r="BG1205"/>
      <c r="BH1205"/>
      <c r="BI1205"/>
      <c r="BJ1205"/>
      <c r="BK1205"/>
      <c r="BL1205"/>
      <c r="BM1205"/>
      <c r="BN1205"/>
      <c r="BO1205"/>
      <c r="BP1205"/>
      <c r="BQ1205"/>
      <c r="BR1205"/>
      <c r="BY1205"/>
      <c r="BZ1205"/>
      <c r="CA1205"/>
      <c r="CB1205"/>
      <c r="CC1205"/>
      <c r="CD1205"/>
      <c r="CE1205"/>
      <c r="CF1205"/>
      <c r="CG1205"/>
      <c r="CH1205"/>
      <c r="CI1205"/>
      <c r="CJ1205"/>
      <c r="CK1205"/>
      <c r="CL1205"/>
      <c r="CM1205"/>
      <c r="CN1205"/>
      <c r="CO1205"/>
      <c r="CP1205"/>
      <c r="CQ1205"/>
      <c r="CR1205"/>
      <c r="CS1205"/>
      <c r="CT1205"/>
      <c r="CU1205"/>
      <c r="CV1205"/>
      <c r="CW1205"/>
      <c r="CX1205"/>
      <c r="CY1205"/>
    </row>
    <row r="1206" spans="50:103" ht="20.100000000000001" customHeight="1" x14ac:dyDescent="0.25">
      <c r="AX1206"/>
      <c r="AY1206"/>
      <c r="AZ1206"/>
      <c r="BA1206"/>
      <c r="BB1206"/>
      <c r="BC1206"/>
      <c r="BD1206"/>
      <c r="BE1206"/>
      <c r="BF1206"/>
      <c r="BG1206"/>
      <c r="BH1206"/>
      <c r="BI1206"/>
      <c r="BJ1206"/>
      <c r="BK1206"/>
      <c r="BL1206"/>
      <c r="BM1206"/>
      <c r="BN1206"/>
      <c r="BO1206"/>
      <c r="BP1206"/>
      <c r="BQ1206"/>
      <c r="BR1206"/>
      <c r="BY1206"/>
      <c r="BZ1206"/>
      <c r="CA1206"/>
      <c r="CB1206"/>
      <c r="CC1206"/>
      <c r="CD1206"/>
      <c r="CE1206"/>
      <c r="CF1206"/>
      <c r="CG1206"/>
      <c r="CH1206"/>
      <c r="CI1206"/>
      <c r="CJ1206"/>
      <c r="CK1206"/>
      <c r="CL1206"/>
      <c r="CM1206"/>
      <c r="CN1206"/>
      <c r="CO1206"/>
      <c r="CP1206"/>
      <c r="CQ1206"/>
      <c r="CR1206"/>
      <c r="CS1206"/>
      <c r="CT1206"/>
      <c r="CU1206"/>
      <c r="CV1206"/>
      <c r="CW1206"/>
      <c r="CX1206"/>
      <c r="CY1206"/>
    </row>
    <row r="1207" spans="50:103" ht="20.100000000000001" customHeight="1" x14ac:dyDescent="0.25">
      <c r="AX1207"/>
      <c r="AY1207"/>
      <c r="AZ1207"/>
      <c r="BA1207"/>
      <c r="BB1207"/>
      <c r="BC1207"/>
      <c r="BD1207"/>
      <c r="BE1207"/>
      <c r="BF1207"/>
      <c r="BG1207"/>
      <c r="BH1207"/>
      <c r="BI1207"/>
      <c r="BJ1207"/>
      <c r="BK1207"/>
      <c r="BL1207"/>
      <c r="BM1207"/>
      <c r="BN1207"/>
      <c r="BO1207"/>
      <c r="BP1207"/>
      <c r="BQ1207"/>
      <c r="BR1207"/>
      <c r="BY1207"/>
      <c r="BZ1207"/>
      <c r="CA1207"/>
      <c r="CB1207"/>
      <c r="CC1207"/>
      <c r="CD1207"/>
      <c r="CE1207"/>
      <c r="CF1207"/>
      <c r="CG1207"/>
      <c r="CH1207"/>
      <c r="CI1207"/>
      <c r="CJ1207"/>
      <c r="CK1207"/>
      <c r="CL1207"/>
      <c r="CM1207"/>
      <c r="CN1207"/>
      <c r="CO1207"/>
      <c r="CP1207"/>
      <c r="CQ1207"/>
      <c r="CR1207"/>
      <c r="CS1207"/>
      <c r="CT1207"/>
      <c r="CU1207"/>
      <c r="CV1207"/>
      <c r="CW1207"/>
      <c r="CX1207"/>
      <c r="CY1207"/>
    </row>
    <row r="1208" spans="50:103" ht="20.100000000000001" customHeight="1" x14ac:dyDescent="0.25">
      <c r="AX1208"/>
      <c r="AY1208"/>
      <c r="AZ1208"/>
      <c r="BA1208"/>
      <c r="BB1208"/>
      <c r="BC1208"/>
      <c r="BD1208"/>
      <c r="BE1208"/>
      <c r="BF1208"/>
      <c r="BG1208"/>
      <c r="BH1208"/>
      <c r="BI1208"/>
      <c r="BJ1208"/>
      <c r="BK1208"/>
      <c r="BL1208"/>
      <c r="BM1208"/>
      <c r="BN1208"/>
      <c r="BO1208"/>
      <c r="BP1208"/>
      <c r="BQ1208"/>
      <c r="BR1208"/>
      <c r="BY1208"/>
      <c r="BZ1208"/>
      <c r="CA1208"/>
      <c r="CB1208"/>
      <c r="CC1208"/>
      <c r="CD1208"/>
      <c r="CE1208"/>
      <c r="CF1208"/>
      <c r="CG1208"/>
      <c r="CH1208"/>
      <c r="CI1208"/>
      <c r="CJ1208"/>
      <c r="CK1208"/>
      <c r="CL1208"/>
      <c r="CM1208"/>
      <c r="CN1208"/>
      <c r="CO1208"/>
      <c r="CP1208"/>
      <c r="CQ1208"/>
      <c r="CR1208"/>
      <c r="CS1208"/>
      <c r="CT1208"/>
      <c r="CU1208"/>
      <c r="CV1208"/>
      <c r="CW1208"/>
      <c r="CX1208"/>
      <c r="CY1208"/>
    </row>
    <row r="1209" spans="50:103" ht="20.100000000000001" customHeight="1" x14ac:dyDescent="0.25">
      <c r="AX1209"/>
      <c r="AY1209"/>
      <c r="AZ1209"/>
      <c r="BA1209"/>
      <c r="BB1209"/>
      <c r="BC1209"/>
      <c r="BD1209"/>
      <c r="BE1209"/>
      <c r="BF1209"/>
      <c r="BG1209"/>
      <c r="BH1209"/>
      <c r="BI1209"/>
      <c r="BJ1209"/>
      <c r="BK1209"/>
      <c r="BL1209"/>
      <c r="BM1209"/>
      <c r="BN1209"/>
      <c r="BO1209"/>
      <c r="BP1209"/>
      <c r="BQ1209"/>
      <c r="BR1209"/>
      <c r="BY1209"/>
      <c r="BZ1209"/>
      <c r="CA1209"/>
      <c r="CB1209"/>
      <c r="CC1209"/>
      <c r="CD1209"/>
      <c r="CE1209"/>
      <c r="CF1209"/>
      <c r="CG1209"/>
      <c r="CH1209"/>
      <c r="CI1209"/>
      <c r="CJ1209"/>
      <c r="CK1209"/>
      <c r="CL1209"/>
      <c r="CM1209"/>
      <c r="CN1209"/>
      <c r="CO1209"/>
      <c r="CP1209"/>
      <c r="CQ1209"/>
      <c r="CR1209"/>
      <c r="CS1209"/>
      <c r="CT1209"/>
      <c r="CU1209"/>
      <c r="CV1209"/>
      <c r="CW1209"/>
      <c r="CX1209"/>
      <c r="CY1209"/>
    </row>
    <row r="1210" spans="50:103" ht="20.100000000000001" customHeight="1" x14ac:dyDescent="0.25">
      <c r="AX1210"/>
      <c r="AY1210"/>
      <c r="AZ1210"/>
      <c r="BA1210"/>
      <c r="BB1210"/>
      <c r="BC1210"/>
      <c r="BD1210"/>
      <c r="BE1210"/>
      <c r="BF1210"/>
      <c r="BG1210"/>
      <c r="BH1210"/>
      <c r="BI1210"/>
      <c r="BJ1210"/>
      <c r="BK1210"/>
      <c r="BL1210"/>
      <c r="BM1210"/>
      <c r="BN1210"/>
      <c r="BO1210"/>
      <c r="BP1210"/>
      <c r="BQ1210"/>
      <c r="BR1210"/>
      <c r="BY1210"/>
      <c r="BZ1210"/>
      <c r="CA1210"/>
      <c r="CB1210"/>
      <c r="CC1210"/>
      <c r="CD1210"/>
      <c r="CE1210"/>
      <c r="CF1210"/>
      <c r="CG1210"/>
      <c r="CH1210"/>
      <c r="CI1210"/>
      <c r="CJ1210"/>
      <c r="CK1210"/>
      <c r="CL1210"/>
      <c r="CM1210"/>
      <c r="CN1210"/>
      <c r="CO1210"/>
      <c r="CP1210"/>
      <c r="CQ1210"/>
      <c r="CR1210"/>
      <c r="CS1210"/>
      <c r="CT1210"/>
      <c r="CU1210"/>
      <c r="CV1210"/>
      <c r="CW1210"/>
      <c r="CX1210"/>
      <c r="CY1210"/>
    </row>
    <row r="1211" spans="50:103" ht="20.100000000000001" customHeight="1" x14ac:dyDescent="0.25">
      <c r="AX1211"/>
      <c r="AY1211"/>
      <c r="AZ1211"/>
      <c r="BA1211"/>
      <c r="BB1211"/>
      <c r="BC1211"/>
      <c r="BD1211"/>
      <c r="BE1211"/>
      <c r="BF1211"/>
      <c r="BG1211"/>
      <c r="BH1211"/>
      <c r="BI1211"/>
      <c r="BJ1211"/>
      <c r="BK1211"/>
      <c r="BL1211"/>
      <c r="BM1211"/>
      <c r="BN1211"/>
      <c r="BO1211"/>
      <c r="BP1211"/>
      <c r="BQ1211"/>
      <c r="BR1211"/>
      <c r="BY1211"/>
      <c r="BZ1211"/>
      <c r="CA1211"/>
      <c r="CB1211"/>
      <c r="CC1211"/>
      <c r="CD1211"/>
      <c r="CE1211"/>
      <c r="CF1211"/>
      <c r="CG1211"/>
      <c r="CH1211"/>
      <c r="CI1211"/>
      <c r="CJ1211"/>
      <c r="CK1211"/>
      <c r="CL1211"/>
      <c r="CM1211"/>
      <c r="CN1211"/>
      <c r="CO1211"/>
      <c r="CP1211"/>
      <c r="CQ1211"/>
      <c r="CR1211"/>
      <c r="CS1211"/>
      <c r="CT1211"/>
      <c r="CU1211"/>
      <c r="CV1211"/>
      <c r="CW1211"/>
      <c r="CX1211"/>
      <c r="CY1211"/>
    </row>
    <row r="1212" spans="50:103" ht="20.100000000000001" customHeight="1" x14ac:dyDescent="0.25">
      <c r="AX1212"/>
      <c r="AY1212"/>
      <c r="AZ1212"/>
      <c r="BA1212"/>
      <c r="BB1212"/>
      <c r="BC1212"/>
      <c r="BD1212"/>
      <c r="BE1212"/>
      <c r="BF1212"/>
      <c r="BG1212"/>
      <c r="BH1212"/>
      <c r="BI1212"/>
      <c r="BJ1212"/>
      <c r="BK1212"/>
      <c r="BL1212"/>
      <c r="BM1212"/>
      <c r="BN1212"/>
      <c r="BO1212"/>
      <c r="BP1212"/>
      <c r="BQ1212"/>
      <c r="BR1212"/>
      <c r="BY1212"/>
      <c r="BZ1212"/>
      <c r="CA1212"/>
      <c r="CB1212"/>
      <c r="CC1212"/>
      <c r="CD1212"/>
      <c r="CE1212"/>
      <c r="CF1212"/>
      <c r="CG1212"/>
      <c r="CH1212"/>
      <c r="CI1212"/>
      <c r="CJ1212"/>
      <c r="CK1212"/>
      <c r="CL1212"/>
      <c r="CM1212"/>
      <c r="CN1212"/>
      <c r="CO1212"/>
      <c r="CP1212"/>
      <c r="CQ1212"/>
      <c r="CR1212"/>
      <c r="CS1212"/>
      <c r="CT1212"/>
      <c r="CU1212"/>
      <c r="CV1212"/>
      <c r="CW1212"/>
      <c r="CX1212"/>
      <c r="CY1212"/>
    </row>
    <row r="1213" spans="50:103" ht="20.100000000000001" customHeight="1" x14ac:dyDescent="0.25">
      <c r="AX1213"/>
      <c r="AY1213"/>
      <c r="AZ1213"/>
      <c r="BA1213"/>
      <c r="BB1213"/>
      <c r="BC1213"/>
      <c r="BD1213"/>
      <c r="BE1213"/>
      <c r="BF1213"/>
      <c r="BG1213"/>
      <c r="BH1213"/>
      <c r="BI1213"/>
      <c r="BJ1213"/>
      <c r="BK1213"/>
      <c r="BL1213"/>
      <c r="BM1213"/>
      <c r="BN1213"/>
      <c r="BO1213"/>
      <c r="BP1213"/>
      <c r="BQ1213"/>
      <c r="BR1213"/>
      <c r="BY1213"/>
      <c r="BZ1213"/>
      <c r="CA1213"/>
      <c r="CB1213"/>
      <c r="CC1213"/>
      <c r="CD1213"/>
      <c r="CE1213"/>
      <c r="CF1213"/>
      <c r="CG1213"/>
      <c r="CH1213"/>
      <c r="CI1213"/>
      <c r="CJ1213"/>
      <c r="CK1213"/>
      <c r="CL1213"/>
      <c r="CM1213"/>
      <c r="CN1213"/>
      <c r="CO1213"/>
      <c r="CP1213"/>
      <c r="CQ1213"/>
      <c r="CR1213"/>
      <c r="CS1213"/>
      <c r="CT1213"/>
      <c r="CU1213"/>
      <c r="CV1213"/>
      <c r="CW1213"/>
      <c r="CX1213"/>
      <c r="CY1213"/>
    </row>
    <row r="1214" spans="50:103" ht="20.100000000000001" customHeight="1" x14ac:dyDescent="0.25">
      <c r="AX1214"/>
      <c r="AY1214"/>
      <c r="AZ1214"/>
      <c r="BA1214"/>
      <c r="BB1214"/>
      <c r="BC1214"/>
      <c r="BD1214"/>
      <c r="BE1214"/>
      <c r="BF1214"/>
      <c r="BG1214"/>
      <c r="BH1214"/>
      <c r="BI1214"/>
      <c r="BJ1214"/>
      <c r="BK1214"/>
      <c r="BL1214"/>
      <c r="BM1214"/>
      <c r="BN1214"/>
      <c r="BO1214"/>
      <c r="BP1214"/>
      <c r="BQ1214"/>
      <c r="BR1214"/>
      <c r="BY1214"/>
      <c r="BZ1214"/>
      <c r="CA1214"/>
      <c r="CB1214"/>
      <c r="CC1214"/>
      <c r="CD1214"/>
      <c r="CE1214"/>
      <c r="CF1214"/>
      <c r="CG1214"/>
      <c r="CH1214"/>
      <c r="CI1214"/>
      <c r="CJ1214"/>
      <c r="CK1214"/>
      <c r="CL1214"/>
      <c r="CM1214"/>
      <c r="CN1214"/>
      <c r="CO1214"/>
      <c r="CP1214"/>
      <c r="CQ1214"/>
      <c r="CR1214"/>
      <c r="CS1214"/>
      <c r="CT1214"/>
      <c r="CU1214"/>
      <c r="CV1214"/>
      <c r="CW1214"/>
      <c r="CX1214"/>
      <c r="CY1214"/>
    </row>
    <row r="1215" spans="50:103" ht="20.100000000000001" customHeight="1" x14ac:dyDescent="0.25">
      <c r="AX1215"/>
      <c r="AY1215"/>
      <c r="AZ1215"/>
      <c r="BA1215"/>
      <c r="BB1215"/>
      <c r="BC1215"/>
      <c r="BD1215"/>
      <c r="BE1215"/>
      <c r="BF1215"/>
      <c r="BG1215"/>
      <c r="BH1215"/>
      <c r="BI1215"/>
      <c r="BJ1215"/>
      <c r="BK1215"/>
      <c r="BL1215"/>
      <c r="BM1215"/>
      <c r="BN1215"/>
      <c r="BO1215"/>
      <c r="BP1215"/>
      <c r="BQ1215"/>
      <c r="BR1215"/>
      <c r="BY1215"/>
      <c r="BZ1215"/>
      <c r="CA1215"/>
      <c r="CB1215"/>
      <c r="CC1215"/>
      <c r="CD1215"/>
      <c r="CE1215"/>
      <c r="CF1215"/>
      <c r="CG1215"/>
      <c r="CH1215"/>
      <c r="CI1215"/>
      <c r="CJ1215"/>
      <c r="CK1215"/>
      <c r="CL1215"/>
      <c r="CM1215"/>
      <c r="CN1215"/>
      <c r="CO1215"/>
      <c r="CP1215"/>
      <c r="CQ1215"/>
      <c r="CR1215"/>
      <c r="CS1215"/>
      <c r="CT1215"/>
      <c r="CU1215"/>
      <c r="CV1215"/>
      <c r="CW1215"/>
      <c r="CX1215"/>
      <c r="CY1215"/>
    </row>
    <row r="1216" spans="50:103" ht="20.100000000000001" customHeight="1" x14ac:dyDescent="0.25">
      <c r="AX1216"/>
      <c r="AY1216"/>
      <c r="AZ1216"/>
      <c r="BA1216"/>
      <c r="BB1216"/>
      <c r="BC1216"/>
      <c r="BD1216"/>
      <c r="BE1216"/>
      <c r="BF1216"/>
      <c r="BG1216"/>
      <c r="BH1216"/>
      <c r="BI1216"/>
      <c r="BJ1216"/>
      <c r="BK1216"/>
      <c r="BL1216"/>
      <c r="BM1216"/>
      <c r="BN1216"/>
      <c r="BO1216"/>
      <c r="BP1216"/>
      <c r="BQ1216"/>
      <c r="BR1216"/>
      <c r="BY1216"/>
      <c r="BZ1216"/>
      <c r="CA1216"/>
      <c r="CB1216"/>
      <c r="CC1216"/>
      <c r="CD1216"/>
      <c r="CE1216"/>
      <c r="CF1216"/>
      <c r="CG1216"/>
      <c r="CH1216"/>
      <c r="CI1216"/>
      <c r="CJ1216"/>
      <c r="CK1216"/>
      <c r="CL1216"/>
      <c r="CM1216"/>
      <c r="CN1216"/>
      <c r="CO1216"/>
      <c r="CP1216"/>
      <c r="CQ1216"/>
      <c r="CR1216"/>
      <c r="CS1216"/>
      <c r="CT1216"/>
      <c r="CU1216"/>
      <c r="CV1216"/>
      <c r="CW1216"/>
      <c r="CX1216"/>
      <c r="CY1216"/>
    </row>
    <row r="1217" spans="50:103" ht="20.100000000000001" customHeight="1" x14ac:dyDescent="0.25">
      <c r="AX1217"/>
      <c r="AY1217"/>
      <c r="AZ1217"/>
      <c r="BA1217"/>
      <c r="BB1217"/>
      <c r="BC1217"/>
      <c r="BD1217"/>
      <c r="BE1217"/>
      <c r="BF1217"/>
      <c r="BG1217"/>
      <c r="BH1217"/>
      <c r="BI1217"/>
      <c r="BJ1217"/>
      <c r="BK1217"/>
      <c r="BL1217"/>
      <c r="BM1217"/>
      <c r="BN1217"/>
      <c r="BO1217"/>
      <c r="BP1217"/>
      <c r="BQ1217"/>
      <c r="BR1217"/>
      <c r="BY1217"/>
      <c r="BZ1217"/>
      <c r="CA1217"/>
      <c r="CB1217"/>
      <c r="CC1217"/>
      <c r="CD1217"/>
      <c r="CE1217"/>
      <c r="CF1217"/>
      <c r="CG1217"/>
      <c r="CH1217"/>
      <c r="CI1217"/>
      <c r="CJ1217"/>
      <c r="CK1217"/>
      <c r="CL1217"/>
      <c r="CM1217"/>
      <c r="CN1217"/>
      <c r="CO1217"/>
      <c r="CP1217"/>
      <c r="CQ1217"/>
      <c r="CR1217"/>
      <c r="CS1217"/>
      <c r="CT1217"/>
      <c r="CU1217"/>
      <c r="CV1217"/>
      <c r="CW1217"/>
      <c r="CX1217"/>
      <c r="CY1217"/>
    </row>
    <row r="1218" spans="50:103" ht="20.100000000000001" customHeight="1" x14ac:dyDescent="0.25">
      <c r="AX1218"/>
      <c r="AY1218"/>
      <c r="AZ1218"/>
      <c r="BA1218"/>
      <c r="BB1218"/>
      <c r="BC1218"/>
      <c r="BD1218"/>
      <c r="BE1218"/>
      <c r="BF1218"/>
      <c r="BG1218"/>
      <c r="BH1218"/>
      <c r="BI1218"/>
      <c r="BJ1218"/>
      <c r="BK1218"/>
      <c r="BL1218"/>
      <c r="BM1218"/>
      <c r="BN1218"/>
      <c r="BO1218"/>
      <c r="BP1218"/>
      <c r="BQ1218"/>
      <c r="BR1218"/>
      <c r="BY1218"/>
      <c r="BZ1218"/>
      <c r="CA1218"/>
      <c r="CB1218"/>
      <c r="CC1218"/>
      <c r="CD1218"/>
      <c r="CE1218"/>
      <c r="CF1218"/>
      <c r="CG1218"/>
      <c r="CH1218"/>
      <c r="CI1218"/>
      <c r="CJ1218"/>
      <c r="CK1218"/>
      <c r="CL1218"/>
      <c r="CM1218"/>
      <c r="CN1218"/>
      <c r="CO1218"/>
      <c r="CP1218"/>
      <c r="CQ1218"/>
      <c r="CR1218"/>
      <c r="CS1218"/>
      <c r="CT1218"/>
      <c r="CU1218"/>
      <c r="CV1218"/>
      <c r="CW1218"/>
      <c r="CX1218"/>
      <c r="CY1218"/>
    </row>
    <row r="1219" spans="50:103" ht="20.100000000000001" customHeight="1" x14ac:dyDescent="0.25">
      <c r="AX1219"/>
      <c r="AY1219"/>
      <c r="AZ1219"/>
      <c r="BA1219"/>
      <c r="BB1219"/>
      <c r="BC1219"/>
      <c r="BD1219"/>
      <c r="BE1219"/>
      <c r="BF1219"/>
      <c r="BG1219"/>
      <c r="BH1219"/>
      <c r="BI1219"/>
      <c r="BJ1219"/>
      <c r="BK1219"/>
      <c r="BL1219"/>
      <c r="BM1219"/>
      <c r="BN1219"/>
      <c r="BO1219"/>
      <c r="BP1219"/>
      <c r="BQ1219"/>
      <c r="BR1219"/>
      <c r="BY1219"/>
      <c r="BZ1219"/>
      <c r="CA1219"/>
      <c r="CB1219"/>
      <c r="CC1219"/>
      <c r="CD1219"/>
      <c r="CE1219"/>
      <c r="CF1219"/>
      <c r="CG1219"/>
      <c r="CH1219"/>
      <c r="CI1219"/>
      <c r="CJ1219"/>
      <c r="CK1219"/>
      <c r="CL1219"/>
      <c r="CM1219"/>
      <c r="CN1219"/>
      <c r="CO1219"/>
      <c r="CP1219"/>
      <c r="CQ1219"/>
      <c r="CR1219"/>
      <c r="CS1219"/>
      <c r="CT1219"/>
      <c r="CU1219"/>
      <c r="CV1219"/>
      <c r="CW1219"/>
      <c r="CX1219"/>
      <c r="CY1219"/>
    </row>
    <row r="1220" spans="50:103" ht="20.100000000000001" customHeight="1" x14ac:dyDescent="0.25">
      <c r="AX1220"/>
      <c r="AY1220"/>
      <c r="AZ1220"/>
      <c r="BA1220"/>
      <c r="BB1220"/>
      <c r="BC1220"/>
      <c r="BD1220"/>
      <c r="BE1220"/>
      <c r="BF1220"/>
      <c r="BG1220"/>
      <c r="BH1220"/>
      <c r="BI1220"/>
      <c r="BJ1220"/>
      <c r="BK1220"/>
      <c r="BL1220"/>
      <c r="BM1220"/>
      <c r="BN1220"/>
      <c r="BO1220"/>
      <c r="BP1220"/>
      <c r="BQ1220"/>
      <c r="BR1220"/>
      <c r="BY1220"/>
      <c r="BZ1220"/>
      <c r="CA1220"/>
      <c r="CB1220"/>
      <c r="CC1220"/>
      <c r="CD1220"/>
      <c r="CE1220"/>
      <c r="CF1220"/>
      <c r="CG1220"/>
      <c r="CH1220"/>
      <c r="CI1220"/>
      <c r="CJ1220"/>
      <c r="CK1220"/>
      <c r="CL1220"/>
      <c r="CM1220"/>
      <c r="CN1220"/>
      <c r="CO1220"/>
      <c r="CP1220"/>
      <c r="CQ1220"/>
      <c r="CR1220"/>
      <c r="CS1220"/>
      <c r="CT1220"/>
      <c r="CU1220"/>
      <c r="CV1220"/>
      <c r="CW1220"/>
      <c r="CX1220"/>
      <c r="CY1220"/>
    </row>
    <row r="1221" spans="50:103" ht="20.100000000000001" customHeight="1" x14ac:dyDescent="0.25">
      <c r="AX1221"/>
      <c r="AY1221"/>
      <c r="AZ1221"/>
      <c r="BA1221"/>
      <c r="BB1221"/>
      <c r="BC1221"/>
      <c r="BD1221"/>
      <c r="BE1221"/>
      <c r="BF1221"/>
      <c r="BG1221"/>
      <c r="BH1221"/>
      <c r="BI1221"/>
      <c r="BJ1221"/>
      <c r="BK1221"/>
      <c r="BL1221"/>
      <c r="BM1221"/>
      <c r="BN1221"/>
      <c r="BO1221"/>
      <c r="BP1221"/>
      <c r="BQ1221"/>
      <c r="BR1221"/>
      <c r="BY1221"/>
      <c r="BZ1221"/>
      <c r="CA1221"/>
      <c r="CB1221"/>
      <c r="CC1221"/>
      <c r="CD1221"/>
      <c r="CE1221"/>
      <c r="CF1221"/>
      <c r="CG1221"/>
      <c r="CH1221"/>
      <c r="CI1221"/>
      <c r="CJ1221"/>
      <c r="CK1221"/>
      <c r="CL1221"/>
      <c r="CM1221"/>
      <c r="CN1221"/>
      <c r="CO1221"/>
      <c r="CP1221"/>
      <c r="CQ1221"/>
      <c r="CR1221"/>
      <c r="CS1221"/>
      <c r="CT1221"/>
      <c r="CU1221"/>
      <c r="CV1221"/>
      <c r="CW1221"/>
      <c r="CX1221"/>
      <c r="CY1221"/>
    </row>
    <row r="1222" spans="50:103" ht="20.100000000000001" customHeight="1" x14ac:dyDescent="0.25">
      <c r="AX1222"/>
      <c r="AY1222"/>
      <c r="AZ1222"/>
      <c r="BA1222"/>
      <c r="BB1222"/>
      <c r="BC1222"/>
      <c r="BD1222"/>
      <c r="BE1222"/>
      <c r="BF1222"/>
      <c r="BG1222"/>
      <c r="BH1222"/>
      <c r="BI1222"/>
      <c r="BJ1222"/>
      <c r="BK1222"/>
      <c r="BL1222"/>
      <c r="BM1222"/>
      <c r="BN1222"/>
      <c r="BO1222"/>
      <c r="BP1222"/>
      <c r="BQ1222"/>
      <c r="BR1222"/>
      <c r="BY1222"/>
      <c r="BZ1222"/>
      <c r="CA1222"/>
      <c r="CB1222"/>
      <c r="CC1222"/>
      <c r="CD1222"/>
      <c r="CE1222"/>
      <c r="CF1222"/>
      <c r="CG1222"/>
      <c r="CH1222"/>
      <c r="CI1222"/>
      <c r="CJ1222"/>
      <c r="CK1222"/>
      <c r="CL1222"/>
      <c r="CM1222"/>
      <c r="CN1222"/>
      <c r="CO1222"/>
      <c r="CP1222"/>
      <c r="CQ1222"/>
      <c r="CR1222"/>
      <c r="CS1222"/>
      <c r="CT1222"/>
      <c r="CU1222"/>
      <c r="CV1222"/>
      <c r="CW1222"/>
      <c r="CX1222"/>
      <c r="CY1222"/>
    </row>
    <row r="1223" spans="50:103" ht="20.100000000000001" customHeight="1" x14ac:dyDescent="0.25">
      <c r="AX1223"/>
      <c r="AY1223"/>
      <c r="AZ1223"/>
      <c r="BA1223"/>
      <c r="BB1223"/>
      <c r="BC1223"/>
      <c r="BD1223"/>
      <c r="BE1223"/>
      <c r="BF1223"/>
      <c r="BG1223"/>
      <c r="BH1223"/>
      <c r="BI1223"/>
      <c r="BJ1223"/>
      <c r="BK1223"/>
      <c r="BL1223"/>
      <c r="BM1223"/>
      <c r="BN1223"/>
      <c r="BO1223"/>
      <c r="BP1223"/>
      <c r="BQ1223"/>
      <c r="BR1223"/>
      <c r="BY1223"/>
      <c r="BZ1223"/>
      <c r="CA1223"/>
      <c r="CB1223"/>
      <c r="CC1223"/>
      <c r="CD1223"/>
      <c r="CE1223"/>
      <c r="CF1223"/>
      <c r="CG1223"/>
      <c r="CH1223"/>
      <c r="CI1223"/>
      <c r="CJ1223"/>
      <c r="CK1223"/>
      <c r="CL1223"/>
      <c r="CM1223"/>
      <c r="CN1223"/>
      <c r="CO1223"/>
      <c r="CP1223"/>
      <c r="CQ1223"/>
      <c r="CR1223"/>
      <c r="CS1223"/>
      <c r="CT1223"/>
      <c r="CU1223"/>
      <c r="CV1223"/>
      <c r="CW1223"/>
      <c r="CX1223"/>
      <c r="CY1223"/>
    </row>
    <row r="1224" spans="50:103" ht="20.100000000000001" customHeight="1" x14ac:dyDescent="0.25">
      <c r="AX1224"/>
      <c r="AY1224"/>
      <c r="AZ1224"/>
      <c r="BA1224"/>
      <c r="BB1224"/>
      <c r="BC1224"/>
      <c r="BD1224"/>
      <c r="BE1224"/>
      <c r="BF1224"/>
      <c r="BG1224"/>
      <c r="BH1224"/>
      <c r="BI1224"/>
      <c r="BJ1224"/>
      <c r="BK1224"/>
      <c r="BL1224"/>
      <c r="BM1224"/>
      <c r="BN1224"/>
      <c r="BO1224"/>
      <c r="BP1224"/>
      <c r="BQ1224"/>
      <c r="BR1224"/>
      <c r="BY1224"/>
      <c r="BZ1224"/>
      <c r="CA1224"/>
      <c r="CB1224"/>
      <c r="CC1224"/>
      <c r="CD1224"/>
      <c r="CE1224"/>
      <c r="CF1224"/>
      <c r="CG1224"/>
      <c r="CH1224"/>
      <c r="CI1224"/>
      <c r="CJ1224"/>
      <c r="CK1224"/>
      <c r="CL1224"/>
      <c r="CM1224"/>
      <c r="CN1224"/>
      <c r="CO1224"/>
      <c r="CP1224"/>
      <c r="CQ1224"/>
      <c r="CR1224"/>
      <c r="CS1224"/>
      <c r="CT1224"/>
      <c r="CU1224"/>
      <c r="CV1224"/>
      <c r="CW1224"/>
      <c r="CX1224"/>
      <c r="CY1224"/>
    </row>
    <row r="1225" spans="50:103" ht="20.100000000000001" customHeight="1" x14ac:dyDescent="0.25">
      <c r="AX1225"/>
      <c r="AY1225"/>
      <c r="AZ1225"/>
      <c r="BA1225"/>
      <c r="BB1225"/>
      <c r="BC1225"/>
      <c r="BD1225"/>
      <c r="BE1225"/>
      <c r="BF1225"/>
      <c r="BG1225"/>
      <c r="BH1225"/>
      <c r="BI1225"/>
      <c r="BJ1225"/>
      <c r="BK1225"/>
      <c r="BL1225"/>
      <c r="BM1225"/>
      <c r="BN1225"/>
      <c r="BO1225"/>
      <c r="BP1225"/>
      <c r="BQ1225"/>
      <c r="BR1225"/>
      <c r="BY1225"/>
      <c r="BZ1225"/>
      <c r="CA1225"/>
      <c r="CB1225"/>
      <c r="CC1225"/>
      <c r="CD1225"/>
      <c r="CE1225"/>
      <c r="CF1225"/>
      <c r="CG1225"/>
      <c r="CH1225"/>
      <c r="CI1225"/>
      <c r="CJ1225"/>
      <c r="CK1225"/>
      <c r="CL1225"/>
      <c r="CM1225"/>
      <c r="CN1225"/>
      <c r="CO1225"/>
      <c r="CP1225"/>
      <c r="CQ1225"/>
      <c r="CR1225"/>
      <c r="CS1225"/>
      <c r="CT1225"/>
      <c r="CU1225"/>
      <c r="CV1225"/>
      <c r="CW1225"/>
      <c r="CX1225"/>
      <c r="CY1225"/>
    </row>
    <row r="1226" spans="50:103" ht="20.100000000000001" customHeight="1" x14ac:dyDescent="0.25">
      <c r="AX1226"/>
      <c r="AY1226"/>
      <c r="AZ1226"/>
      <c r="BA1226"/>
      <c r="BB1226"/>
      <c r="BC1226"/>
      <c r="BD1226"/>
      <c r="BE1226"/>
      <c r="BF1226"/>
      <c r="BG1226"/>
      <c r="BH1226"/>
      <c r="BI1226"/>
      <c r="BJ1226"/>
      <c r="BK1226"/>
      <c r="BL1226"/>
      <c r="BM1226"/>
      <c r="BN1226"/>
      <c r="BO1226"/>
      <c r="BP1226"/>
      <c r="BQ1226"/>
      <c r="BR1226"/>
      <c r="BY1226"/>
      <c r="BZ1226"/>
      <c r="CA1226"/>
      <c r="CB1226"/>
      <c r="CC1226"/>
      <c r="CD1226"/>
      <c r="CE1226"/>
      <c r="CF1226"/>
      <c r="CG1226"/>
      <c r="CH1226"/>
      <c r="CI1226"/>
      <c r="CJ1226"/>
      <c r="CK1226"/>
      <c r="CL1226"/>
      <c r="CM1226"/>
      <c r="CN1226"/>
      <c r="CO1226"/>
      <c r="CP1226"/>
      <c r="CQ1226"/>
      <c r="CR1226"/>
      <c r="CS1226"/>
      <c r="CT1226"/>
      <c r="CU1226"/>
      <c r="CV1226"/>
      <c r="CW1226"/>
      <c r="CX1226"/>
      <c r="CY1226"/>
    </row>
    <row r="1227" spans="50:103" ht="20.100000000000001" customHeight="1" x14ac:dyDescent="0.25">
      <c r="AX1227"/>
      <c r="AY1227"/>
      <c r="AZ1227"/>
      <c r="BA1227"/>
      <c r="BB1227"/>
      <c r="BC1227"/>
      <c r="BD1227"/>
      <c r="BE1227"/>
      <c r="BF1227"/>
      <c r="BG1227"/>
      <c r="BH1227"/>
      <c r="BI1227"/>
      <c r="BJ1227"/>
      <c r="BK1227"/>
      <c r="BL1227"/>
      <c r="BM1227"/>
      <c r="BN1227"/>
      <c r="BO1227"/>
      <c r="BP1227"/>
      <c r="BQ1227"/>
      <c r="BR1227"/>
      <c r="BY1227"/>
      <c r="BZ1227"/>
      <c r="CA1227"/>
      <c r="CB1227"/>
      <c r="CC1227"/>
      <c r="CD1227"/>
      <c r="CE1227"/>
      <c r="CF1227"/>
      <c r="CG1227"/>
      <c r="CH1227"/>
      <c r="CI1227"/>
      <c r="CJ1227"/>
      <c r="CK1227"/>
      <c r="CL1227"/>
      <c r="CM1227"/>
      <c r="CN1227"/>
      <c r="CO1227"/>
      <c r="CP1227"/>
      <c r="CQ1227"/>
      <c r="CR1227"/>
      <c r="CS1227"/>
      <c r="CT1227"/>
      <c r="CU1227"/>
      <c r="CV1227"/>
      <c r="CW1227"/>
      <c r="CX1227"/>
      <c r="CY1227"/>
    </row>
    <row r="1228" spans="50:103" ht="20.100000000000001" customHeight="1" x14ac:dyDescent="0.25">
      <c r="AX1228"/>
      <c r="AY1228"/>
      <c r="AZ1228"/>
      <c r="BA1228"/>
      <c r="BB1228"/>
      <c r="BC1228"/>
      <c r="BD1228"/>
      <c r="BE1228"/>
      <c r="BF1228"/>
      <c r="BG1228"/>
      <c r="BH1228"/>
      <c r="BI1228"/>
      <c r="BJ1228"/>
      <c r="BK1228"/>
      <c r="BL1228"/>
      <c r="BM1228"/>
      <c r="BN1228"/>
      <c r="BO1228"/>
      <c r="BP1228"/>
      <c r="BQ1228"/>
      <c r="BR1228"/>
      <c r="BY1228"/>
      <c r="BZ1228"/>
      <c r="CA1228"/>
      <c r="CB1228"/>
      <c r="CC1228"/>
      <c r="CD1228"/>
      <c r="CE1228"/>
      <c r="CF1228"/>
      <c r="CG1228"/>
      <c r="CH1228"/>
      <c r="CI1228"/>
      <c r="CJ1228"/>
      <c r="CK1228"/>
      <c r="CL1228"/>
      <c r="CM1228"/>
      <c r="CN1228"/>
      <c r="CO1228"/>
      <c r="CP1228"/>
      <c r="CQ1228"/>
      <c r="CR1228"/>
      <c r="CS1228"/>
      <c r="CT1228"/>
      <c r="CU1228"/>
      <c r="CV1228"/>
      <c r="CW1228"/>
      <c r="CX1228"/>
      <c r="CY1228"/>
    </row>
    <row r="1229" spans="50:103" ht="20.100000000000001" customHeight="1" x14ac:dyDescent="0.25">
      <c r="AX1229"/>
      <c r="AY1229"/>
      <c r="AZ1229"/>
      <c r="BA1229"/>
      <c r="BB1229"/>
      <c r="BC1229"/>
      <c r="BD1229"/>
      <c r="BE1229"/>
      <c r="BF1229"/>
      <c r="BG1229"/>
      <c r="BH1229"/>
      <c r="BI1229"/>
      <c r="BJ1229"/>
      <c r="BK1229"/>
      <c r="BL1229"/>
      <c r="BM1229"/>
      <c r="BN1229"/>
      <c r="BO1229"/>
      <c r="BP1229"/>
      <c r="BQ1229"/>
      <c r="BR1229"/>
      <c r="BY1229"/>
      <c r="BZ1229"/>
      <c r="CA1229"/>
      <c r="CB1229"/>
      <c r="CC1229"/>
      <c r="CD1229"/>
      <c r="CE1229"/>
      <c r="CF1229"/>
      <c r="CG1229"/>
      <c r="CH1229"/>
      <c r="CI1229"/>
      <c r="CJ1229"/>
      <c r="CK1229"/>
      <c r="CL1229"/>
      <c r="CM1229"/>
      <c r="CN1229"/>
      <c r="CO1229"/>
      <c r="CP1229"/>
      <c r="CQ1229"/>
      <c r="CR1229"/>
      <c r="CS1229"/>
      <c r="CT1229"/>
      <c r="CU1229"/>
      <c r="CV1229"/>
      <c r="CW1229"/>
      <c r="CX1229"/>
      <c r="CY1229"/>
    </row>
    <row r="1230" spans="50:103" ht="20.100000000000001" customHeight="1" x14ac:dyDescent="0.25">
      <c r="AX1230"/>
      <c r="AY1230"/>
      <c r="AZ1230"/>
      <c r="BA1230"/>
      <c r="BB1230"/>
      <c r="BC1230"/>
      <c r="BD1230"/>
      <c r="BE1230"/>
      <c r="BF1230"/>
      <c r="BG1230"/>
      <c r="BH1230"/>
      <c r="BI1230"/>
      <c r="BJ1230"/>
      <c r="BK1230"/>
      <c r="BL1230"/>
      <c r="BM1230"/>
      <c r="BN1230"/>
      <c r="BO1230"/>
      <c r="BP1230"/>
      <c r="BQ1230"/>
      <c r="BR1230"/>
      <c r="BY1230"/>
      <c r="BZ1230"/>
      <c r="CA1230"/>
      <c r="CB1230"/>
      <c r="CC1230"/>
      <c r="CD1230"/>
      <c r="CE1230"/>
      <c r="CF1230"/>
      <c r="CG1230"/>
      <c r="CH1230"/>
      <c r="CI1230"/>
      <c r="CJ1230"/>
      <c r="CK1230"/>
      <c r="CL1230"/>
      <c r="CM1230"/>
      <c r="CN1230"/>
      <c r="CO1230"/>
      <c r="CP1230"/>
      <c r="CQ1230"/>
      <c r="CR1230"/>
      <c r="CS1230"/>
      <c r="CT1230"/>
      <c r="CU1230"/>
      <c r="CV1230"/>
      <c r="CW1230"/>
      <c r="CX1230"/>
      <c r="CY1230"/>
    </row>
    <row r="1231" spans="50:103" ht="20.100000000000001" customHeight="1" x14ac:dyDescent="0.25">
      <c r="AX1231"/>
      <c r="AY1231"/>
      <c r="AZ1231"/>
      <c r="BA1231"/>
      <c r="BB1231"/>
      <c r="BC1231"/>
      <c r="BD1231"/>
      <c r="BE1231"/>
      <c r="BF1231"/>
      <c r="BG1231"/>
      <c r="BH1231"/>
      <c r="BI1231"/>
      <c r="BJ1231"/>
      <c r="BK1231"/>
      <c r="BL1231"/>
      <c r="BM1231"/>
      <c r="BN1231"/>
      <c r="BO1231"/>
      <c r="BP1231"/>
      <c r="BQ1231"/>
      <c r="BR1231"/>
      <c r="BY1231"/>
      <c r="BZ1231"/>
      <c r="CA1231"/>
      <c r="CB1231"/>
      <c r="CC1231"/>
      <c r="CD1231"/>
      <c r="CE1231"/>
      <c r="CF1231"/>
      <c r="CG1231"/>
      <c r="CH1231"/>
      <c r="CI1231"/>
      <c r="CJ1231"/>
      <c r="CK1231"/>
      <c r="CL1231"/>
      <c r="CM1231"/>
      <c r="CN1231"/>
      <c r="CO1231"/>
      <c r="CP1231"/>
      <c r="CQ1231"/>
      <c r="CR1231"/>
      <c r="CS1231"/>
      <c r="CT1231"/>
      <c r="CU1231"/>
      <c r="CV1231"/>
      <c r="CW1231"/>
      <c r="CX1231"/>
      <c r="CY1231"/>
    </row>
    <row r="1232" spans="50:103" ht="20.100000000000001" customHeight="1" x14ac:dyDescent="0.25">
      <c r="AX1232"/>
      <c r="AY1232"/>
      <c r="AZ1232"/>
      <c r="BA1232"/>
      <c r="BB1232"/>
      <c r="BC1232"/>
      <c r="BD1232"/>
      <c r="BE1232"/>
      <c r="BF1232"/>
      <c r="BG1232"/>
      <c r="BH1232"/>
      <c r="BI1232"/>
      <c r="BJ1232"/>
      <c r="BK1232"/>
      <c r="BL1232"/>
      <c r="BM1232"/>
      <c r="BN1232"/>
      <c r="BO1232"/>
      <c r="BP1232"/>
      <c r="BQ1232"/>
      <c r="BR1232"/>
      <c r="BY1232"/>
      <c r="BZ1232"/>
      <c r="CA1232"/>
      <c r="CB1232"/>
      <c r="CC1232"/>
      <c r="CD1232"/>
      <c r="CE1232"/>
      <c r="CF1232"/>
      <c r="CG1232"/>
      <c r="CH1232"/>
      <c r="CI1232"/>
      <c r="CJ1232"/>
      <c r="CK1232"/>
      <c r="CL1232"/>
      <c r="CM1232"/>
      <c r="CN1232"/>
      <c r="CO1232"/>
      <c r="CP1232"/>
      <c r="CQ1232"/>
      <c r="CR1232"/>
      <c r="CS1232"/>
      <c r="CT1232"/>
      <c r="CU1232"/>
      <c r="CV1232"/>
      <c r="CW1232"/>
      <c r="CX1232"/>
      <c r="CY1232"/>
    </row>
    <row r="1233" spans="50:103" ht="20.100000000000001" customHeight="1" x14ac:dyDescent="0.25">
      <c r="AX1233"/>
      <c r="AY1233"/>
      <c r="AZ1233"/>
      <c r="BA1233"/>
      <c r="BB1233"/>
      <c r="BC1233"/>
      <c r="BD1233"/>
      <c r="BE1233"/>
      <c r="BF1233"/>
      <c r="BG1233"/>
      <c r="BH1233"/>
      <c r="BI1233"/>
      <c r="BJ1233"/>
      <c r="BK1233"/>
      <c r="BL1233"/>
      <c r="BM1233"/>
      <c r="BN1233"/>
      <c r="BO1233"/>
      <c r="BP1233"/>
      <c r="BQ1233"/>
      <c r="BR1233"/>
      <c r="BY1233"/>
      <c r="BZ1233"/>
      <c r="CA1233"/>
      <c r="CB1233"/>
      <c r="CC1233"/>
      <c r="CD1233"/>
      <c r="CE1233"/>
      <c r="CF1233"/>
      <c r="CG1233"/>
      <c r="CH1233"/>
      <c r="CI1233"/>
      <c r="CJ1233"/>
      <c r="CK1233"/>
      <c r="CL1233"/>
      <c r="CM1233"/>
      <c r="CN1233"/>
      <c r="CO1233"/>
      <c r="CP1233"/>
      <c r="CQ1233"/>
      <c r="CR1233"/>
      <c r="CS1233"/>
      <c r="CT1233"/>
      <c r="CU1233"/>
      <c r="CV1233"/>
      <c r="CW1233"/>
      <c r="CX1233"/>
      <c r="CY1233"/>
    </row>
    <row r="1234" spans="50:103" ht="20.100000000000001" customHeight="1" x14ac:dyDescent="0.25">
      <c r="AX1234"/>
      <c r="AY1234"/>
      <c r="AZ1234"/>
      <c r="BA1234"/>
      <c r="BB1234"/>
      <c r="BC1234"/>
      <c r="BD1234"/>
      <c r="BE1234"/>
      <c r="BF1234"/>
      <c r="BG1234"/>
      <c r="BH1234"/>
      <c r="BI1234"/>
      <c r="BJ1234"/>
      <c r="BK1234"/>
      <c r="BL1234"/>
      <c r="BM1234"/>
      <c r="BN1234"/>
      <c r="BO1234"/>
      <c r="BP1234"/>
      <c r="BQ1234"/>
      <c r="BR1234"/>
      <c r="BY1234"/>
      <c r="BZ1234"/>
      <c r="CA1234"/>
      <c r="CB1234"/>
      <c r="CC1234"/>
      <c r="CD1234"/>
      <c r="CE1234"/>
      <c r="CF1234"/>
      <c r="CG1234"/>
      <c r="CH1234"/>
      <c r="CI1234"/>
      <c r="CJ1234"/>
      <c r="CK1234"/>
      <c r="CL1234"/>
      <c r="CM1234"/>
      <c r="CN1234"/>
      <c r="CO1234"/>
      <c r="CP1234"/>
      <c r="CQ1234"/>
      <c r="CR1234"/>
      <c r="CS1234"/>
      <c r="CT1234"/>
      <c r="CU1234"/>
      <c r="CV1234"/>
      <c r="CW1234"/>
      <c r="CX1234"/>
      <c r="CY1234"/>
    </row>
    <row r="1235" spans="50:103" ht="20.100000000000001" customHeight="1" x14ac:dyDescent="0.25">
      <c r="AX1235"/>
      <c r="AY1235"/>
      <c r="AZ1235"/>
      <c r="BA1235"/>
      <c r="BB1235"/>
      <c r="BC1235"/>
      <c r="BD1235"/>
      <c r="BE1235"/>
      <c r="BF1235"/>
      <c r="BG1235"/>
      <c r="BH1235"/>
      <c r="BI1235"/>
      <c r="BJ1235"/>
      <c r="BK1235"/>
      <c r="BL1235"/>
      <c r="BM1235"/>
      <c r="BN1235"/>
      <c r="BO1235"/>
      <c r="BP1235"/>
      <c r="BQ1235"/>
      <c r="BR1235"/>
      <c r="BY1235"/>
      <c r="BZ1235"/>
      <c r="CA1235"/>
      <c r="CB1235"/>
      <c r="CC1235"/>
      <c r="CD1235"/>
      <c r="CE1235"/>
      <c r="CF1235"/>
      <c r="CG1235"/>
      <c r="CH1235"/>
      <c r="CI1235"/>
      <c r="CJ1235"/>
      <c r="CK1235"/>
      <c r="CL1235"/>
      <c r="CM1235"/>
      <c r="CN1235"/>
      <c r="CO1235"/>
      <c r="CP1235"/>
      <c r="CQ1235"/>
      <c r="CR1235"/>
      <c r="CS1235"/>
      <c r="CT1235"/>
      <c r="CU1235"/>
      <c r="CV1235"/>
      <c r="CW1235"/>
      <c r="CX1235"/>
      <c r="CY1235"/>
    </row>
    <row r="1236" spans="50:103" ht="20.100000000000001" customHeight="1" x14ac:dyDescent="0.25">
      <c r="AX1236"/>
      <c r="AY1236"/>
      <c r="AZ1236"/>
      <c r="BA1236"/>
      <c r="BB1236"/>
      <c r="BC1236"/>
      <c r="BD1236"/>
      <c r="BE1236"/>
      <c r="BF1236"/>
      <c r="BG1236"/>
      <c r="BH1236"/>
      <c r="BI1236"/>
      <c r="BJ1236"/>
      <c r="BK1236"/>
      <c r="BL1236"/>
      <c r="BM1236"/>
      <c r="BN1236"/>
      <c r="BO1236"/>
      <c r="BP1236"/>
      <c r="BQ1236"/>
      <c r="BR1236"/>
      <c r="BY1236"/>
      <c r="BZ1236"/>
      <c r="CA1236"/>
      <c r="CB1236"/>
      <c r="CC1236"/>
      <c r="CD1236"/>
      <c r="CE1236"/>
      <c r="CF1236"/>
      <c r="CG1236"/>
      <c r="CH1236"/>
      <c r="CI1236"/>
      <c r="CJ1236"/>
      <c r="CK1236"/>
      <c r="CL1236"/>
      <c r="CM1236"/>
      <c r="CN1236"/>
      <c r="CO1236"/>
      <c r="CP1236"/>
      <c r="CQ1236"/>
      <c r="CR1236"/>
      <c r="CS1236"/>
      <c r="CT1236"/>
      <c r="CU1236"/>
      <c r="CV1236"/>
      <c r="CW1236"/>
      <c r="CX1236"/>
      <c r="CY1236"/>
    </row>
    <row r="1237" spans="50:103" ht="20.100000000000001" customHeight="1" x14ac:dyDescent="0.25">
      <c r="AX1237"/>
      <c r="AY1237"/>
      <c r="AZ1237"/>
      <c r="BA1237"/>
      <c r="BB1237"/>
      <c r="BC1237"/>
      <c r="BD1237"/>
      <c r="BE1237"/>
      <c r="BF1237"/>
      <c r="BG1237"/>
      <c r="BH1237"/>
      <c r="BI1237"/>
      <c r="BJ1237"/>
      <c r="BK1237"/>
      <c r="BL1237"/>
      <c r="BM1237"/>
      <c r="BN1237"/>
      <c r="BO1237"/>
      <c r="BP1237"/>
      <c r="BQ1237"/>
      <c r="BR1237"/>
      <c r="BY1237"/>
      <c r="BZ1237"/>
      <c r="CA1237"/>
      <c r="CB1237"/>
      <c r="CC1237"/>
      <c r="CD1237"/>
      <c r="CE1237"/>
      <c r="CF1237"/>
      <c r="CG1237"/>
      <c r="CH1237"/>
      <c r="CI1237"/>
      <c r="CJ1237"/>
      <c r="CK1237"/>
      <c r="CL1237"/>
      <c r="CM1237"/>
      <c r="CN1237"/>
      <c r="CO1237"/>
      <c r="CP1237"/>
      <c r="CQ1237"/>
      <c r="CR1237"/>
      <c r="CS1237"/>
      <c r="CT1237"/>
      <c r="CU1237"/>
      <c r="CV1237"/>
      <c r="CW1237"/>
      <c r="CX1237"/>
      <c r="CY1237"/>
    </row>
    <row r="1238" spans="50:103" ht="20.100000000000001" customHeight="1" x14ac:dyDescent="0.25">
      <c r="AX1238"/>
      <c r="AY1238"/>
      <c r="AZ1238"/>
      <c r="BA1238"/>
      <c r="BB1238"/>
      <c r="BC1238"/>
      <c r="BD1238"/>
      <c r="BE1238"/>
      <c r="BF1238"/>
      <c r="BG1238"/>
      <c r="BH1238"/>
      <c r="BI1238"/>
      <c r="BJ1238"/>
      <c r="BK1238"/>
      <c r="BL1238"/>
      <c r="BM1238"/>
      <c r="BN1238"/>
      <c r="BO1238"/>
      <c r="BP1238"/>
      <c r="BQ1238"/>
      <c r="BR1238"/>
      <c r="BY1238"/>
      <c r="BZ1238"/>
      <c r="CA1238"/>
      <c r="CB1238"/>
      <c r="CC1238"/>
      <c r="CD1238"/>
      <c r="CE1238"/>
      <c r="CF1238"/>
      <c r="CG1238"/>
      <c r="CH1238"/>
      <c r="CI1238"/>
      <c r="CJ1238"/>
      <c r="CK1238"/>
      <c r="CL1238"/>
      <c r="CM1238"/>
      <c r="CN1238"/>
      <c r="CO1238"/>
      <c r="CP1238"/>
      <c r="CQ1238"/>
      <c r="CR1238"/>
      <c r="CS1238"/>
      <c r="CT1238"/>
      <c r="CU1238"/>
      <c r="CV1238"/>
      <c r="CW1238"/>
      <c r="CX1238"/>
      <c r="CY1238"/>
    </row>
    <row r="1239" spans="50:103" ht="20.100000000000001" customHeight="1" x14ac:dyDescent="0.25">
      <c r="AX1239"/>
      <c r="AY1239"/>
      <c r="AZ1239"/>
      <c r="BA1239"/>
      <c r="BB1239"/>
      <c r="BC1239"/>
      <c r="BD1239"/>
      <c r="BE1239"/>
      <c r="BF1239"/>
      <c r="BG1239"/>
      <c r="BH1239"/>
      <c r="BI1239"/>
      <c r="BJ1239"/>
      <c r="BK1239"/>
      <c r="BL1239"/>
      <c r="BM1239"/>
      <c r="BN1239"/>
      <c r="BO1239"/>
      <c r="BP1239"/>
      <c r="BQ1239"/>
      <c r="BR1239"/>
      <c r="BY1239"/>
      <c r="BZ1239"/>
      <c r="CA1239"/>
      <c r="CB1239"/>
      <c r="CC1239"/>
      <c r="CD1239"/>
      <c r="CE1239"/>
      <c r="CF1239"/>
      <c r="CG1239"/>
      <c r="CH1239"/>
      <c r="CI1239"/>
      <c r="CJ1239"/>
      <c r="CK1239"/>
      <c r="CL1239"/>
      <c r="CM1239"/>
      <c r="CN1239"/>
      <c r="CO1239"/>
      <c r="CP1239"/>
      <c r="CQ1239"/>
      <c r="CR1239"/>
      <c r="CS1239"/>
      <c r="CT1239"/>
      <c r="CU1239"/>
      <c r="CV1239"/>
      <c r="CW1239"/>
      <c r="CX1239"/>
      <c r="CY1239"/>
    </row>
    <row r="1240" spans="50:103" ht="20.100000000000001" customHeight="1" x14ac:dyDescent="0.25">
      <c r="AX1240"/>
      <c r="AY1240"/>
      <c r="AZ1240"/>
      <c r="BA1240"/>
      <c r="BB1240"/>
      <c r="BC1240"/>
      <c r="BD1240"/>
      <c r="BE1240"/>
      <c r="BF1240"/>
      <c r="BG1240"/>
      <c r="BH1240"/>
      <c r="BI1240"/>
      <c r="BJ1240"/>
      <c r="BK1240"/>
      <c r="BL1240"/>
      <c r="BM1240"/>
      <c r="BN1240"/>
      <c r="BO1240"/>
      <c r="BP1240"/>
      <c r="BQ1240"/>
      <c r="BR1240"/>
      <c r="BY1240"/>
      <c r="BZ1240"/>
      <c r="CA1240"/>
      <c r="CB1240"/>
      <c r="CC1240"/>
      <c r="CD1240"/>
      <c r="CE1240"/>
      <c r="CF1240"/>
      <c r="CG1240"/>
      <c r="CH1240"/>
      <c r="CI1240"/>
      <c r="CJ1240"/>
      <c r="CK1240"/>
      <c r="CL1240"/>
      <c r="CM1240"/>
      <c r="CN1240"/>
      <c r="CO1240"/>
      <c r="CP1240"/>
      <c r="CQ1240"/>
      <c r="CR1240"/>
      <c r="CS1240"/>
      <c r="CT1240"/>
      <c r="CU1240"/>
      <c r="CV1240"/>
      <c r="CW1240"/>
      <c r="CX1240"/>
      <c r="CY1240"/>
    </row>
    <row r="1241" spans="50:103" ht="20.100000000000001" customHeight="1" x14ac:dyDescent="0.25">
      <c r="AX1241"/>
      <c r="AY1241"/>
      <c r="AZ1241"/>
      <c r="BA1241"/>
      <c r="BB1241"/>
      <c r="BC1241"/>
      <c r="BD1241"/>
      <c r="BE1241"/>
      <c r="BF1241"/>
      <c r="BG1241"/>
      <c r="BH1241"/>
      <c r="BI1241"/>
      <c r="BJ1241"/>
      <c r="BK1241"/>
      <c r="BL1241"/>
      <c r="BM1241"/>
      <c r="BN1241"/>
      <c r="BO1241"/>
      <c r="BP1241"/>
      <c r="BQ1241"/>
      <c r="BR1241"/>
      <c r="BY1241"/>
      <c r="BZ1241"/>
      <c r="CA1241"/>
      <c r="CB1241"/>
      <c r="CC1241"/>
      <c r="CD1241"/>
      <c r="CE1241"/>
      <c r="CF1241"/>
      <c r="CG1241"/>
      <c r="CH1241"/>
      <c r="CI1241"/>
      <c r="CJ1241"/>
      <c r="CK1241"/>
      <c r="CL1241"/>
      <c r="CM1241"/>
      <c r="CN1241"/>
      <c r="CO1241"/>
      <c r="CP1241"/>
      <c r="CQ1241"/>
      <c r="CR1241"/>
      <c r="CS1241"/>
      <c r="CT1241"/>
      <c r="CU1241"/>
      <c r="CV1241"/>
      <c r="CW1241"/>
      <c r="CX1241"/>
      <c r="CY1241"/>
    </row>
    <row r="1242" spans="50:103" ht="20.100000000000001" customHeight="1" x14ac:dyDescent="0.25">
      <c r="AX1242"/>
      <c r="AY1242"/>
      <c r="AZ1242"/>
      <c r="BA1242"/>
      <c r="BB1242"/>
      <c r="BC1242"/>
      <c r="BD1242"/>
      <c r="BE1242"/>
      <c r="BF1242"/>
      <c r="BG1242"/>
      <c r="BH1242"/>
      <c r="BI1242"/>
      <c r="BJ1242"/>
      <c r="BK1242"/>
      <c r="BL1242"/>
      <c r="BM1242"/>
      <c r="BN1242"/>
      <c r="BO1242"/>
      <c r="BP1242"/>
      <c r="BQ1242"/>
      <c r="BR1242"/>
      <c r="BY1242"/>
      <c r="BZ1242"/>
      <c r="CA1242"/>
      <c r="CB1242"/>
      <c r="CC1242"/>
      <c r="CD1242"/>
      <c r="CE1242"/>
      <c r="CF1242"/>
      <c r="CG1242"/>
      <c r="CH1242"/>
      <c r="CI1242"/>
      <c r="CJ1242"/>
      <c r="CK1242"/>
      <c r="CL1242"/>
      <c r="CM1242"/>
      <c r="CN1242"/>
      <c r="CO1242"/>
      <c r="CP1242"/>
      <c r="CQ1242"/>
      <c r="CR1242"/>
      <c r="CS1242"/>
      <c r="CT1242"/>
      <c r="CU1242"/>
      <c r="CV1242"/>
      <c r="CW1242"/>
      <c r="CX1242"/>
      <c r="CY1242"/>
    </row>
    <row r="1243" spans="50:103" ht="20.100000000000001" customHeight="1" x14ac:dyDescent="0.25">
      <c r="AX1243"/>
      <c r="AY1243"/>
      <c r="AZ1243"/>
      <c r="BA1243"/>
      <c r="BB1243"/>
      <c r="BC1243"/>
      <c r="BD1243"/>
      <c r="BE1243"/>
      <c r="BF1243"/>
      <c r="BG1243"/>
      <c r="BH1243"/>
      <c r="BI1243"/>
      <c r="BJ1243"/>
      <c r="BK1243"/>
      <c r="BL1243"/>
      <c r="BM1243"/>
      <c r="BN1243"/>
      <c r="BO1243"/>
      <c r="BP1243"/>
      <c r="BQ1243"/>
      <c r="BR1243"/>
      <c r="BY1243"/>
      <c r="BZ1243"/>
      <c r="CA1243"/>
      <c r="CB1243"/>
      <c r="CC1243"/>
      <c r="CD1243"/>
      <c r="CE1243"/>
      <c r="CF1243"/>
      <c r="CG1243"/>
      <c r="CH1243"/>
      <c r="CI1243"/>
      <c r="CJ1243"/>
      <c r="CK1243"/>
      <c r="CL1243"/>
      <c r="CM1243"/>
      <c r="CN1243"/>
      <c r="CO1243"/>
      <c r="CP1243"/>
      <c r="CQ1243"/>
      <c r="CR1243"/>
      <c r="CS1243"/>
      <c r="CT1243"/>
      <c r="CU1243"/>
      <c r="CV1243"/>
      <c r="CW1243"/>
      <c r="CX1243"/>
      <c r="CY1243"/>
    </row>
    <row r="1244" spans="50:103" ht="20.100000000000001" customHeight="1" x14ac:dyDescent="0.25">
      <c r="AX1244"/>
      <c r="AY1244"/>
      <c r="AZ1244"/>
      <c r="BA1244"/>
      <c r="BB1244"/>
      <c r="BC1244"/>
      <c r="BD1244"/>
      <c r="BE1244"/>
      <c r="BF1244"/>
      <c r="BG1244"/>
      <c r="BH1244"/>
      <c r="BI1244"/>
      <c r="BJ1244"/>
      <c r="BK1244"/>
      <c r="BL1244"/>
      <c r="BM1244"/>
      <c r="BN1244"/>
      <c r="BO1244"/>
      <c r="BP1244"/>
      <c r="BQ1244"/>
      <c r="BR1244"/>
      <c r="BY1244"/>
      <c r="BZ1244"/>
      <c r="CA1244"/>
      <c r="CB1244"/>
      <c r="CC1244"/>
      <c r="CD1244"/>
      <c r="CE1244"/>
      <c r="CF1244"/>
      <c r="CG1244"/>
      <c r="CH1244"/>
      <c r="CI1244"/>
      <c r="CJ1244"/>
      <c r="CK1244"/>
      <c r="CL1244"/>
      <c r="CM1244"/>
      <c r="CN1244"/>
      <c r="CO1244"/>
      <c r="CP1244"/>
      <c r="CQ1244"/>
      <c r="CR1244"/>
      <c r="CS1244"/>
      <c r="CT1244"/>
      <c r="CU1244"/>
      <c r="CV1244"/>
      <c r="CW1244"/>
      <c r="CX1244"/>
      <c r="CY1244"/>
    </row>
    <row r="1245" spans="50:103" ht="20.100000000000001" customHeight="1" x14ac:dyDescent="0.25">
      <c r="AX1245"/>
      <c r="AY1245"/>
      <c r="AZ1245"/>
      <c r="BA1245"/>
      <c r="BB1245"/>
      <c r="BC1245"/>
      <c r="BD1245"/>
      <c r="BE1245"/>
      <c r="BF1245"/>
      <c r="BG1245"/>
      <c r="BH1245"/>
      <c r="BI1245"/>
      <c r="BJ1245"/>
      <c r="BK1245"/>
      <c r="BL1245"/>
      <c r="BM1245"/>
      <c r="BN1245"/>
      <c r="BO1245"/>
      <c r="BP1245"/>
      <c r="BQ1245"/>
      <c r="BR1245"/>
      <c r="BY1245"/>
      <c r="BZ1245"/>
      <c r="CA1245"/>
      <c r="CB1245"/>
      <c r="CC1245"/>
      <c r="CD1245"/>
      <c r="CE1245"/>
      <c r="CF1245"/>
      <c r="CG1245"/>
      <c r="CH1245"/>
      <c r="CI1245"/>
      <c r="CJ1245"/>
      <c r="CK1245"/>
      <c r="CL1245"/>
      <c r="CM1245"/>
      <c r="CN1245"/>
      <c r="CO1245"/>
      <c r="CP1245"/>
      <c r="CQ1245"/>
      <c r="CR1245"/>
      <c r="CS1245"/>
      <c r="CT1245"/>
      <c r="CU1245"/>
      <c r="CV1245"/>
      <c r="CW1245"/>
      <c r="CX1245"/>
      <c r="CY1245"/>
    </row>
    <row r="1246" spans="50:103" ht="20.100000000000001" customHeight="1" x14ac:dyDescent="0.25">
      <c r="AX1246"/>
      <c r="AY1246"/>
      <c r="AZ1246"/>
      <c r="BA1246"/>
      <c r="BB1246"/>
      <c r="BC1246"/>
      <c r="BD1246"/>
      <c r="BE1246"/>
      <c r="BF1246"/>
      <c r="BG1246"/>
      <c r="BH1246"/>
      <c r="BI1246"/>
      <c r="BJ1246"/>
      <c r="BK1246"/>
      <c r="BL1246"/>
      <c r="BM1246"/>
      <c r="BN1246"/>
      <c r="BO1246"/>
      <c r="BP1246"/>
      <c r="BQ1246"/>
      <c r="BR1246"/>
      <c r="BY1246"/>
      <c r="BZ1246"/>
      <c r="CA1246"/>
      <c r="CB1246"/>
      <c r="CC1246"/>
      <c r="CD1246"/>
      <c r="CE1246"/>
      <c r="CF1246"/>
      <c r="CG1246"/>
      <c r="CH1246"/>
      <c r="CI1246"/>
      <c r="CJ1246"/>
      <c r="CK1246"/>
      <c r="CL1246"/>
      <c r="CM1246"/>
      <c r="CN1246"/>
      <c r="CO1246"/>
      <c r="CP1246"/>
      <c r="CQ1246"/>
      <c r="CR1246"/>
      <c r="CS1246"/>
      <c r="CT1246"/>
      <c r="CU1246"/>
      <c r="CV1246"/>
      <c r="CW1246"/>
      <c r="CX1246"/>
      <c r="CY1246"/>
    </row>
    <row r="1247" spans="50:103" ht="20.100000000000001" customHeight="1" x14ac:dyDescent="0.25">
      <c r="AX1247"/>
      <c r="AY1247"/>
      <c r="AZ1247"/>
      <c r="BA1247"/>
      <c r="BB1247"/>
      <c r="BC1247"/>
      <c r="BD1247"/>
      <c r="BE1247"/>
      <c r="BF1247"/>
      <c r="BG1247"/>
      <c r="BH1247"/>
      <c r="BI1247"/>
      <c r="BJ1247"/>
      <c r="BK1247"/>
      <c r="BL1247"/>
      <c r="BM1247"/>
      <c r="BN1247"/>
      <c r="BO1247"/>
      <c r="BP1247"/>
      <c r="BQ1247"/>
      <c r="BR1247"/>
      <c r="BY1247"/>
      <c r="BZ1247"/>
      <c r="CA1247"/>
      <c r="CB1247"/>
      <c r="CC1247"/>
      <c r="CD1247"/>
      <c r="CE1247"/>
      <c r="CF1247"/>
      <c r="CG1247"/>
      <c r="CH1247"/>
      <c r="CI1247"/>
      <c r="CJ1247"/>
      <c r="CK1247"/>
      <c r="CL1247"/>
      <c r="CM1247"/>
      <c r="CN1247"/>
      <c r="CO1247"/>
      <c r="CP1247"/>
      <c r="CQ1247"/>
      <c r="CR1247"/>
      <c r="CS1247"/>
      <c r="CT1247"/>
      <c r="CU1247"/>
      <c r="CV1247"/>
      <c r="CW1247"/>
      <c r="CX1247"/>
      <c r="CY1247"/>
    </row>
    <row r="1248" spans="50:103" ht="20.100000000000001" customHeight="1" x14ac:dyDescent="0.25">
      <c r="AX1248"/>
      <c r="AY1248"/>
      <c r="AZ1248"/>
      <c r="BA1248"/>
      <c r="BB1248"/>
      <c r="BC1248"/>
      <c r="BD1248"/>
      <c r="BE1248"/>
      <c r="BF1248"/>
      <c r="BG1248"/>
      <c r="BH1248"/>
      <c r="BI1248"/>
      <c r="BJ1248"/>
      <c r="BK1248"/>
      <c r="BL1248"/>
      <c r="BM1248"/>
      <c r="BN1248"/>
      <c r="BO1248"/>
      <c r="BP1248"/>
      <c r="BQ1248"/>
      <c r="BR1248"/>
      <c r="BY1248"/>
      <c r="BZ1248"/>
      <c r="CA1248"/>
      <c r="CB1248"/>
      <c r="CC1248"/>
      <c r="CD1248"/>
      <c r="CE1248"/>
      <c r="CF1248"/>
      <c r="CG1248"/>
      <c r="CH1248"/>
      <c r="CI1248"/>
      <c r="CJ1248"/>
      <c r="CK1248"/>
      <c r="CL1248"/>
      <c r="CM1248"/>
      <c r="CN1248"/>
      <c r="CO1248"/>
      <c r="CP1248"/>
      <c r="CQ1248"/>
      <c r="CR1248"/>
      <c r="CS1248"/>
      <c r="CT1248"/>
      <c r="CU1248"/>
      <c r="CV1248"/>
      <c r="CW1248"/>
      <c r="CX1248"/>
      <c r="CY1248"/>
    </row>
    <row r="1249" spans="50:103" ht="20.100000000000001" customHeight="1" x14ac:dyDescent="0.25">
      <c r="AX1249"/>
      <c r="AY1249"/>
      <c r="AZ1249"/>
      <c r="BA1249"/>
      <c r="BB1249"/>
      <c r="BC1249"/>
      <c r="BD1249"/>
      <c r="BE1249"/>
      <c r="BF1249"/>
      <c r="BG1249"/>
      <c r="BH1249"/>
      <c r="BI1249"/>
      <c r="BJ1249"/>
      <c r="BK1249"/>
      <c r="BL1249"/>
      <c r="BM1249"/>
      <c r="BN1249"/>
      <c r="BO1249"/>
      <c r="BP1249"/>
      <c r="BQ1249"/>
      <c r="BR1249"/>
      <c r="BY1249"/>
      <c r="BZ1249"/>
      <c r="CA1249"/>
      <c r="CB1249"/>
      <c r="CC1249"/>
      <c r="CD1249"/>
      <c r="CE1249"/>
      <c r="CF1249"/>
      <c r="CG1249"/>
      <c r="CH1249"/>
      <c r="CI1249"/>
      <c r="CJ1249"/>
      <c r="CK1249"/>
      <c r="CL1249"/>
      <c r="CM1249"/>
      <c r="CN1249"/>
      <c r="CO1249"/>
      <c r="CP1249"/>
      <c r="CQ1249"/>
      <c r="CR1249"/>
      <c r="CS1249"/>
      <c r="CT1249"/>
      <c r="CU1249"/>
      <c r="CV1249"/>
      <c r="CW1249"/>
      <c r="CX1249"/>
      <c r="CY1249"/>
    </row>
    <row r="1250" spans="50:103" ht="20.100000000000001" customHeight="1" x14ac:dyDescent="0.25">
      <c r="AX1250"/>
      <c r="AY1250"/>
      <c r="AZ1250"/>
      <c r="BA1250"/>
      <c r="BB1250"/>
      <c r="BC1250"/>
      <c r="BD1250"/>
      <c r="BE1250"/>
      <c r="BF1250"/>
      <c r="BG1250"/>
      <c r="BH1250"/>
      <c r="BI1250"/>
      <c r="BJ1250"/>
      <c r="BK1250"/>
      <c r="BL1250"/>
      <c r="BM1250"/>
      <c r="BN1250"/>
      <c r="BO1250"/>
      <c r="BP1250"/>
      <c r="BQ1250"/>
      <c r="BR1250"/>
      <c r="BY1250"/>
      <c r="BZ1250"/>
      <c r="CA1250"/>
      <c r="CB1250"/>
      <c r="CC1250"/>
      <c r="CD1250"/>
      <c r="CE1250"/>
      <c r="CF1250"/>
      <c r="CG1250"/>
      <c r="CH1250"/>
      <c r="CI1250"/>
      <c r="CJ1250"/>
      <c r="CK1250"/>
      <c r="CL1250"/>
      <c r="CM1250"/>
      <c r="CN1250"/>
      <c r="CO1250"/>
      <c r="CP1250"/>
      <c r="CQ1250"/>
      <c r="CR1250"/>
      <c r="CS1250"/>
      <c r="CT1250"/>
      <c r="CU1250"/>
      <c r="CV1250"/>
      <c r="CW1250"/>
      <c r="CX1250"/>
      <c r="CY1250"/>
    </row>
    <row r="1251" spans="50:103" ht="20.100000000000001" customHeight="1" x14ac:dyDescent="0.25">
      <c r="AX1251"/>
      <c r="AY1251"/>
      <c r="AZ1251"/>
      <c r="BA1251"/>
      <c r="BB1251"/>
      <c r="BC1251"/>
      <c r="BD1251"/>
      <c r="BE1251"/>
      <c r="BF1251"/>
      <c r="BG1251"/>
      <c r="BH1251"/>
      <c r="BI1251"/>
      <c r="BJ1251"/>
      <c r="BK1251"/>
      <c r="BL1251"/>
      <c r="BM1251"/>
      <c r="BN1251"/>
      <c r="BO1251"/>
      <c r="BP1251"/>
      <c r="BQ1251"/>
      <c r="BR1251"/>
      <c r="BY1251"/>
      <c r="BZ1251"/>
      <c r="CA1251"/>
      <c r="CB1251"/>
      <c r="CC1251"/>
      <c r="CD1251"/>
      <c r="CE1251"/>
      <c r="CF1251"/>
      <c r="CG1251"/>
      <c r="CH1251"/>
      <c r="CI1251"/>
      <c r="CJ1251"/>
      <c r="CK1251"/>
      <c r="CL1251"/>
      <c r="CM1251"/>
      <c r="CN1251"/>
      <c r="CO1251"/>
      <c r="CP1251"/>
      <c r="CQ1251"/>
      <c r="CR1251"/>
      <c r="CS1251"/>
      <c r="CT1251"/>
      <c r="CU1251"/>
      <c r="CV1251"/>
      <c r="CW1251"/>
      <c r="CX1251"/>
      <c r="CY1251"/>
    </row>
    <row r="1252" spans="50:103" ht="20.100000000000001" customHeight="1" x14ac:dyDescent="0.25">
      <c r="AX1252"/>
      <c r="AY1252"/>
      <c r="AZ1252"/>
      <c r="BA1252"/>
      <c r="BB1252"/>
      <c r="BC1252"/>
      <c r="BD1252"/>
      <c r="BE1252"/>
      <c r="BF1252"/>
      <c r="BG1252"/>
      <c r="BH1252"/>
      <c r="BI1252"/>
      <c r="BJ1252"/>
      <c r="BK1252"/>
      <c r="BL1252"/>
      <c r="BM1252"/>
      <c r="BN1252"/>
      <c r="BO1252"/>
      <c r="BP1252"/>
      <c r="BQ1252"/>
      <c r="BR1252"/>
      <c r="BY1252"/>
      <c r="BZ1252"/>
      <c r="CA1252"/>
      <c r="CB1252"/>
      <c r="CC1252"/>
      <c r="CD1252"/>
      <c r="CE1252"/>
      <c r="CF1252"/>
      <c r="CG1252"/>
      <c r="CH1252"/>
      <c r="CI1252"/>
      <c r="CJ1252"/>
      <c r="CK1252"/>
      <c r="CL1252"/>
      <c r="CM1252"/>
      <c r="CN1252"/>
      <c r="CO1252"/>
      <c r="CP1252"/>
      <c r="CQ1252"/>
      <c r="CR1252"/>
      <c r="CS1252"/>
      <c r="CT1252"/>
      <c r="CU1252"/>
      <c r="CV1252"/>
      <c r="CW1252"/>
      <c r="CX1252"/>
      <c r="CY1252"/>
    </row>
    <row r="1253" spans="50:103" ht="20.100000000000001" customHeight="1" x14ac:dyDescent="0.25">
      <c r="AX1253"/>
      <c r="AY1253"/>
      <c r="AZ1253"/>
      <c r="BA1253"/>
      <c r="BB1253"/>
      <c r="BC1253"/>
      <c r="BD1253"/>
      <c r="BE1253"/>
      <c r="BF1253"/>
      <c r="BG1253"/>
      <c r="BH1253"/>
      <c r="BI1253"/>
      <c r="BJ1253"/>
      <c r="BK1253"/>
      <c r="BL1253"/>
      <c r="BM1253"/>
      <c r="BN1253"/>
      <c r="BO1253"/>
      <c r="BP1253"/>
      <c r="BQ1253"/>
      <c r="BR1253"/>
      <c r="BY1253"/>
      <c r="BZ1253"/>
      <c r="CA1253"/>
      <c r="CB1253"/>
      <c r="CC1253"/>
      <c r="CD1253"/>
      <c r="CE1253"/>
      <c r="CF1253"/>
      <c r="CG1253"/>
      <c r="CH1253"/>
      <c r="CI1253"/>
      <c r="CJ1253"/>
      <c r="CK1253"/>
      <c r="CL1253"/>
      <c r="CM1253"/>
      <c r="CN1253"/>
      <c r="CO1253"/>
      <c r="CP1253"/>
      <c r="CQ1253"/>
      <c r="CR1253"/>
      <c r="CS1253"/>
      <c r="CT1253"/>
      <c r="CU1253"/>
      <c r="CV1253"/>
      <c r="CW1253"/>
      <c r="CX1253"/>
      <c r="CY1253"/>
    </row>
    <row r="1254" spans="50:103" ht="20.100000000000001" customHeight="1" x14ac:dyDescent="0.25">
      <c r="AX1254"/>
      <c r="AY1254"/>
      <c r="AZ1254"/>
      <c r="BA1254"/>
      <c r="BB1254"/>
      <c r="BC1254"/>
      <c r="BD1254"/>
      <c r="BE1254"/>
      <c r="BF1254"/>
      <c r="BG1254"/>
      <c r="BH1254"/>
      <c r="BI1254"/>
      <c r="BJ1254"/>
      <c r="BK1254"/>
      <c r="BL1254"/>
      <c r="BM1254"/>
      <c r="BN1254"/>
      <c r="BO1254"/>
      <c r="BP1254"/>
      <c r="BQ1254"/>
      <c r="BR1254"/>
      <c r="BY1254"/>
      <c r="BZ1254"/>
      <c r="CA1254"/>
      <c r="CB1254"/>
      <c r="CC1254"/>
      <c r="CD1254"/>
      <c r="CE1254"/>
      <c r="CF1254"/>
      <c r="CG1254"/>
      <c r="CH1254"/>
      <c r="CI1254"/>
      <c r="CJ1254"/>
      <c r="CK1254"/>
      <c r="CL1254"/>
      <c r="CM1254"/>
      <c r="CN1254"/>
      <c r="CO1254"/>
      <c r="CP1254"/>
      <c r="CQ1254"/>
      <c r="CR1254"/>
      <c r="CS1254"/>
      <c r="CT1254"/>
      <c r="CU1254"/>
      <c r="CV1254"/>
      <c r="CW1254"/>
      <c r="CX1254"/>
      <c r="CY1254"/>
    </row>
    <row r="1255" spans="50:103" ht="20.100000000000001" customHeight="1" x14ac:dyDescent="0.25">
      <c r="AX1255"/>
      <c r="AY1255"/>
      <c r="AZ1255"/>
      <c r="BA1255"/>
      <c r="BB1255"/>
      <c r="BC1255"/>
      <c r="BD1255"/>
      <c r="BE1255"/>
      <c r="BF1255"/>
      <c r="BG1255"/>
      <c r="BH1255"/>
      <c r="BI1255"/>
      <c r="BJ1255"/>
      <c r="BK1255"/>
      <c r="BL1255"/>
      <c r="BM1255"/>
      <c r="BN1255"/>
      <c r="BO1255"/>
      <c r="BP1255"/>
      <c r="BQ1255"/>
      <c r="BR1255"/>
      <c r="BY1255"/>
      <c r="BZ1255"/>
      <c r="CA1255"/>
      <c r="CB1255"/>
      <c r="CC1255"/>
      <c r="CD1255"/>
      <c r="CE1255"/>
      <c r="CF1255"/>
      <c r="CG1255"/>
      <c r="CH1255"/>
      <c r="CI1255"/>
      <c r="CJ1255"/>
      <c r="CK1255"/>
      <c r="CL1255"/>
      <c r="CM1255"/>
      <c r="CN1255"/>
      <c r="CO1255"/>
      <c r="CP1255"/>
      <c r="CQ1255"/>
      <c r="CR1255"/>
      <c r="CS1255"/>
      <c r="CT1255"/>
      <c r="CU1255"/>
      <c r="CV1255"/>
      <c r="CW1255"/>
      <c r="CX1255"/>
      <c r="CY1255"/>
    </row>
    <row r="1256" spans="50:103" ht="20.100000000000001" customHeight="1" x14ac:dyDescent="0.25">
      <c r="AX1256"/>
      <c r="AY1256"/>
      <c r="AZ1256"/>
      <c r="BA1256"/>
      <c r="BB1256"/>
      <c r="BC1256"/>
      <c r="BD1256"/>
      <c r="BE1256"/>
      <c r="BF1256"/>
      <c r="BG1256"/>
      <c r="BH1256"/>
      <c r="BI1256"/>
      <c r="BJ1256"/>
      <c r="BK1256"/>
      <c r="BL1256"/>
      <c r="BM1256"/>
      <c r="BN1256"/>
      <c r="BO1256"/>
      <c r="BP1256"/>
      <c r="BQ1256"/>
      <c r="BR1256"/>
      <c r="BY1256"/>
      <c r="BZ1256"/>
      <c r="CA1256"/>
      <c r="CB1256"/>
      <c r="CC1256"/>
      <c r="CD1256"/>
      <c r="CE1256"/>
      <c r="CF1256"/>
      <c r="CG1256"/>
      <c r="CH1256"/>
      <c r="CI1256"/>
      <c r="CJ1256"/>
      <c r="CK1256"/>
      <c r="CL1256"/>
      <c r="CM1256"/>
      <c r="CN1256"/>
      <c r="CO1256"/>
      <c r="CP1256"/>
      <c r="CQ1256"/>
      <c r="CR1256"/>
      <c r="CS1256"/>
      <c r="CT1256"/>
      <c r="CU1256"/>
      <c r="CV1256"/>
      <c r="CW1256"/>
      <c r="CX1256"/>
      <c r="CY1256"/>
    </row>
    <row r="1257" spans="50:103" ht="20.100000000000001" customHeight="1" x14ac:dyDescent="0.25">
      <c r="AX1257"/>
      <c r="AY1257"/>
      <c r="AZ1257"/>
      <c r="BA1257"/>
      <c r="BB1257"/>
      <c r="BC1257"/>
      <c r="BD1257"/>
      <c r="BE1257"/>
      <c r="BF1257"/>
      <c r="BG1257"/>
      <c r="BH1257"/>
      <c r="BI1257"/>
      <c r="BJ1257"/>
      <c r="BK1257"/>
      <c r="BL1257"/>
      <c r="BM1257"/>
      <c r="BN1257"/>
      <c r="BO1257"/>
      <c r="BP1257"/>
      <c r="BQ1257"/>
      <c r="BR1257"/>
      <c r="BY1257"/>
      <c r="BZ1257"/>
      <c r="CA1257"/>
      <c r="CB1257"/>
      <c r="CC1257"/>
      <c r="CD1257"/>
      <c r="CE1257"/>
      <c r="CF1257"/>
      <c r="CG1257"/>
      <c r="CH1257"/>
      <c r="CI1257"/>
      <c r="CJ1257"/>
      <c r="CK1257"/>
      <c r="CL1257"/>
      <c r="CM1257"/>
      <c r="CN1257"/>
      <c r="CO1257"/>
      <c r="CP1257"/>
      <c r="CQ1257"/>
      <c r="CR1257"/>
      <c r="CS1257"/>
      <c r="CT1257"/>
      <c r="CU1257"/>
      <c r="CV1257"/>
      <c r="CW1257"/>
      <c r="CX1257"/>
      <c r="CY1257"/>
    </row>
    <row r="1258" spans="50:103" ht="20.100000000000001" customHeight="1" x14ac:dyDescent="0.25">
      <c r="AX1258"/>
      <c r="AY1258"/>
      <c r="AZ1258"/>
      <c r="BA1258"/>
      <c r="BB1258"/>
      <c r="BC1258"/>
      <c r="BD1258"/>
      <c r="BE1258"/>
      <c r="BF1258"/>
      <c r="BG1258"/>
      <c r="BH1258"/>
      <c r="BI1258"/>
      <c r="BJ1258"/>
      <c r="BK1258"/>
      <c r="BL1258"/>
      <c r="BM1258"/>
      <c r="BN1258"/>
      <c r="BO1258"/>
      <c r="BP1258"/>
      <c r="BQ1258"/>
      <c r="BR1258"/>
      <c r="BY1258"/>
      <c r="BZ1258"/>
      <c r="CA1258"/>
      <c r="CB1258"/>
      <c r="CC1258"/>
      <c r="CD1258"/>
      <c r="CE1258"/>
      <c r="CF1258"/>
      <c r="CG1258"/>
      <c r="CH1258"/>
      <c r="CI1258"/>
      <c r="CJ1258"/>
      <c r="CK1258"/>
      <c r="CL1258"/>
      <c r="CM1258"/>
      <c r="CN1258"/>
      <c r="CO1258"/>
      <c r="CP1258"/>
      <c r="CQ1258"/>
      <c r="CR1258"/>
      <c r="CS1258"/>
      <c r="CT1258"/>
      <c r="CU1258"/>
      <c r="CV1258"/>
      <c r="CW1258"/>
      <c r="CX1258"/>
      <c r="CY1258"/>
    </row>
    <row r="1259" spans="50:103" ht="20.100000000000001" customHeight="1" x14ac:dyDescent="0.25">
      <c r="AX1259"/>
      <c r="AY1259"/>
      <c r="AZ1259"/>
      <c r="BA1259"/>
      <c r="BB1259"/>
      <c r="BC1259"/>
      <c r="BD1259"/>
      <c r="BE1259"/>
      <c r="BF1259"/>
      <c r="BG1259"/>
      <c r="BH1259"/>
      <c r="BI1259"/>
      <c r="BJ1259"/>
      <c r="BK1259"/>
      <c r="BL1259"/>
      <c r="BM1259"/>
      <c r="BN1259"/>
      <c r="BO1259"/>
      <c r="BP1259"/>
      <c r="BQ1259"/>
      <c r="BR1259"/>
      <c r="BY1259"/>
      <c r="BZ1259"/>
      <c r="CA1259"/>
      <c r="CB1259"/>
      <c r="CC1259"/>
      <c r="CD1259"/>
      <c r="CE1259"/>
      <c r="CF1259"/>
      <c r="CG1259"/>
      <c r="CH1259"/>
      <c r="CI1259"/>
      <c r="CJ1259"/>
      <c r="CK1259"/>
      <c r="CL1259"/>
      <c r="CM1259"/>
      <c r="CN1259"/>
      <c r="CO1259"/>
      <c r="CP1259"/>
      <c r="CQ1259"/>
      <c r="CR1259"/>
      <c r="CS1259"/>
      <c r="CT1259"/>
      <c r="CU1259"/>
      <c r="CV1259"/>
      <c r="CW1259"/>
      <c r="CX1259"/>
      <c r="CY1259"/>
    </row>
    <row r="1260" spans="50:103" ht="20.100000000000001" customHeight="1" x14ac:dyDescent="0.25">
      <c r="AX1260"/>
      <c r="AY1260"/>
      <c r="AZ1260"/>
      <c r="BA1260"/>
      <c r="BB1260"/>
      <c r="BC1260"/>
      <c r="BD1260"/>
      <c r="BE1260"/>
      <c r="BF1260"/>
      <c r="BG1260"/>
      <c r="BH1260"/>
      <c r="BI1260"/>
      <c r="BJ1260"/>
      <c r="BK1260"/>
      <c r="BL1260"/>
      <c r="BM1260"/>
      <c r="BN1260"/>
      <c r="BO1260"/>
      <c r="BP1260"/>
      <c r="BQ1260"/>
      <c r="BR1260"/>
      <c r="BY1260"/>
      <c r="BZ1260"/>
      <c r="CA1260"/>
      <c r="CB1260"/>
      <c r="CC1260"/>
      <c r="CD1260"/>
      <c r="CE1260"/>
      <c r="CF1260"/>
      <c r="CG1260"/>
      <c r="CH1260"/>
      <c r="CI1260"/>
      <c r="CJ1260"/>
      <c r="CK1260"/>
      <c r="CL1260"/>
      <c r="CM1260"/>
      <c r="CN1260"/>
      <c r="CO1260"/>
      <c r="CP1260"/>
      <c r="CQ1260"/>
      <c r="CR1260"/>
      <c r="CS1260"/>
      <c r="CT1260"/>
      <c r="CU1260"/>
      <c r="CV1260"/>
      <c r="CW1260"/>
      <c r="CX1260"/>
      <c r="CY1260"/>
    </row>
    <row r="1261" spans="50:103" ht="20.100000000000001" customHeight="1" x14ac:dyDescent="0.25">
      <c r="AX1261"/>
      <c r="AY1261"/>
      <c r="AZ1261"/>
      <c r="BA1261"/>
      <c r="BB1261"/>
      <c r="BC1261"/>
      <c r="BD1261"/>
      <c r="BE1261"/>
      <c r="BF1261"/>
      <c r="BG1261"/>
      <c r="BH1261"/>
      <c r="BI1261"/>
      <c r="BJ1261"/>
      <c r="BK1261"/>
      <c r="BL1261"/>
      <c r="BM1261"/>
      <c r="BN1261"/>
      <c r="BO1261"/>
      <c r="BP1261"/>
      <c r="BQ1261"/>
      <c r="BR1261"/>
      <c r="BY1261"/>
      <c r="BZ1261"/>
      <c r="CA1261"/>
      <c r="CB1261"/>
      <c r="CC1261"/>
      <c r="CD1261"/>
      <c r="CE1261"/>
      <c r="CF1261"/>
      <c r="CG1261"/>
      <c r="CH1261"/>
      <c r="CI1261"/>
      <c r="CJ1261"/>
      <c r="CK1261"/>
      <c r="CL1261"/>
      <c r="CM1261"/>
      <c r="CN1261"/>
      <c r="CO1261"/>
      <c r="CP1261"/>
      <c r="CQ1261"/>
      <c r="CR1261"/>
      <c r="CS1261"/>
      <c r="CT1261"/>
      <c r="CU1261"/>
      <c r="CV1261"/>
      <c r="CW1261"/>
      <c r="CX1261"/>
      <c r="CY1261"/>
    </row>
    <row r="1262" spans="50:103" ht="20.100000000000001" customHeight="1" x14ac:dyDescent="0.25">
      <c r="AX1262"/>
      <c r="AY1262"/>
      <c r="AZ1262"/>
      <c r="BA1262"/>
      <c r="BB1262"/>
      <c r="BC1262"/>
      <c r="BD1262"/>
      <c r="BE1262"/>
      <c r="BF1262"/>
      <c r="BG1262"/>
      <c r="BH1262"/>
      <c r="BI1262"/>
      <c r="BJ1262"/>
      <c r="BK1262"/>
      <c r="BL1262"/>
      <c r="BM1262"/>
      <c r="BN1262"/>
      <c r="BO1262"/>
      <c r="BP1262"/>
      <c r="BQ1262"/>
      <c r="BR1262"/>
      <c r="BY1262"/>
      <c r="BZ1262"/>
      <c r="CA1262"/>
      <c r="CB1262"/>
      <c r="CC1262"/>
      <c r="CD1262"/>
      <c r="CE1262"/>
      <c r="CF1262"/>
      <c r="CG1262"/>
      <c r="CH1262"/>
      <c r="CI1262"/>
      <c r="CJ1262"/>
      <c r="CK1262"/>
      <c r="CL1262"/>
      <c r="CM1262"/>
      <c r="CN1262"/>
      <c r="CO1262"/>
      <c r="CP1262"/>
      <c r="CQ1262"/>
      <c r="CR1262"/>
      <c r="CS1262"/>
      <c r="CT1262"/>
      <c r="CU1262"/>
      <c r="CV1262"/>
      <c r="CW1262"/>
      <c r="CX1262"/>
      <c r="CY1262"/>
    </row>
    <row r="1263" spans="50:103" ht="20.100000000000001" customHeight="1" x14ac:dyDescent="0.25">
      <c r="AX1263"/>
      <c r="AY1263"/>
      <c r="AZ1263"/>
      <c r="BA1263"/>
      <c r="BB1263"/>
      <c r="BC1263"/>
      <c r="BD1263"/>
      <c r="BE1263"/>
      <c r="BF1263"/>
      <c r="BG1263"/>
      <c r="BH1263"/>
      <c r="BI1263"/>
      <c r="BJ1263"/>
      <c r="BK1263"/>
      <c r="BL1263"/>
      <c r="BM1263"/>
      <c r="BN1263"/>
      <c r="BO1263"/>
      <c r="BP1263"/>
      <c r="BQ1263"/>
      <c r="BR1263"/>
      <c r="BY1263"/>
      <c r="BZ1263"/>
      <c r="CA1263"/>
      <c r="CB1263"/>
      <c r="CC1263"/>
      <c r="CD1263"/>
      <c r="CE1263"/>
      <c r="CF1263"/>
      <c r="CG1263"/>
      <c r="CH1263"/>
      <c r="CI1263"/>
      <c r="CJ1263"/>
      <c r="CK1263"/>
      <c r="CL1263"/>
      <c r="CM1263"/>
      <c r="CN1263"/>
      <c r="CO1263"/>
      <c r="CP1263"/>
      <c r="CQ1263"/>
      <c r="CR1263"/>
      <c r="CS1263"/>
      <c r="CT1263"/>
      <c r="CU1263"/>
      <c r="CV1263"/>
      <c r="CW1263"/>
      <c r="CX1263"/>
      <c r="CY1263"/>
    </row>
    <row r="1264" spans="50:103" ht="20.100000000000001" customHeight="1" x14ac:dyDescent="0.25">
      <c r="AX1264"/>
      <c r="AY1264"/>
      <c r="AZ1264"/>
      <c r="BA1264"/>
      <c r="BB1264"/>
      <c r="BC1264"/>
      <c r="BD1264"/>
      <c r="BE1264"/>
      <c r="BF1264"/>
      <c r="BG1264"/>
      <c r="BH1264"/>
      <c r="BI1264"/>
      <c r="BJ1264"/>
      <c r="BK1264"/>
      <c r="BL1264"/>
      <c r="BM1264"/>
      <c r="BN1264"/>
      <c r="BO1264"/>
      <c r="BP1264"/>
      <c r="BQ1264"/>
      <c r="BR1264"/>
      <c r="BY1264"/>
      <c r="BZ1264"/>
      <c r="CA1264"/>
      <c r="CB1264"/>
      <c r="CC1264"/>
      <c r="CD1264"/>
      <c r="CE1264"/>
      <c r="CF1264"/>
      <c r="CG1264"/>
      <c r="CH1264"/>
      <c r="CI1264"/>
      <c r="CJ1264"/>
      <c r="CK1264"/>
      <c r="CL1264"/>
      <c r="CM1264"/>
      <c r="CN1264"/>
      <c r="CO1264"/>
      <c r="CP1264"/>
      <c r="CQ1264"/>
      <c r="CR1264"/>
      <c r="CS1264"/>
      <c r="CT1264"/>
      <c r="CU1264"/>
      <c r="CV1264"/>
      <c r="CW1264"/>
      <c r="CX1264"/>
      <c r="CY1264"/>
    </row>
    <row r="1265" spans="50:103" ht="20.100000000000001" customHeight="1" x14ac:dyDescent="0.25">
      <c r="AX1265"/>
      <c r="AY1265"/>
      <c r="AZ1265"/>
      <c r="BA1265"/>
      <c r="BB1265"/>
      <c r="BC1265"/>
      <c r="BD1265"/>
      <c r="BE1265"/>
      <c r="BF1265"/>
      <c r="BG1265"/>
      <c r="BH1265"/>
      <c r="BI1265"/>
      <c r="BJ1265"/>
      <c r="BK1265"/>
      <c r="BL1265"/>
      <c r="BM1265"/>
      <c r="BN1265"/>
      <c r="BO1265"/>
      <c r="BP1265"/>
      <c r="BQ1265"/>
      <c r="BR1265"/>
      <c r="BY1265"/>
      <c r="BZ1265"/>
      <c r="CA1265"/>
      <c r="CB1265"/>
      <c r="CC1265"/>
      <c r="CD1265"/>
      <c r="CE1265"/>
      <c r="CF1265"/>
      <c r="CG1265"/>
      <c r="CH1265"/>
      <c r="CI1265"/>
      <c r="CJ1265"/>
      <c r="CK1265"/>
      <c r="CL1265"/>
      <c r="CM1265"/>
      <c r="CN1265"/>
      <c r="CO1265"/>
      <c r="CP1265"/>
      <c r="CQ1265"/>
      <c r="CR1265"/>
      <c r="CS1265"/>
      <c r="CT1265"/>
      <c r="CU1265"/>
      <c r="CV1265"/>
      <c r="CW1265"/>
      <c r="CX1265"/>
      <c r="CY1265"/>
    </row>
    <row r="1266" spans="50:103" ht="20.100000000000001" customHeight="1" x14ac:dyDescent="0.25">
      <c r="AX1266"/>
      <c r="AY1266"/>
      <c r="AZ1266"/>
      <c r="BA1266"/>
      <c r="BB1266"/>
      <c r="BC1266"/>
      <c r="BD1266"/>
      <c r="BE1266"/>
      <c r="BF1266"/>
      <c r="BG1266"/>
      <c r="BH1266"/>
      <c r="BI1266"/>
      <c r="BJ1266"/>
      <c r="BK1266"/>
      <c r="BL1266"/>
      <c r="BM1266"/>
      <c r="BN1266"/>
      <c r="BO1266"/>
      <c r="BP1266"/>
      <c r="BQ1266"/>
      <c r="BR1266"/>
      <c r="BY1266"/>
      <c r="BZ1266"/>
      <c r="CA1266"/>
      <c r="CB1266"/>
      <c r="CC1266"/>
      <c r="CD1266"/>
      <c r="CE1266"/>
      <c r="CF1266"/>
      <c r="CG1266"/>
      <c r="CH1266"/>
      <c r="CI1266"/>
      <c r="CJ1266"/>
      <c r="CK1266"/>
      <c r="CL1266"/>
      <c r="CM1266"/>
      <c r="CN1266"/>
      <c r="CO1266"/>
      <c r="CP1266"/>
      <c r="CQ1266"/>
      <c r="CR1266"/>
      <c r="CS1266"/>
      <c r="CT1266"/>
      <c r="CU1266"/>
      <c r="CV1266"/>
      <c r="CW1266"/>
      <c r="CX1266"/>
      <c r="CY1266"/>
    </row>
    <row r="1267" spans="50:103" ht="20.100000000000001" customHeight="1" x14ac:dyDescent="0.25">
      <c r="AX1267"/>
      <c r="AY1267"/>
      <c r="AZ1267"/>
      <c r="BA1267"/>
      <c r="BB1267"/>
      <c r="BC1267"/>
      <c r="BD1267"/>
      <c r="BE1267"/>
      <c r="BF1267"/>
      <c r="BG1267"/>
      <c r="BH1267"/>
      <c r="BI1267"/>
      <c r="BJ1267"/>
      <c r="BK1267"/>
      <c r="BL1267"/>
      <c r="BM1267"/>
      <c r="BN1267"/>
      <c r="BO1267"/>
      <c r="BP1267"/>
      <c r="BQ1267"/>
      <c r="BR1267"/>
      <c r="BY1267"/>
      <c r="BZ1267"/>
      <c r="CA1267"/>
      <c r="CB1267"/>
      <c r="CC1267"/>
      <c r="CD1267"/>
      <c r="CE1267"/>
      <c r="CF1267"/>
      <c r="CG1267"/>
      <c r="CH1267"/>
      <c r="CI1267"/>
      <c r="CJ1267"/>
      <c r="CK1267"/>
      <c r="CL1267"/>
      <c r="CM1267"/>
      <c r="CN1267"/>
      <c r="CO1267"/>
      <c r="CP1267"/>
      <c r="CQ1267"/>
      <c r="CR1267"/>
      <c r="CS1267"/>
      <c r="CT1267"/>
      <c r="CU1267"/>
      <c r="CV1267"/>
      <c r="CW1267"/>
      <c r="CX1267"/>
      <c r="CY1267"/>
    </row>
    <row r="1268" spans="50:103" ht="20.100000000000001" customHeight="1" x14ac:dyDescent="0.25">
      <c r="AX1268"/>
      <c r="AY1268"/>
      <c r="AZ1268"/>
      <c r="BA1268"/>
      <c r="BB1268"/>
      <c r="BC1268"/>
      <c r="BD1268"/>
      <c r="BE1268"/>
      <c r="BF1268"/>
      <c r="BG1268"/>
      <c r="BH1268"/>
      <c r="BI1268"/>
      <c r="BJ1268"/>
      <c r="BK1268"/>
      <c r="BL1268"/>
      <c r="BM1268"/>
      <c r="BN1268"/>
      <c r="BO1268"/>
      <c r="BP1268"/>
      <c r="BQ1268"/>
      <c r="BR1268"/>
      <c r="BY1268"/>
      <c r="BZ1268"/>
      <c r="CA1268"/>
      <c r="CB1268"/>
      <c r="CC1268"/>
      <c r="CD1268"/>
      <c r="CE1268"/>
      <c r="CF1268"/>
      <c r="CG1268"/>
      <c r="CH1268"/>
      <c r="CI1268"/>
      <c r="CJ1268"/>
      <c r="CK1268"/>
      <c r="CL1268"/>
      <c r="CM1268"/>
      <c r="CN1268"/>
      <c r="CO1268"/>
      <c r="CP1268"/>
      <c r="CQ1268"/>
      <c r="CR1268"/>
      <c r="CS1268"/>
      <c r="CT1268"/>
      <c r="CU1268"/>
      <c r="CV1268"/>
      <c r="CW1268"/>
      <c r="CX1268"/>
      <c r="CY1268"/>
    </row>
    <row r="1269" spans="50:103" ht="20.100000000000001" customHeight="1" x14ac:dyDescent="0.25">
      <c r="AX1269"/>
      <c r="AY1269"/>
      <c r="AZ1269"/>
      <c r="BA1269"/>
      <c r="BB1269"/>
      <c r="BC1269"/>
      <c r="BD1269"/>
      <c r="BE1269"/>
      <c r="BF1269"/>
      <c r="BG1269"/>
      <c r="BH1269"/>
      <c r="BI1269"/>
      <c r="BJ1269"/>
      <c r="BK1269"/>
      <c r="BL1269"/>
      <c r="BM1269"/>
      <c r="BN1269"/>
      <c r="BO1269"/>
      <c r="BP1269"/>
      <c r="BQ1269"/>
      <c r="BR1269"/>
      <c r="BY1269"/>
      <c r="BZ1269"/>
      <c r="CA1269"/>
      <c r="CB1269"/>
      <c r="CC1269"/>
      <c r="CD1269"/>
      <c r="CE1269"/>
      <c r="CF1269"/>
      <c r="CG1269"/>
      <c r="CH1269"/>
      <c r="CI1269"/>
      <c r="CJ1269"/>
      <c r="CK1269"/>
      <c r="CL1269"/>
      <c r="CM1269"/>
      <c r="CN1269"/>
      <c r="CO1269"/>
      <c r="CP1269"/>
      <c r="CQ1269"/>
      <c r="CR1269"/>
      <c r="CS1269"/>
      <c r="CT1269"/>
      <c r="CU1269"/>
      <c r="CV1269"/>
      <c r="CW1269"/>
      <c r="CX1269"/>
      <c r="CY1269"/>
    </row>
    <row r="1270" spans="50:103" ht="20.100000000000001" customHeight="1" x14ac:dyDescent="0.25">
      <c r="AX1270"/>
      <c r="AY1270"/>
      <c r="AZ1270"/>
      <c r="BA1270"/>
      <c r="BB1270"/>
      <c r="BC1270"/>
      <c r="BD1270"/>
      <c r="BE1270"/>
      <c r="BF1270"/>
      <c r="BG1270"/>
      <c r="BH1270"/>
      <c r="BI1270"/>
      <c r="BJ1270"/>
      <c r="BK1270"/>
      <c r="BL1270"/>
      <c r="BM1270"/>
      <c r="BN1270"/>
      <c r="BO1270"/>
      <c r="BP1270"/>
      <c r="BQ1270"/>
      <c r="BR1270"/>
      <c r="BY1270"/>
      <c r="BZ1270"/>
      <c r="CA1270"/>
      <c r="CB1270"/>
      <c r="CC1270"/>
      <c r="CD1270"/>
      <c r="CE1270"/>
      <c r="CF1270"/>
      <c r="CG1270"/>
      <c r="CH1270"/>
      <c r="CI1270"/>
      <c r="CJ1270"/>
      <c r="CK1270"/>
      <c r="CL1270"/>
      <c r="CM1270"/>
      <c r="CN1270"/>
      <c r="CO1270"/>
      <c r="CP1270"/>
      <c r="CQ1270"/>
      <c r="CR1270"/>
      <c r="CS1270"/>
      <c r="CT1270"/>
      <c r="CU1270"/>
      <c r="CV1270"/>
      <c r="CW1270"/>
      <c r="CX1270"/>
      <c r="CY1270"/>
    </row>
    <row r="1271" spans="50:103" ht="20.100000000000001" customHeight="1" x14ac:dyDescent="0.25">
      <c r="AX1271"/>
      <c r="AY1271"/>
      <c r="AZ1271"/>
      <c r="BA1271"/>
      <c r="BB1271"/>
      <c r="BC1271"/>
      <c r="BD1271"/>
      <c r="BE1271"/>
      <c r="BF1271"/>
      <c r="BG1271"/>
      <c r="BH1271"/>
      <c r="BI1271"/>
      <c r="BJ1271"/>
      <c r="BK1271"/>
      <c r="BL1271"/>
      <c r="BM1271"/>
      <c r="BN1271"/>
      <c r="BO1271"/>
      <c r="BP1271"/>
      <c r="BQ1271"/>
      <c r="BR1271"/>
      <c r="BY1271"/>
      <c r="BZ1271"/>
      <c r="CA1271"/>
      <c r="CB1271"/>
      <c r="CC1271"/>
      <c r="CD1271"/>
      <c r="CE1271"/>
      <c r="CF1271"/>
      <c r="CG1271"/>
      <c r="CH1271"/>
      <c r="CI1271"/>
      <c r="CJ1271"/>
      <c r="CK1271"/>
      <c r="CL1271"/>
      <c r="CM1271"/>
      <c r="CN1271"/>
      <c r="CO1271"/>
      <c r="CP1271"/>
      <c r="CQ1271"/>
      <c r="CR1271"/>
      <c r="CS1271"/>
      <c r="CT1271"/>
      <c r="CU1271"/>
      <c r="CV1271"/>
      <c r="CW1271"/>
      <c r="CX1271"/>
      <c r="CY1271"/>
    </row>
    <row r="1272" spans="50:103" ht="20.100000000000001" customHeight="1" x14ac:dyDescent="0.25">
      <c r="AX1272"/>
      <c r="AY1272"/>
      <c r="AZ1272"/>
      <c r="BA1272"/>
      <c r="BB1272"/>
      <c r="BC1272"/>
      <c r="BD1272"/>
      <c r="BE1272"/>
      <c r="BF1272"/>
      <c r="BG1272"/>
      <c r="BH1272"/>
      <c r="BI1272"/>
      <c r="BJ1272"/>
      <c r="BK1272"/>
      <c r="BL1272"/>
      <c r="BM1272"/>
      <c r="BN1272"/>
      <c r="BO1272"/>
      <c r="BP1272"/>
      <c r="BQ1272"/>
      <c r="BR1272"/>
      <c r="BY1272"/>
      <c r="BZ1272"/>
      <c r="CA1272"/>
      <c r="CB1272"/>
      <c r="CC1272"/>
      <c r="CD1272"/>
      <c r="CE1272"/>
      <c r="CF1272"/>
      <c r="CG1272"/>
      <c r="CH1272"/>
      <c r="CI1272"/>
      <c r="CJ1272"/>
      <c r="CK1272"/>
      <c r="CL1272"/>
      <c r="CM1272"/>
      <c r="CN1272"/>
      <c r="CO1272"/>
      <c r="CP1272"/>
      <c r="CQ1272"/>
      <c r="CR1272"/>
      <c r="CS1272"/>
      <c r="CT1272"/>
      <c r="CU1272"/>
      <c r="CV1272"/>
      <c r="CW1272"/>
      <c r="CX1272"/>
      <c r="CY1272"/>
    </row>
    <row r="1273" spans="50:103" ht="20.100000000000001" customHeight="1" x14ac:dyDescent="0.25">
      <c r="AX1273"/>
      <c r="AY1273"/>
      <c r="AZ1273"/>
      <c r="BA1273"/>
      <c r="BB1273"/>
      <c r="BC1273"/>
      <c r="BD1273"/>
      <c r="BE1273"/>
      <c r="BF1273"/>
      <c r="BG1273"/>
      <c r="BH1273"/>
      <c r="BI1273"/>
      <c r="BJ1273"/>
      <c r="BK1273"/>
      <c r="BL1273"/>
      <c r="BM1273"/>
      <c r="BN1273"/>
      <c r="BO1273"/>
      <c r="BP1273"/>
      <c r="BQ1273"/>
      <c r="BR1273"/>
      <c r="BY1273"/>
      <c r="BZ1273"/>
      <c r="CA1273"/>
      <c r="CB1273"/>
      <c r="CC1273"/>
      <c r="CD1273"/>
      <c r="CE1273"/>
      <c r="CF1273"/>
      <c r="CG1273"/>
      <c r="CH1273"/>
      <c r="CI1273"/>
      <c r="CJ1273"/>
      <c r="CK1273"/>
      <c r="CL1273"/>
      <c r="CM1273"/>
      <c r="CN1273"/>
      <c r="CO1273"/>
      <c r="CP1273"/>
      <c r="CQ1273"/>
      <c r="CR1273"/>
      <c r="CS1273"/>
      <c r="CT1273"/>
      <c r="CU1273"/>
      <c r="CV1273"/>
      <c r="CW1273"/>
      <c r="CX1273"/>
      <c r="CY1273"/>
    </row>
    <row r="1274" spans="50:103" ht="20.100000000000001" customHeight="1" x14ac:dyDescent="0.25">
      <c r="AX1274"/>
      <c r="AY1274"/>
      <c r="AZ1274"/>
      <c r="BA1274"/>
      <c r="BB1274"/>
      <c r="BC1274"/>
      <c r="BD1274"/>
      <c r="BE1274"/>
      <c r="BF1274"/>
      <c r="BG1274"/>
      <c r="BH1274"/>
      <c r="BI1274"/>
      <c r="BJ1274"/>
      <c r="BK1274"/>
      <c r="BL1274"/>
      <c r="BM1274"/>
      <c r="BN1274"/>
      <c r="BO1274"/>
      <c r="BP1274"/>
      <c r="BQ1274"/>
      <c r="BR1274"/>
      <c r="BY1274"/>
      <c r="BZ1274"/>
      <c r="CA1274"/>
      <c r="CB1274"/>
      <c r="CC1274"/>
      <c r="CD1274"/>
      <c r="CE1274"/>
      <c r="CF1274"/>
      <c r="CG1274"/>
      <c r="CH1274"/>
      <c r="CI1274"/>
      <c r="CJ1274"/>
      <c r="CK1274"/>
      <c r="CL1274"/>
      <c r="CM1274"/>
      <c r="CN1274"/>
      <c r="CO1274"/>
      <c r="CP1274"/>
      <c r="CQ1274"/>
      <c r="CR1274"/>
      <c r="CS1274"/>
      <c r="CT1274"/>
      <c r="CU1274"/>
      <c r="CV1274"/>
      <c r="CW1274"/>
      <c r="CX1274"/>
      <c r="CY1274"/>
    </row>
    <row r="1275" spans="50:103" ht="20.100000000000001" customHeight="1" x14ac:dyDescent="0.25">
      <c r="AX1275"/>
      <c r="AY1275"/>
      <c r="AZ1275"/>
      <c r="BA1275"/>
      <c r="BB1275"/>
      <c r="BC1275"/>
      <c r="BD1275"/>
      <c r="BE1275"/>
      <c r="BF1275"/>
      <c r="BG1275"/>
      <c r="BH1275"/>
      <c r="BI1275"/>
      <c r="BJ1275"/>
      <c r="BK1275"/>
      <c r="BL1275"/>
      <c r="BM1275"/>
      <c r="BN1275"/>
      <c r="BO1275"/>
      <c r="BP1275"/>
      <c r="BQ1275"/>
      <c r="BR1275"/>
      <c r="BY1275"/>
      <c r="BZ1275"/>
      <c r="CA1275"/>
      <c r="CB1275"/>
      <c r="CC1275"/>
      <c r="CD1275"/>
      <c r="CE1275"/>
      <c r="CF1275"/>
      <c r="CG1275"/>
      <c r="CH1275"/>
      <c r="CI1275"/>
      <c r="CJ1275"/>
      <c r="CK1275"/>
      <c r="CL1275"/>
      <c r="CM1275"/>
      <c r="CN1275"/>
      <c r="CO1275"/>
      <c r="CP1275"/>
      <c r="CQ1275"/>
      <c r="CR1275"/>
      <c r="CS1275"/>
      <c r="CT1275"/>
      <c r="CU1275"/>
      <c r="CV1275"/>
      <c r="CW1275"/>
      <c r="CX1275"/>
      <c r="CY1275"/>
    </row>
    <row r="1276" spans="50:103" ht="20.100000000000001" customHeight="1" x14ac:dyDescent="0.25">
      <c r="AX1276"/>
      <c r="AY1276"/>
      <c r="AZ1276"/>
      <c r="BA1276"/>
      <c r="BB1276"/>
      <c r="BC1276"/>
      <c r="BD1276"/>
      <c r="BE1276"/>
      <c r="BF1276"/>
      <c r="BG1276"/>
      <c r="BH1276"/>
      <c r="BI1276"/>
      <c r="BJ1276"/>
      <c r="BK1276"/>
      <c r="BL1276"/>
      <c r="BM1276"/>
      <c r="BN1276"/>
      <c r="BO1276"/>
      <c r="BP1276"/>
      <c r="BQ1276"/>
      <c r="BR1276"/>
      <c r="BY1276"/>
      <c r="BZ1276"/>
      <c r="CA1276"/>
      <c r="CB1276"/>
      <c r="CC1276"/>
      <c r="CD1276"/>
      <c r="CE1276"/>
      <c r="CF1276"/>
      <c r="CG1276"/>
      <c r="CH1276"/>
      <c r="CI1276"/>
      <c r="CJ1276"/>
      <c r="CK1276"/>
      <c r="CL1276"/>
      <c r="CM1276"/>
      <c r="CN1276"/>
      <c r="CO1276"/>
      <c r="CP1276"/>
      <c r="CQ1276"/>
      <c r="CR1276"/>
      <c r="CS1276"/>
      <c r="CT1276"/>
      <c r="CU1276"/>
      <c r="CV1276"/>
      <c r="CW1276"/>
      <c r="CX1276"/>
      <c r="CY1276"/>
    </row>
    <row r="1277" spans="50:103" ht="20.100000000000001" customHeight="1" x14ac:dyDescent="0.25">
      <c r="AX1277"/>
      <c r="AY1277"/>
      <c r="AZ1277"/>
      <c r="BA1277"/>
      <c r="BB1277"/>
      <c r="BC1277"/>
      <c r="BD1277"/>
      <c r="BE1277"/>
      <c r="BF1277"/>
      <c r="BG1277"/>
      <c r="BH1277"/>
      <c r="BI1277"/>
      <c r="BJ1277"/>
      <c r="BK1277"/>
      <c r="BL1277"/>
      <c r="BM1277"/>
      <c r="BN1277"/>
      <c r="BO1277"/>
      <c r="BP1277"/>
      <c r="BQ1277"/>
      <c r="BR1277"/>
      <c r="BY1277"/>
      <c r="BZ1277"/>
      <c r="CA1277"/>
      <c r="CB1277"/>
      <c r="CC1277"/>
      <c r="CD1277"/>
      <c r="CE1277"/>
      <c r="CF1277"/>
      <c r="CG1277"/>
      <c r="CH1277"/>
      <c r="CI1277"/>
      <c r="CJ1277"/>
      <c r="CK1277"/>
      <c r="CL1277"/>
      <c r="CM1277"/>
      <c r="CN1277"/>
      <c r="CO1277"/>
      <c r="CP1277"/>
      <c r="CQ1277"/>
      <c r="CR1277"/>
      <c r="CS1277"/>
      <c r="CT1277"/>
      <c r="CU1277"/>
      <c r="CV1277"/>
      <c r="CW1277"/>
      <c r="CX1277"/>
      <c r="CY1277"/>
    </row>
    <row r="1278" spans="50:103" ht="20.100000000000001" customHeight="1" x14ac:dyDescent="0.25">
      <c r="AX1278"/>
      <c r="AY1278"/>
      <c r="AZ1278"/>
      <c r="BA1278"/>
      <c r="BB1278"/>
      <c r="BC1278"/>
      <c r="BD1278"/>
      <c r="BE1278"/>
      <c r="BF1278"/>
      <c r="BG1278"/>
      <c r="BH1278"/>
      <c r="BI1278"/>
      <c r="BJ1278"/>
      <c r="BK1278"/>
      <c r="BL1278"/>
      <c r="BM1278"/>
      <c r="BN1278"/>
      <c r="BO1278"/>
      <c r="BP1278"/>
      <c r="BQ1278"/>
      <c r="BR1278"/>
      <c r="BY1278"/>
      <c r="BZ1278"/>
      <c r="CA1278"/>
      <c r="CB1278"/>
      <c r="CC1278"/>
      <c r="CD1278"/>
      <c r="CE1278"/>
      <c r="CF1278"/>
      <c r="CG1278"/>
      <c r="CH1278"/>
      <c r="CI1278"/>
      <c r="CJ1278"/>
      <c r="CK1278"/>
      <c r="CL1278"/>
      <c r="CM1278"/>
      <c r="CN1278"/>
      <c r="CO1278"/>
      <c r="CP1278"/>
      <c r="CQ1278"/>
      <c r="CR1278"/>
      <c r="CS1278"/>
      <c r="CT1278"/>
      <c r="CU1278"/>
      <c r="CV1278"/>
      <c r="CW1278"/>
      <c r="CX1278"/>
      <c r="CY1278"/>
    </row>
    <row r="1279" spans="50:103" ht="20.100000000000001" customHeight="1" x14ac:dyDescent="0.25">
      <c r="AX1279"/>
      <c r="AY1279"/>
      <c r="AZ1279"/>
      <c r="BA1279"/>
      <c r="BB1279"/>
      <c r="BC1279"/>
      <c r="BD1279"/>
      <c r="BE1279"/>
      <c r="BF1279"/>
      <c r="BG1279"/>
      <c r="BH1279"/>
      <c r="BI1279"/>
      <c r="BJ1279"/>
      <c r="BK1279"/>
      <c r="BL1279"/>
      <c r="BM1279"/>
      <c r="BN1279"/>
      <c r="BO1279"/>
      <c r="BP1279"/>
      <c r="BQ1279"/>
      <c r="BR1279"/>
      <c r="BY1279"/>
      <c r="BZ1279"/>
      <c r="CA1279"/>
      <c r="CB1279"/>
      <c r="CC1279"/>
      <c r="CD1279"/>
      <c r="CE1279"/>
      <c r="CF1279"/>
      <c r="CG1279"/>
      <c r="CH1279"/>
      <c r="CI1279"/>
      <c r="CJ1279"/>
      <c r="CK1279"/>
      <c r="CL1279"/>
      <c r="CM1279"/>
      <c r="CN1279"/>
      <c r="CO1279"/>
      <c r="CP1279"/>
      <c r="CQ1279"/>
      <c r="CR1279"/>
      <c r="CS1279"/>
      <c r="CT1279"/>
      <c r="CU1279"/>
      <c r="CV1279"/>
      <c r="CW1279"/>
      <c r="CX1279"/>
      <c r="CY1279"/>
    </row>
    <row r="1280" spans="50:103" ht="20.100000000000001" customHeight="1" x14ac:dyDescent="0.25">
      <c r="AX1280"/>
      <c r="AY1280"/>
      <c r="AZ1280"/>
      <c r="BA1280"/>
      <c r="BB1280"/>
      <c r="BC1280"/>
      <c r="BD1280"/>
      <c r="BE1280"/>
      <c r="BF1280"/>
      <c r="BG1280"/>
      <c r="BH1280"/>
      <c r="BI1280"/>
      <c r="BJ1280"/>
      <c r="BK1280"/>
      <c r="BL1280"/>
      <c r="BM1280"/>
      <c r="BN1280"/>
      <c r="BO1280"/>
      <c r="BP1280"/>
      <c r="BQ1280"/>
      <c r="BR1280"/>
      <c r="BY1280"/>
      <c r="BZ1280"/>
      <c r="CA1280"/>
      <c r="CB1280"/>
      <c r="CC1280"/>
      <c r="CD1280"/>
      <c r="CE1280"/>
      <c r="CF1280"/>
      <c r="CG1280"/>
      <c r="CH1280"/>
      <c r="CI1280"/>
      <c r="CJ1280"/>
      <c r="CK1280"/>
      <c r="CL1280"/>
      <c r="CM1280"/>
      <c r="CN1280"/>
      <c r="CO1280"/>
      <c r="CP1280"/>
      <c r="CQ1280"/>
      <c r="CR1280"/>
      <c r="CS1280"/>
      <c r="CT1280"/>
      <c r="CU1280"/>
      <c r="CV1280"/>
      <c r="CW1280"/>
      <c r="CX1280"/>
      <c r="CY1280"/>
    </row>
    <row r="1281" spans="50:103" ht="20.100000000000001" customHeight="1" x14ac:dyDescent="0.25">
      <c r="AX1281"/>
      <c r="AY1281"/>
      <c r="AZ1281"/>
      <c r="BA1281"/>
      <c r="BB1281"/>
      <c r="BC1281"/>
      <c r="BD1281"/>
      <c r="BE1281"/>
      <c r="BF1281"/>
      <c r="BG1281"/>
      <c r="BH1281"/>
      <c r="BI1281"/>
      <c r="BJ1281"/>
      <c r="BK1281"/>
      <c r="BL1281"/>
      <c r="BM1281"/>
      <c r="BN1281"/>
      <c r="BO1281"/>
      <c r="BP1281"/>
      <c r="BQ1281"/>
      <c r="BR1281"/>
      <c r="BY1281"/>
      <c r="BZ1281"/>
      <c r="CA1281"/>
      <c r="CB1281"/>
      <c r="CC1281"/>
      <c r="CD1281"/>
      <c r="CE1281"/>
      <c r="CF1281"/>
      <c r="CG1281"/>
      <c r="CH1281"/>
      <c r="CI1281"/>
      <c r="CJ1281"/>
      <c r="CK1281"/>
      <c r="CL1281"/>
      <c r="CM1281"/>
      <c r="CN1281"/>
      <c r="CO1281"/>
      <c r="CP1281"/>
      <c r="CQ1281"/>
      <c r="CR1281"/>
      <c r="CS1281"/>
      <c r="CT1281"/>
      <c r="CU1281"/>
      <c r="CV1281"/>
      <c r="CW1281"/>
      <c r="CX1281"/>
      <c r="CY1281"/>
    </row>
    <row r="1282" spans="50:103" ht="20.100000000000001" customHeight="1" x14ac:dyDescent="0.25">
      <c r="AX1282"/>
      <c r="AY1282"/>
      <c r="AZ1282"/>
      <c r="BA1282"/>
      <c r="BB1282"/>
      <c r="BC1282"/>
      <c r="BD1282"/>
      <c r="BE1282"/>
      <c r="BF1282"/>
      <c r="BG1282"/>
      <c r="BH1282"/>
      <c r="BI1282"/>
      <c r="BJ1282"/>
      <c r="BK1282"/>
      <c r="BL1282"/>
      <c r="BM1282"/>
      <c r="BN1282"/>
      <c r="BO1282"/>
      <c r="BP1282"/>
      <c r="BQ1282"/>
      <c r="BR1282"/>
      <c r="BY1282"/>
      <c r="BZ1282"/>
      <c r="CA1282"/>
      <c r="CB1282"/>
      <c r="CC1282"/>
      <c r="CD1282"/>
      <c r="CE1282"/>
      <c r="CF1282"/>
      <c r="CG1282"/>
      <c r="CH1282"/>
      <c r="CI1282"/>
      <c r="CJ1282"/>
      <c r="CK1282"/>
      <c r="CL1282"/>
      <c r="CM1282"/>
      <c r="CN1282"/>
      <c r="CO1282"/>
      <c r="CP1282"/>
      <c r="CQ1282"/>
      <c r="CR1282"/>
      <c r="CS1282"/>
      <c r="CT1282"/>
      <c r="CU1282"/>
      <c r="CV1282"/>
      <c r="CW1282"/>
      <c r="CX1282"/>
      <c r="CY1282"/>
    </row>
    <row r="1283" spans="50:103" ht="20.100000000000001" customHeight="1" x14ac:dyDescent="0.25">
      <c r="AX1283"/>
      <c r="AY1283"/>
      <c r="AZ1283"/>
      <c r="BA1283"/>
      <c r="BB1283"/>
      <c r="BC1283"/>
      <c r="BD1283"/>
      <c r="BE1283"/>
      <c r="BF1283"/>
      <c r="BG1283"/>
      <c r="BH1283"/>
      <c r="BI1283"/>
      <c r="BJ1283"/>
      <c r="BK1283"/>
      <c r="BL1283"/>
      <c r="BM1283"/>
      <c r="BN1283"/>
      <c r="BO1283"/>
      <c r="BP1283"/>
      <c r="BQ1283"/>
      <c r="BR1283"/>
      <c r="BY1283"/>
      <c r="BZ1283"/>
      <c r="CA1283"/>
      <c r="CB1283"/>
      <c r="CC1283"/>
      <c r="CD1283"/>
      <c r="CE1283"/>
      <c r="CF1283"/>
      <c r="CG1283"/>
      <c r="CH1283"/>
      <c r="CI1283"/>
      <c r="CJ1283"/>
      <c r="CK1283"/>
      <c r="CL1283"/>
      <c r="CM1283"/>
      <c r="CN1283"/>
      <c r="CO1283"/>
      <c r="CP1283"/>
      <c r="CQ1283"/>
      <c r="CR1283"/>
      <c r="CS1283"/>
      <c r="CT1283"/>
      <c r="CU1283"/>
      <c r="CV1283"/>
      <c r="CW1283"/>
      <c r="CX1283"/>
      <c r="CY1283"/>
    </row>
    <row r="1284" spans="50:103" ht="20.100000000000001" customHeight="1" x14ac:dyDescent="0.25">
      <c r="AX1284"/>
      <c r="AY1284"/>
      <c r="AZ1284"/>
      <c r="BA1284"/>
      <c r="BB1284"/>
      <c r="BC1284"/>
      <c r="BD1284"/>
      <c r="BE1284"/>
      <c r="BF1284"/>
      <c r="BG1284"/>
      <c r="BH1284"/>
      <c r="BI1284"/>
      <c r="BJ1284"/>
      <c r="BK1284"/>
      <c r="BL1284"/>
      <c r="BM1284"/>
      <c r="BN1284"/>
      <c r="BO1284"/>
      <c r="BP1284"/>
      <c r="BQ1284"/>
      <c r="BR1284"/>
      <c r="BY1284"/>
      <c r="BZ1284"/>
      <c r="CA1284"/>
      <c r="CB1284"/>
      <c r="CC1284"/>
      <c r="CD1284"/>
      <c r="CE1284"/>
      <c r="CF1284"/>
      <c r="CG1284"/>
      <c r="CH1284"/>
      <c r="CI1284"/>
      <c r="CJ1284"/>
      <c r="CK1284"/>
      <c r="CL1284"/>
      <c r="CM1284"/>
      <c r="CN1284"/>
      <c r="CO1284"/>
      <c r="CP1284"/>
      <c r="CQ1284"/>
      <c r="CR1284"/>
      <c r="CS1284"/>
      <c r="CT1284"/>
      <c r="CU1284"/>
      <c r="CV1284"/>
      <c r="CW1284"/>
      <c r="CX1284"/>
      <c r="CY1284"/>
    </row>
    <row r="1285" spans="50:103" ht="20.100000000000001" customHeight="1" x14ac:dyDescent="0.25">
      <c r="AX1285"/>
      <c r="AY1285"/>
      <c r="AZ1285"/>
      <c r="BA1285"/>
      <c r="BB1285"/>
      <c r="BC1285"/>
      <c r="BD1285"/>
      <c r="BE1285"/>
      <c r="BF1285"/>
      <c r="BG1285"/>
      <c r="BH1285"/>
      <c r="BI1285"/>
      <c r="BJ1285"/>
      <c r="BK1285"/>
      <c r="BL1285"/>
      <c r="BM1285"/>
      <c r="BN1285"/>
      <c r="BO1285"/>
      <c r="BP1285"/>
      <c r="BQ1285"/>
      <c r="BR1285"/>
      <c r="BY1285"/>
      <c r="BZ1285"/>
      <c r="CA1285"/>
      <c r="CB1285"/>
      <c r="CC1285"/>
      <c r="CD1285"/>
      <c r="CE1285"/>
      <c r="CF1285"/>
      <c r="CG1285"/>
      <c r="CH1285"/>
      <c r="CI1285"/>
      <c r="CJ1285"/>
      <c r="CK1285"/>
      <c r="CL1285"/>
      <c r="CM1285"/>
      <c r="CN1285"/>
      <c r="CO1285"/>
      <c r="CP1285"/>
      <c r="CQ1285"/>
      <c r="CR1285"/>
      <c r="CS1285"/>
      <c r="CT1285"/>
      <c r="CU1285"/>
      <c r="CV1285"/>
      <c r="CW1285"/>
      <c r="CX1285"/>
      <c r="CY1285"/>
    </row>
    <row r="1286" spans="50:103" ht="20.100000000000001" customHeight="1" x14ac:dyDescent="0.25">
      <c r="AX1286"/>
      <c r="AY1286"/>
      <c r="AZ1286"/>
      <c r="BA1286"/>
      <c r="BB1286"/>
      <c r="BC1286"/>
      <c r="BD1286"/>
      <c r="BE1286"/>
      <c r="BF1286"/>
      <c r="BG1286"/>
      <c r="BH1286"/>
      <c r="BI1286"/>
      <c r="BJ1286"/>
      <c r="BK1286"/>
      <c r="BL1286"/>
      <c r="BM1286"/>
      <c r="BN1286"/>
      <c r="BO1286"/>
      <c r="BP1286"/>
      <c r="BQ1286"/>
      <c r="BR1286"/>
      <c r="BY1286"/>
      <c r="BZ1286"/>
      <c r="CA1286"/>
      <c r="CB1286"/>
      <c r="CC1286"/>
      <c r="CD1286"/>
      <c r="CE1286"/>
      <c r="CF1286"/>
      <c r="CG1286"/>
      <c r="CH1286"/>
      <c r="CI1286"/>
      <c r="CJ1286"/>
      <c r="CK1286"/>
      <c r="CL1286"/>
      <c r="CM1286"/>
      <c r="CN1286"/>
      <c r="CO1286"/>
      <c r="CP1286"/>
      <c r="CQ1286"/>
      <c r="CR1286"/>
      <c r="CS1286"/>
      <c r="CT1286"/>
      <c r="CU1286"/>
      <c r="CV1286"/>
      <c r="CW1286"/>
      <c r="CX1286"/>
      <c r="CY1286"/>
    </row>
    <row r="1287" spans="50:103" ht="20.100000000000001" customHeight="1" x14ac:dyDescent="0.25">
      <c r="AX1287"/>
      <c r="AY1287"/>
      <c r="AZ1287"/>
      <c r="BA1287"/>
      <c r="BB1287"/>
      <c r="BC1287"/>
      <c r="BD1287"/>
      <c r="BE1287"/>
      <c r="BF1287"/>
      <c r="BG1287"/>
      <c r="BH1287"/>
      <c r="BI1287"/>
      <c r="BJ1287"/>
      <c r="BK1287"/>
      <c r="BL1287"/>
      <c r="BM1287"/>
      <c r="BN1287"/>
      <c r="BO1287"/>
      <c r="BP1287"/>
      <c r="BQ1287"/>
      <c r="BR1287"/>
      <c r="BY1287"/>
      <c r="BZ1287"/>
      <c r="CA1287"/>
      <c r="CB1287"/>
      <c r="CC1287"/>
      <c r="CD1287"/>
      <c r="CE1287"/>
      <c r="CF1287"/>
      <c r="CG1287"/>
      <c r="CH1287"/>
      <c r="CI1287"/>
      <c r="CJ1287"/>
      <c r="CK1287"/>
      <c r="CL1287"/>
      <c r="CM1287"/>
      <c r="CN1287"/>
      <c r="CO1287"/>
      <c r="CP1287"/>
      <c r="CQ1287"/>
      <c r="CR1287"/>
      <c r="CS1287"/>
      <c r="CT1287"/>
      <c r="CU1287"/>
      <c r="CV1287"/>
      <c r="CW1287"/>
      <c r="CX1287"/>
      <c r="CY1287"/>
    </row>
    <row r="1288" spans="50:103" ht="20.100000000000001" customHeight="1" x14ac:dyDescent="0.25">
      <c r="AX1288"/>
      <c r="AY1288"/>
      <c r="AZ1288"/>
      <c r="BA1288"/>
      <c r="BB1288"/>
      <c r="BC1288"/>
      <c r="BD1288"/>
      <c r="BE1288"/>
      <c r="BF1288"/>
      <c r="BG1288"/>
      <c r="BH1288"/>
      <c r="BI1288"/>
      <c r="BJ1288"/>
      <c r="BK1288"/>
      <c r="BL1288"/>
      <c r="BM1288"/>
      <c r="BN1288"/>
      <c r="BO1288"/>
      <c r="BP1288"/>
      <c r="BQ1288"/>
      <c r="BR1288"/>
      <c r="BY1288"/>
      <c r="BZ1288"/>
      <c r="CA1288"/>
      <c r="CB1288"/>
      <c r="CC1288"/>
      <c r="CD1288"/>
      <c r="CE1288"/>
      <c r="CF1288"/>
      <c r="CG1288"/>
      <c r="CH1288"/>
      <c r="CI1288"/>
      <c r="CJ1288"/>
      <c r="CK1288"/>
      <c r="CL1288"/>
      <c r="CM1288"/>
      <c r="CN1288"/>
      <c r="CO1288"/>
      <c r="CP1288"/>
      <c r="CQ1288"/>
      <c r="CR1288"/>
      <c r="CS1288"/>
      <c r="CT1288"/>
      <c r="CU1288"/>
      <c r="CV1288"/>
      <c r="CW1288"/>
      <c r="CX1288"/>
      <c r="CY1288"/>
    </row>
    <row r="1289" spans="50:103" ht="20.100000000000001" customHeight="1" x14ac:dyDescent="0.25">
      <c r="AX1289"/>
      <c r="AY1289"/>
      <c r="AZ1289"/>
      <c r="BA1289"/>
      <c r="BB1289"/>
      <c r="BC1289"/>
      <c r="BD1289"/>
      <c r="BE1289"/>
      <c r="BF1289"/>
      <c r="BG1289"/>
      <c r="BH1289"/>
      <c r="BI1289"/>
      <c r="BJ1289"/>
      <c r="BK1289"/>
      <c r="BL1289"/>
      <c r="BM1289"/>
      <c r="BN1289"/>
      <c r="BO1289"/>
      <c r="BP1289"/>
      <c r="BQ1289"/>
      <c r="BR1289"/>
      <c r="BY1289"/>
      <c r="BZ1289"/>
      <c r="CA1289"/>
      <c r="CB1289"/>
      <c r="CC1289"/>
      <c r="CD1289"/>
      <c r="CE1289"/>
      <c r="CF1289"/>
      <c r="CG1289"/>
      <c r="CH1289"/>
      <c r="CI1289"/>
      <c r="CJ1289"/>
      <c r="CK1289"/>
      <c r="CL1289"/>
      <c r="CM1289"/>
      <c r="CN1289"/>
      <c r="CO1289"/>
      <c r="CP1289"/>
      <c r="CQ1289"/>
      <c r="CR1289"/>
      <c r="CS1289"/>
      <c r="CT1289"/>
      <c r="CU1289"/>
      <c r="CV1289"/>
      <c r="CW1289"/>
      <c r="CX1289"/>
      <c r="CY1289"/>
    </row>
    <row r="1290" spans="50:103" ht="20.100000000000001" customHeight="1" x14ac:dyDescent="0.25">
      <c r="AX1290"/>
      <c r="AY1290"/>
      <c r="AZ1290"/>
      <c r="BA1290"/>
      <c r="BB1290"/>
      <c r="BC1290"/>
      <c r="BD1290"/>
      <c r="BE1290"/>
      <c r="BF1290"/>
      <c r="BG1290"/>
      <c r="BH1290"/>
      <c r="BI1290"/>
      <c r="BJ1290"/>
      <c r="BK1290"/>
      <c r="BL1290"/>
      <c r="BM1290"/>
      <c r="BN1290"/>
      <c r="BO1290"/>
      <c r="BP1290"/>
      <c r="BQ1290"/>
      <c r="BR1290"/>
      <c r="BY1290"/>
      <c r="BZ1290"/>
      <c r="CA1290"/>
      <c r="CB1290"/>
      <c r="CC1290"/>
      <c r="CD1290"/>
      <c r="CE1290"/>
      <c r="CF1290"/>
      <c r="CG1290"/>
      <c r="CH1290"/>
      <c r="CI1290"/>
      <c r="CJ1290"/>
      <c r="CK1290"/>
      <c r="CL1290"/>
      <c r="CM1290"/>
      <c r="CN1290"/>
      <c r="CO1290"/>
      <c r="CP1290"/>
      <c r="CQ1290"/>
      <c r="CR1290"/>
      <c r="CS1290"/>
      <c r="CT1290"/>
      <c r="CU1290"/>
      <c r="CV1290"/>
      <c r="CW1290"/>
      <c r="CX1290"/>
      <c r="CY1290"/>
    </row>
    <row r="1291" spans="50:103" ht="20.100000000000001" customHeight="1" x14ac:dyDescent="0.25">
      <c r="AX1291"/>
      <c r="AY1291"/>
      <c r="AZ1291"/>
      <c r="BA1291"/>
      <c r="BB1291"/>
      <c r="BC1291"/>
      <c r="BD1291"/>
      <c r="BE1291"/>
      <c r="BF1291"/>
      <c r="BG1291"/>
      <c r="BH1291"/>
      <c r="BI1291"/>
      <c r="BJ1291"/>
      <c r="BK1291"/>
      <c r="BL1291"/>
      <c r="BM1291"/>
      <c r="BN1291"/>
      <c r="BO1291"/>
      <c r="BP1291"/>
      <c r="BQ1291"/>
      <c r="BR1291"/>
      <c r="BY1291"/>
      <c r="BZ1291"/>
      <c r="CA1291"/>
      <c r="CB1291"/>
      <c r="CC1291"/>
      <c r="CD1291"/>
      <c r="CE1291"/>
      <c r="CF1291"/>
      <c r="CG1291"/>
      <c r="CH1291"/>
      <c r="CI1291"/>
      <c r="CJ1291"/>
      <c r="CK1291"/>
      <c r="CL1291"/>
      <c r="CM1291"/>
      <c r="CN1291"/>
      <c r="CO1291"/>
      <c r="CP1291"/>
      <c r="CQ1291"/>
      <c r="CR1291"/>
      <c r="CS1291"/>
      <c r="CT1291"/>
      <c r="CU1291"/>
      <c r="CV1291"/>
      <c r="CW1291"/>
      <c r="CX1291"/>
      <c r="CY1291"/>
    </row>
    <row r="1292" spans="50:103" ht="20.100000000000001" customHeight="1" x14ac:dyDescent="0.25">
      <c r="AX1292"/>
      <c r="AY1292"/>
      <c r="AZ1292"/>
      <c r="BA1292"/>
      <c r="BB1292"/>
      <c r="BC1292"/>
      <c r="BD1292"/>
      <c r="BE1292"/>
      <c r="BF1292"/>
      <c r="BG1292"/>
      <c r="BH1292"/>
      <c r="BI1292"/>
      <c r="BJ1292"/>
      <c r="BK1292"/>
      <c r="BL1292"/>
      <c r="BM1292"/>
      <c r="BN1292"/>
      <c r="BO1292"/>
      <c r="BP1292"/>
      <c r="BQ1292"/>
      <c r="BR1292"/>
      <c r="BY1292"/>
      <c r="BZ1292"/>
      <c r="CA1292"/>
      <c r="CB1292"/>
      <c r="CC1292"/>
      <c r="CD1292"/>
      <c r="CE1292"/>
      <c r="CF1292"/>
      <c r="CG1292"/>
      <c r="CH1292"/>
      <c r="CI1292"/>
      <c r="CJ1292"/>
      <c r="CK1292"/>
      <c r="CL1292"/>
      <c r="CM1292"/>
      <c r="CN1292"/>
      <c r="CO1292"/>
      <c r="CP1292"/>
      <c r="CQ1292"/>
      <c r="CR1292"/>
      <c r="CS1292"/>
      <c r="CT1292"/>
      <c r="CU1292"/>
      <c r="CV1292"/>
      <c r="CW1292"/>
      <c r="CX1292"/>
      <c r="CY1292"/>
    </row>
    <row r="1293" spans="50:103" ht="20.100000000000001" customHeight="1" x14ac:dyDescent="0.25">
      <c r="AX1293"/>
      <c r="AY1293"/>
      <c r="AZ1293"/>
      <c r="BA1293"/>
      <c r="BB1293"/>
      <c r="BC1293"/>
      <c r="BD1293"/>
      <c r="BE1293"/>
      <c r="BF1293"/>
      <c r="BG1293"/>
      <c r="BH1293"/>
      <c r="BI1293"/>
      <c r="BJ1293"/>
      <c r="BK1293"/>
      <c r="BL1293"/>
      <c r="BM1293"/>
      <c r="BN1293"/>
      <c r="BO1293"/>
      <c r="BP1293"/>
      <c r="BQ1293"/>
      <c r="BR1293"/>
      <c r="BY1293"/>
      <c r="BZ1293"/>
      <c r="CA1293"/>
      <c r="CB1293"/>
      <c r="CC1293"/>
      <c r="CD1293"/>
      <c r="CE1293"/>
      <c r="CF1293"/>
      <c r="CG1293"/>
      <c r="CH1293"/>
      <c r="CI1293"/>
      <c r="CJ1293"/>
      <c r="CK1293"/>
      <c r="CL1293"/>
      <c r="CM1293"/>
      <c r="CN1293"/>
      <c r="CO1293"/>
      <c r="CP1293"/>
      <c r="CQ1293"/>
      <c r="CR1293"/>
      <c r="CS1293"/>
      <c r="CT1293"/>
      <c r="CU1293"/>
      <c r="CV1293"/>
      <c r="CW1293"/>
      <c r="CX1293"/>
      <c r="CY1293"/>
    </row>
    <row r="1294" spans="50:103" ht="20.100000000000001" customHeight="1" x14ac:dyDescent="0.25">
      <c r="AX1294"/>
      <c r="AY1294"/>
      <c r="AZ1294"/>
      <c r="BA1294"/>
      <c r="BB1294"/>
      <c r="BC1294"/>
      <c r="BD1294"/>
      <c r="BE1294"/>
      <c r="BF1294"/>
      <c r="BG1294"/>
      <c r="BH1294"/>
      <c r="BI1294"/>
      <c r="BJ1294"/>
      <c r="BK1294"/>
      <c r="BL1294"/>
      <c r="BM1294"/>
      <c r="BN1294"/>
      <c r="BO1294"/>
      <c r="BP1294"/>
      <c r="BQ1294"/>
      <c r="BR1294"/>
      <c r="BY1294"/>
      <c r="BZ1294"/>
      <c r="CA1294"/>
      <c r="CB1294"/>
      <c r="CC1294"/>
      <c r="CD1294"/>
      <c r="CE1294"/>
      <c r="CF1294"/>
      <c r="CG1294"/>
      <c r="CH1294"/>
      <c r="CI1294"/>
      <c r="CJ1294"/>
      <c r="CK1294"/>
      <c r="CL1294"/>
      <c r="CM1294"/>
      <c r="CN1294"/>
      <c r="CO1294"/>
      <c r="CP1294"/>
      <c r="CQ1294"/>
      <c r="CR1294"/>
      <c r="CS1294"/>
      <c r="CT1294"/>
      <c r="CU1294"/>
      <c r="CV1294"/>
      <c r="CW1294"/>
      <c r="CX1294"/>
      <c r="CY1294"/>
    </row>
    <row r="1295" spans="50:103" ht="20.100000000000001" customHeight="1" x14ac:dyDescent="0.25">
      <c r="AX1295"/>
      <c r="AY1295"/>
      <c r="AZ1295"/>
      <c r="BA1295"/>
      <c r="BB1295"/>
      <c r="BC1295"/>
      <c r="BD1295"/>
      <c r="BE1295"/>
      <c r="BF1295"/>
      <c r="BG1295"/>
      <c r="BH1295"/>
      <c r="BI1295"/>
      <c r="BJ1295"/>
      <c r="BK1295"/>
      <c r="BL1295"/>
      <c r="BM1295"/>
      <c r="BN1295"/>
      <c r="BO1295"/>
      <c r="BP1295"/>
      <c r="BQ1295"/>
      <c r="BR1295"/>
      <c r="BY1295"/>
      <c r="BZ1295"/>
      <c r="CA1295"/>
      <c r="CB1295"/>
      <c r="CC1295"/>
      <c r="CD1295"/>
      <c r="CE1295"/>
      <c r="CF1295"/>
      <c r="CG1295"/>
      <c r="CH1295"/>
      <c r="CI1295"/>
      <c r="CJ1295"/>
      <c r="CK1295"/>
      <c r="CL1295"/>
      <c r="CM1295"/>
      <c r="CN1295"/>
      <c r="CO1295"/>
      <c r="CP1295"/>
      <c r="CQ1295"/>
      <c r="CR1295"/>
      <c r="CS1295"/>
      <c r="CT1295"/>
      <c r="CU1295"/>
      <c r="CV1295"/>
      <c r="CW1295"/>
      <c r="CX1295"/>
      <c r="CY1295"/>
    </row>
    <row r="1296" spans="50:103" ht="20.100000000000001" customHeight="1" x14ac:dyDescent="0.25">
      <c r="AX1296"/>
      <c r="AY1296"/>
      <c r="AZ1296"/>
      <c r="BA1296"/>
      <c r="BB1296"/>
      <c r="BC1296"/>
      <c r="BD1296"/>
      <c r="BE1296"/>
      <c r="BF1296"/>
      <c r="BG1296"/>
      <c r="BH1296"/>
      <c r="BI1296"/>
      <c r="BJ1296"/>
      <c r="BK1296"/>
      <c r="BL1296"/>
      <c r="BM1296"/>
      <c r="BN1296"/>
      <c r="BO1296"/>
      <c r="BP1296"/>
      <c r="BQ1296"/>
      <c r="BR1296"/>
      <c r="BY1296"/>
      <c r="BZ1296"/>
      <c r="CA1296"/>
      <c r="CB1296"/>
      <c r="CC1296"/>
      <c r="CD1296"/>
      <c r="CE1296"/>
      <c r="CF1296"/>
      <c r="CG1296"/>
      <c r="CH1296"/>
      <c r="CI1296"/>
      <c r="CJ1296"/>
      <c r="CK1296"/>
      <c r="CL1296"/>
      <c r="CM1296"/>
      <c r="CN1296"/>
      <c r="CO1296"/>
      <c r="CP1296"/>
      <c r="CQ1296"/>
      <c r="CR1296"/>
      <c r="CS1296"/>
      <c r="CT1296"/>
      <c r="CU1296"/>
      <c r="CV1296"/>
      <c r="CW1296"/>
      <c r="CX1296"/>
      <c r="CY1296"/>
    </row>
    <row r="1297" spans="50:103" ht="20.100000000000001" customHeight="1" x14ac:dyDescent="0.25">
      <c r="AX1297"/>
      <c r="AY1297"/>
      <c r="AZ1297"/>
      <c r="BA1297"/>
      <c r="BB1297"/>
      <c r="BC1297"/>
      <c r="BD1297"/>
      <c r="BE1297"/>
      <c r="BF1297"/>
      <c r="BG1297"/>
      <c r="BH1297"/>
      <c r="BI1297"/>
      <c r="BJ1297"/>
      <c r="BK1297"/>
      <c r="BL1297"/>
      <c r="BM1297"/>
      <c r="BN1297"/>
      <c r="BO1297"/>
      <c r="BP1297"/>
      <c r="BQ1297"/>
      <c r="BR1297"/>
      <c r="BY1297"/>
      <c r="BZ1297"/>
      <c r="CA1297"/>
      <c r="CB1297"/>
      <c r="CC1297"/>
      <c r="CD1297"/>
      <c r="CE1297"/>
      <c r="CF1297"/>
      <c r="CG1297"/>
      <c r="CH1297"/>
      <c r="CI1297"/>
      <c r="CJ1297"/>
      <c r="CK1297"/>
      <c r="CL1297"/>
      <c r="CM1297"/>
      <c r="CN1297"/>
      <c r="CO1297"/>
      <c r="CP1297"/>
      <c r="CQ1297"/>
      <c r="CR1297"/>
      <c r="CS1297"/>
      <c r="CT1297"/>
      <c r="CU1297"/>
      <c r="CV1297"/>
      <c r="CW1297"/>
      <c r="CX1297"/>
      <c r="CY1297"/>
    </row>
    <row r="1298" spans="50:103" ht="20.100000000000001" customHeight="1" x14ac:dyDescent="0.25">
      <c r="AX1298"/>
      <c r="AY1298"/>
      <c r="AZ1298"/>
      <c r="BA1298"/>
      <c r="BB1298"/>
      <c r="BC1298"/>
      <c r="BD1298"/>
      <c r="BE1298"/>
      <c r="BF1298"/>
      <c r="BG1298"/>
      <c r="BH1298"/>
      <c r="BI1298"/>
      <c r="BJ1298"/>
      <c r="BK1298"/>
      <c r="BL1298"/>
      <c r="BM1298"/>
      <c r="BN1298"/>
      <c r="BO1298"/>
      <c r="BP1298"/>
      <c r="BQ1298"/>
      <c r="BR1298"/>
      <c r="BY1298"/>
      <c r="BZ1298"/>
      <c r="CA1298"/>
      <c r="CB1298"/>
      <c r="CC1298"/>
      <c r="CD1298"/>
      <c r="CE1298"/>
      <c r="CF1298"/>
      <c r="CG1298"/>
      <c r="CH1298"/>
      <c r="CI1298"/>
      <c r="CJ1298"/>
      <c r="CK1298"/>
      <c r="CL1298"/>
      <c r="CM1298"/>
      <c r="CN1298"/>
      <c r="CO1298"/>
      <c r="CP1298"/>
      <c r="CQ1298"/>
      <c r="CR1298"/>
      <c r="CS1298"/>
      <c r="CT1298"/>
      <c r="CU1298"/>
      <c r="CV1298"/>
      <c r="CW1298"/>
      <c r="CX1298"/>
      <c r="CY1298"/>
    </row>
    <row r="1299" spans="50:103" ht="20.100000000000001" customHeight="1" x14ac:dyDescent="0.25">
      <c r="AX1299"/>
      <c r="AY1299"/>
      <c r="AZ1299"/>
      <c r="BA1299"/>
      <c r="BB1299"/>
      <c r="BC1299"/>
      <c r="BD1299"/>
      <c r="BE1299"/>
      <c r="BF1299"/>
      <c r="BG1299"/>
      <c r="BH1299"/>
      <c r="BI1299"/>
      <c r="BJ1299"/>
      <c r="BK1299"/>
      <c r="BL1299"/>
      <c r="BM1299"/>
      <c r="BN1299"/>
      <c r="BO1299"/>
      <c r="BP1299"/>
      <c r="BQ1299"/>
      <c r="BR1299"/>
      <c r="BY1299"/>
      <c r="BZ1299"/>
      <c r="CA1299"/>
      <c r="CB1299"/>
      <c r="CC1299"/>
      <c r="CD1299"/>
      <c r="CE1299"/>
      <c r="CF1299"/>
      <c r="CG1299"/>
      <c r="CH1299"/>
      <c r="CI1299"/>
      <c r="CJ1299"/>
      <c r="CK1299"/>
      <c r="CL1299"/>
      <c r="CM1299"/>
      <c r="CN1299"/>
      <c r="CO1299"/>
      <c r="CP1299"/>
      <c r="CQ1299"/>
      <c r="CR1299"/>
      <c r="CS1299"/>
      <c r="CT1299"/>
      <c r="CU1299"/>
      <c r="CV1299"/>
      <c r="CW1299"/>
      <c r="CX1299"/>
      <c r="CY1299"/>
    </row>
    <row r="1300" spans="50:103" ht="20.100000000000001" customHeight="1" x14ac:dyDescent="0.25">
      <c r="AX1300"/>
      <c r="AY1300"/>
      <c r="AZ1300"/>
      <c r="BA1300"/>
      <c r="BB1300"/>
      <c r="BC1300"/>
      <c r="BD1300"/>
      <c r="BE1300"/>
      <c r="BF1300"/>
      <c r="BG1300"/>
      <c r="BH1300"/>
      <c r="BI1300"/>
      <c r="BJ1300"/>
      <c r="BK1300"/>
      <c r="BL1300"/>
      <c r="BM1300"/>
      <c r="BN1300"/>
      <c r="BO1300"/>
      <c r="BP1300"/>
      <c r="BQ1300"/>
      <c r="BR1300"/>
      <c r="BY1300"/>
      <c r="BZ1300"/>
      <c r="CA1300"/>
      <c r="CB1300"/>
      <c r="CC1300"/>
      <c r="CD1300"/>
      <c r="CE1300"/>
      <c r="CF1300"/>
      <c r="CG1300"/>
      <c r="CH1300"/>
      <c r="CI1300"/>
      <c r="CJ1300"/>
      <c r="CK1300"/>
      <c r="CL1300"/>
      <c r="CM1300"/>
      <c r="CN1300"/>
      <c r="CO1300"/>
      <c r="CP1300"/>
      <c r="CQ1300"/>
      <c r="CR1300"/>
      <c r="CS1300"/>
      <c r="CT1300"/>
      <c r="CU1300"/>
      <c r="CV1300"/>
      <c r="CW1300"/>
      <c r="CX1300"/>
      <c r="CY1300"/>
    </row>
    <row r="1301" spans="50:103" ht="20.100000000000001" customHeight="1" x14ac:dyDescent="0.25">
      <c r="AX1301"/>
      <c r="AY1301"/>
      <c r="AZ1301"/>
      <c r="BA1301"/>
      <c r="BB1301"/>
      <c r="BC1301"/>
      <c r="BD1301"/>
      <c r="BE1301"/>
      <c r="BF1301"/>
      <c r="BG1301"/>
      <c r="BH1301"/>
      <c r="BI1301"/>
      <c r="BJ1301"/>
      <c r="BK1301"/>
      <c r="BL1301"/>
      <c r="BM1301"/>
      <c r="BN1301"/>
      <c r="BO1301"/>
      <c r="BP1301"/>
      <c r="BQ1301"/>
      <c r="BR1301"/>
      <c r="BY1301"/>
      <c r="BZ1301"/>
      <c r="CA1301"/>
      <c r="CB1301"/>
      <c r="CC1301"/>
      <c r="CD1301"/>
      <c r="CE1301"/>
      <c r="CF1301"/>
      <c r="CG1301"/>
      <c r="CH1301"/>
      <c r="CI1301"/>
      <c r="CJ1301"/>
      <c r="CK1301"/>
      <c r="CL1301"/>
      <c r="CM1301"/>
      <c r="CN1301"/>
      <c r="CO1301"/>
      <c r="CP1301"/>
      <c r="CQ1301"/>
      <c r="CR1301"/>
      <c r="CS1301"/>
      <c r="CT1301"/>
      <c r="CU1301"/>
      <c r="CV1301"/>
      <c r="CW1301"/>
      <c r="CX1301"/>
      <c r="CY1301"/>
    </row>
    <row r="1302" spans="50:103" ht="20.100000000000001" customHeight="1" x14ac:dyDescent="0.25">
      <c r="AX1302"/>
      <c r="AY1302"/>
      <c r="AZ1302"/>
      <c r="BA1302"/>
      <c r="BB1302"/>
      <c r="BC1302"/>
      <c r="BD1302"/>
      <c r="BE1302"/>
      <c r="BF1302"/>
      <c r="BG1302"/>
      <c r="BH1302"/>
      <c r="BI1302"/>
      <c r="BJ1302"/>
      <c r="BK1302"/>
      <c r="BL1302"/>
      <c r="BM1302"/>
      <c r="BN1302"/>
      <c r="BO1302"/>
      <c r="BP1302"/>
      <c r="BQ1302"/>
      <c r="BR1302"/>
      <c r="BY1302"/>
      <c r="BZ1302"/>
      <c r="CA1302"/>
      <c r="CB1302"/>
      <c r="CC1302"/>
      <c r="CD1302"/>
      <c r="CE1302"/>
      <c r="CF1302"/>
      <c r="CG1302"/>
      <c r="CH1302"/>
      <c r="CI1302"/>
      <c r="CJ1302"/>
      <c r="CK1302"/>
      <c r="CL1302"/>
      <c r="CM1302"/>
      <c r="CN1302"/>
      <c r="CO1302"/>
      <c r="CP1302"/>
      <c r="CQ1302"/>
      <c r="CR1302"/>
      <c r="CS1302"/>
      <c r="CT1302"/>
      <c r="CU1302"/>
      <c r="CV1302"/>
      <c r="CW1302"/>
      <c r="CX1302"/>
      <c r="CY1302"/>
    </row>
    <row r="1303" spans="50:103" ht="20.100000000000001" customHeight="1" x14ac:dyDescent="0.25">
      <c r="AX1303"/>
      <c r="AY1303"/>
      <c r="AZ1303"/>
      <c r="BA1303"/>
      <c r="BB1303"/>
      <c r="BC1303"/>
      <c r="BD1303"/>
      <c r="BE1303"/>
      <c r="BF1303"/>
      <c r="BG1303"/>
      <c r="BH1303"/>
      <c r="BI1303"/>
      <c r="BJ1303"/>
      <c r="BK1303"/>
      <c r="BL1303"/>
      <c r="BM1303"/>
      <c r="BN1303"/>
      <c r="BO1303"/>
      <c r="BP1303"/>
      <c r="BQ1303"/>
      <c r="BR1303"/>
      <c r="BY1303"/>
      <c r="BZ1303"/>
      <c r="CA1303"/>
      <c r="CB1303"/>
      <c r="CC1303"/>
      <c r="CD1303"/>
      <c r="CE1303"/>
      <c r="CF1303"/>
      <c r="CG1303"/>
      <c r="CH1303"/>
      <c r="CI1303"/>
      <c r="CJ1303"/>
      <c r="CK1303"/>
      <c r="CL1303"/>
      <c r="CM1303"/>
      <c r="CN1303"/>
      <c r="CO1303"/>
      <c r="CP1303"/>
      <c r="CQ1303"/>
      <c r="CR1303"/>
      <c r="CS1303"/>
      <c r="CT1303"/>
      <c r="CU1303"/>
      <c r="CV1303"/>
      <c r="CW1303"/>
      <c r="CX1303"/>
      <c r="CY1303"/>
    </row>
    <row r="1304" spans="50:103" ht="20.100000000000001" customHeight="1" x14ac:dyDescent="0.25">
      <c r="AX1304"/>
      <c r="AY1304"/>
      <c r="AZ1304"/>
      <c r="BA1304"/>
      <c r="BB1304"/>
      <c r="BC1304"/>
      <c r="BD1304"/>
      <c r="BE1304"/>
      <c r="BF1304"/>
      <c r="BG1304"/>
      <c r="BH1304"/>
      <c r="BI1304"/>
      <c r="BJ1304"/>
      <c r="BK1304"/>
      <c r="BL1304"/>
      <c r="BM1304"/>
      <c r="BN1304"/>
      <c r="BO1304"/>
      <c r="BP1304"/>
      <c r="BQ1304"/>
      <c r="BR1304"/>
      <c r="BY1304"/>
      <c r="BZ1304"/>
      <c r="CA1304"/>
      <c r="CB1304"/>
      <c r="CC1304"/>
      <c r="CD1304"/>
      <c r="CE1304"/>
      <c r="CF1304"/>
      <c r="CG1304"/>
      <c r="CH1304"/>
      <c r="CI1304"/>
      <c r="CJ1304"/>
      <c r="CK1304"/>
      <c r="CL1304"/>
      <c r="CM1304"/>
      <c r="CN1304"/>
      <c r="CO1304"/>
      <c r="CP1304"/>
      <c r="CQ1304"/>
      <c r="CR1304"/>
      <c r="CS1304"/>
      <c r="CT1304"/>
      <c r="CU1304"/>
      <c r="CV1304"/>
      <c r="CW1304"/>
      <c r="CX1304"/>
      <c r="CY1304"/>
    </row>
    <row r="1305" spans="50:103" ht="20.100000000000001" customHeight="1" x14ac:dyDescent="0.25">
      <c r="AX1305"/>
      <c r="AY1305"/>
      <c r="AZ1305"/>
      <c r="BA1305"/>
      <c r="BB1305"/>
      <c r="BC1305"/>
      <c r="BD1305"/>
      <c r="BE1305"/>
      <c r="BF1305"/>
      <c r="BG1305"/>
      <c r="BH1305"/>
      <c r="BI1305"/>
      <c r="BJ1305"/>
      <c r="BK1305"/>
      <c r="BL1305"/>
      <c r="BM1305"/>
      <c r="BN1305"/>
      <c r="BO1305"/>
      <c r="BP1305"/>
      <c r="BQ1305"/>
      <c r="BR1305"/>
      <c r="BY1305"/>
      <c r="BZ1305"/>
      <c r="CA1305"/>
      <c r="CB1305"/>
      <c r="CC1305"/>
      <c r="CD1305"/>
      <c r="CE1305"/>
      <c r="CF1305"/>
      <c r="CG1305"/>
      <c r="CH1305"/>
      <c r="CI1305"/>
      <c r="CJ1305"/>
      <c r="CK1305"/>
      <c r="CL1305"/>
      <c r="CM1305"/>
      <c r="CN1305"/>
      <c r="CO1305"/>
      <c r="CP1305"/>
      <c r="CQ1305"/>
      <c r="CR1305"/>
      <c r="CS1305"/>
      <c r="CT1305"/>
      <c r="CU1305"/>
      <c r="CV1305"/>
      <c r="CW1305"/>
      <c r="CX1305"/>
      <c r="CY1305"/>
    </row>
    <row r="1306" spans="50:103" ht="20.100000000000001" customHeight="1" x14ac:dyDescent="0.25">
      <c r="AX1306"/>
      <c r="AY1306"/>
      <c r="AZ1306"/>
      <c r="BA1306"/>
      <c r="BB1306"/>
      <c r="BC1306"/>
      <c r="BD1306"/>
      <c r="BE1306"/>
      <c r="BF1306"/>
      <c r="BG1306"/>
      <c r="BH1306"/>
      <c r="BI1306"/>
      <c r="BJ1306"/>
      <c r="BK1306"/>
      <c r="BL1306"/>
      <c r="BM1306"/>
      <c r="BN1306"/>
      <c r="BO1306"/>
      <c r="BP1306"/>
      <c r="BQ1306"/>
      <c r="BR1306"/>
      <c r="BY1306"/>
      <c r="BZ1306"/>
      <c r="CA1306"/>
      <c r="CB1306"/>
      <c r="CC1306"/>
      <c r="CD1306"/>
      <c r="CE1306"/>
      <c r="CF1306"/>
      <c r="CG1306"/>
      <c r="CH1306"/>
      <c r="CI1306"/>
      <c r="CJ1306"/>
      <c r="CK1306"/>
      <c r="CL1306"/>
      <c r="CM1306"/>
      <c r="CN1306"/>
      <c r="CO1306"/>
      <c r="CP1306"/>
      <c r="CQ1306"/>
      <c r="CR1306"/>
      <c r="CS1306"/>
      <c r="CT1306"/>
      <c r="CU1306"/>
      <c r="CV1306"/>
      <c r="CW1306"/>
      <c r="CX1306"/>
      <c r="CY1306"/>
    </row>
    <row r="1307" spans="50:103" ht="20.100000000000001" customHeight="1" x14ac:dyDescent="0.25">
      <c r="AX1307"/>
      <c r="AY1307"/>
      <c r="AZ1307"/>
      <c r="BA1307"/>
      <c r="BB1307"/>
      <c r="BC1307"/>
      <c r="BD1307"/>
      <c r="BE1307"/>
      <c r="BF1307"/>
      <c r="BG1307"/>
      <c r="BH1307"/>
      <c r="BI1307"/>
      <c r="BJ1307"/>
      <c r="BK1307"/>
      <c r="BL1307"/>
      <c r="BM1307"/>
      <c r="BN1307"/>
      <c r="BO1307"/>
      <c r="BP1307"/>
      <c r="BQ1307"/>
      <c r="BR1307"/>
      <c r="BY1307"/>
      <c r="BZ1307"/>
      <c r="CA1307"/>
      <c r="CB1307"/>
      <c r="CC1307"/>
      <c r="CD1307"/>
      <c r="CE1307"/>
      <c r="CF1307"/>
      <c r="CG1307"/>
      <c r="CH1307"/>
      <c r="CI1307"/>
      <c r="CJ1307"/>
      <c r="CK1307"/>
      <c r="CL1307"/>
      <c r="CM1307"/>
      <c r="CN1307"/>
      <c r="CO1307"/>
      <c r="CP1307"/>
      <c r="CQ1307"/>
      <c r="CR1307"/>
      <c r="CS1307"/>
      <c r="CT1307"/>
      <c r="CU1307"/>
      <c r="CV1307"/>
      <c r="CW1307"/>
      <c r="CX1307"/>
      <c r="CY1307"/>
    </row>
    <row r="1308" spans="50:103" ht="20.100000000000001" customHeight="1" x14ac:dyDescent="0.25">
      <c r="AX1308"/>
      <c r="AY1308"/>
      <c r="AZ1308"/>
      <c r="BA1308"/>
      <c r="BB1308"/>
      <c r="BC1308"/>
      <c r="BD1308"/>
      <c r="BE1308"/>
      <c r="BF1308"/>
      <c r="BG1308"/>
      <c r="BH1308"/>
      <c r="BI1308"/>
      <c r="BJ1308"/>
      <c r="BK1308"/>
      <c r="BL1308"/>
      <c r="BM1308"/>
      <c r="BN1308"/>
      <c r="BO1308"/>
      <c r="BP1308"/>
      <c r="BQ1308"/>
      <c r="BR1308"/>
      <c r="BY1308"/>
      <c r="BZ1308"/>
      <c r="CA1308"/>
      <c r="CB1308"/>
      <c r="CC1308"/>
      <c r="CD1308"/>
      <c r="CE1308"/>
      <c r="CF1308"/>
      <c r="CG1308"/>
      <c r="CH1308"/>
      <c r="CI1308"/>
      <c r="CJ1308"/>
      <c r="CK1308"/>
      <c r="CL1308"/>
      <c r="CM1308"/>
      <c r="CN1308"/>
      <c r="CO1308"/>
      <c r="CP1308"/>
      <c r="CQ1308"/>
      <c r="CR1308"/>
      <c r="CS1308"/>
      <c r="CT1308"/>
      <c r="CU1308"/>
      <c r="CV1308"/>
      <c r="CW1308"/>
      <c r="CX1308"/>
      <c r="CY1308"/>
    </row>
    <row r="1309" spans="50:103" ht="20.100000000000001" customHeight="1" x14ac:dyDescent="0.25">
      <c r="AX1309"/>
      <c r="AY1309"/>
      <c r="AZ1309"/>
      <c r="BA1309"/>
      <c r="BB1309"/>
      <c r="BC1309"/>
      <c r="BD1309"/>
      <c r="BE1309"/>
      <c r="BF1309"/>
      <c r="BG1309"/>
      <c r="BH1309"/>
      <c r="BI1309"/>
      <c r="BJ1309"/>
      <c r="BK1309"/>
      <c r="BL1309"/>
      <c r="BM1309"/>
      <c r="BN1309"/>
      <c r="BO1309"/>
      <c r="BP1309"/>
      <c r="BQ1309"/>
      <c r="BR1309"/>
      <c r="BY1309"/>
      <c r="BZ1309"/>
      <c r="CA1309"/>
      <c r="CB1309"/>
      <c r="CC1309"/>
      <c r="CD1309"/>
      <c r="CE1309"/>
      <c r="CF1309"/>
      <c r="CG1309"/>
      <c r="CH1309"/>
      <c r="CI1309"/>
      <c r="CJ1309"/>
      <c r="CK1309"/>
      <c r="CL1309"/>
      <c r="CM1309"/>
      <c r="CN1309"/>
      <c r="CO1309"/>
      <c r="CP1309"/>
      <c r="CQ1309"/>
      <c r="CR1309"/>
      <c r="CS1309"/>
      <c r="CT1309"/>
      <c r="CU1309"/>
      <c r="CV1309"/>
      <c r="CW1309"/>
      <c r="CX1309"/>
      <c r="CY1309"/>
    </row>
    <row r="1310" spans="50:103" ht="20.100000000000001" customHeight="1" x14ac:dyDescent="0.25">
      <c r="AX1310"/>
      <c r="AY1310"/>
      <c r="AZ1310"/>
      <c r="BA1310"/>
      <c r="BB1310"/>
      <c r="BC1310"/>
      <c r="BD1310"/>
      <c r="BE1310"/>
      <c r="BF1310"/>
      <c r="BG1310"/>
      <c r="BH1310"/>
      <c r="BI1310"/>
      <c r="BJ1310"/>
      <c r="BK1310"/>
      <c r="BL1310"/>
      <c r="BM1310"/>
      <c r="BN1310"/>
      <c r="BO1310"/>
      <c r="BP1310"/>
      <c r="BQ1310"/>
      <c r="BR1310"/>
      <c r="BY1310"/>
      <c r="BZ1310"/>
      <c r="CA1310"/>
      <c r="CB1310"/>
      <c r="CC1310"/>
      <c r="CD1310"/>
      <c r="CE1310"/>
      <c r="CF1310"/>
      <c r="CG1310"/>
      <c r="CH1310"/>
      <c r="CI1310"/>
      <c r="CJ1310"/>
      <c r="CK1310"/>
      <c r="CL1310"/>
      <c r="CM1310"/>
      <c r="CN1310"/>
      <c r="CO1310"/>
      <c r="CP1310"/>
      <c r="CQ1310"/>
      <c r="CR1310"/>
      <c r="CS1310"/>
      <c r="CT1310"/>
      <c r="CU1310"/>
      <c r="CV1310"/>
      <c r="CW1310"/>
      <c r="CX1310"/>
      <c r="CY1310"/>
    </row>
    <row r="1311" spans="50:103" ht="20.100000000000001" customHeight="1" x14ac:dyDescent="0.25">
      <c r="AX1311"/>
      <c r="AY1311"/>
      <c r="AZ1311"/>
      <c r="BA1311"/>
      <c r="BB1311"/>
      <c r="BC1311"/>
      <c r="BD1311"/>
      <c r="BE1311"/>
      <c r="BF1311"/>
      <c r="BG1311"/>
      <c r="BH1311"/>
      <c r="BI1311"/>
      <c r="BJ1311"/>
      <c r="BK1311"/>
      <c r="BL1311"/>
      <c r="BM1311"/>
      <c r="BN1311"/>
      <c r="BO1311"/>
      <c r="BP1311"/>
      <c r="BQ1311"/>
      <c r="BR1311"/>
      <c r="BY1311"/>
      <c r="BZ1311"/>
      <c r="CA1311"/>
      <c r="CB1311"/>
      <c r="CC1311"/>
      <c r="CD1311"/>
      <c r="CE1311"/>
      <c r="CF1311"/>
      <c r="CG1311"/>
      <c r="CH1311"/>
      <c r="CI1311"/>
      <c r="CJ1311"/>
      <c r="CK1311"/>
      <c r="CL1311"/>
      <c r="CM1311"/>
      <c r="CN1311"/>
      <c r="CO1311"/>
      <c r="CP1311"/>
      <c r="CQ1311"/>
      <c r="CR1311"/>
      <c r="CS1311"/>
      <c r="CT1311"/>
      <c r="CU1311"/>
      <c r="CV1311"/>
      <c r="CW1311"/>
      <c r="CX1311"/>
      <c r="CY1311"/>
    </row>
    <row r="1312" spans="50:103" ht="20.100000000000001" customHeight="1" x14ac:dyDescent="0.25">
      <c r="AX1312"/>
      <c r="AY1312"/>
      <c r="AZ1312"/>
      <c r="BA1312"/>
      <c r="BB1312"/>
      <c r="BC1312"/>
      <c r="BD1312"/>
      <c r="BE1312"/>
      <c r="BF1312"/>
      <c r="BG1312"/>
      <c r="BH1312"/>
      <c r="BI1312"/>
      <c r="BJ1312"/>
      <c r="BK1312"/>
      <c r="BL1312"/>
      <c r="BM1312"/>
      <c r="BN1312"/>
      <c r="BO1312"/>
      <c r="BP1312"/>
      <c r="BQ1312"/>
      <c r="BR1312"/>
      <c r="BY1312"/>
      <c r="BZ1312"/>
      <c r="CA1312"/>
      <c r="CB1312"/>
      <c r="CC1312"/>
      <c r="CD1312"/>
      <c r="CE1312"/>
      <c r="CF1312"/>
      <c r="CG1312"/>
      <c r="CH1312"/>
      <c r="CI1312"/>
      <c r="CJ1312"/>
      <c r="CK1312"/>
      <c r="CL1312"/>
      <c r="CM1312"/>
      <c r="CN1312"/>
      <c r="CO1312"/>
      <c r="CP1312"/>
      <c r="CQ1312"/>
      <c r="CR1312"/>
      <c r="CS1312"/>
      <c r="CT1312"/>
      <c r="CU1312"/>
      <c r="CV1312"/>
      <c r="CW1312"/>
      <c r="CX1312"/>
      <c r="CY1312"/>
    </row>
    <row r="1313" spans="50:103" ht="20.100000000000001" customHeight="1" x14ac:dyDescent="0.25">
      <c r="AX1313"/>
      <c r="AY1313"/>
      <c r="AZ1313"/>
      <c r="BA1313"/>
      <c r="BB1313"/>
      <c r="BC1313"/>
      <c r="BD1313"/>
      <c r="BE1313"/>
      <c r="BF1313"/>
      <c r="BG1313"/>
      <c r="BH1313"/>
      <c r="BI1313"/>
      <c r="BJ1313"/>
      <c r="BK1313"/>
      <c r="BL1313"/>
      <c r="BM1313"/>
      <c r="BN1313"/>
      <c r="BO1313"/>
      <c r="BP1313"/>
      <c r="BQ1313"/>
      <c r="BR1313"/>
      <c r="BY1313"/>
      <c r="BZ1313"/>
      <c r="CA1313"/>
      <c r="CB1313"/>
      <c r="CC1313"/>
      <c r="CD1313"/>
      <c r="CE1313"/>
      <c r="CF1313"/>
      <c r="CG1313"/>
      <c r="CH1313"/>
      <c r="CI1313"/>
      <c r="CJ1313"/>
      <c r="CK1313"/>
      <c r="CL1313"/>
      <c r="CM1313"/>
      <c r="CN1313"/>
      <c r="CO1313"/>
      <c r="CP1313"/>
      <c r="CQ1313"/>
      <c r="CR1313"/>
      <c r="CS1313"/>
      <c r="CT1313"/>
      <c r="CU1313"/>
      <c r="CV1313"/>
      <c r="CW1313"/>
      <c r="CX1313"/>
      <c r="CY1313"/>
    </row>
    <row r="1314" spans="50:103" ht="20.100000000000001" customHeight="1" x14ac:dyDescent="0.25">
      <c r="AX1314"/>
      <c r="AY1314"/>
      <c r="AZ1314"/>
      <c r="BA1314"/>
      <c r="BB1314"/>
      <c r="BC1314"/>
      <c r="BD1314"/>
      <c r="BE1314"/>
      <c r="BF1314"/>
      <c r="BG1314"/>
      <c r="BH1314"/>
      <c r="BI1314"/>
      <c r="BJ1314"/>
      <c r="BK1314"/>
      <c r="BL1314"/>
      <c r="BM1314"/>
      <c r="BN1314"/>
      <c r="BO1314"/>
      <c r="BP1314"/>
      <c r="BQ1314"/>
      <c r="BR1314"/>
      <c r="BY1314"/>
      <c r="BZ1314"/>
      <c r="CA1314"/>
      <c r="CB1314"/>
      <c r="CC1314"/>
      <c r="CD1314"/>
      <c r="CE1314"/>
      <c r="CF1314"/>
      <c r="CG1314"/>
      <c r="CH1314"/>
      <c r="CI1314"/>
      <c r="CJ1314"/>
      <c r="CK1314"/>
      <c r="CL1314"/>
      <c r="CM1314"/>
      <c r="CN1314"/>
      <c r="CO1314"/>
      <c r="CP1314"/>
      <c r="CQ1314"/>
      <c r="CR1314"/>
      <c r="CS1314"/>
      <c r="CT1314"/>
      <c r="CU1314"/>
      <c r="CV1314"/>
      <c r="CW1314"/>
      <c r="CX1314"/>
      <c r="CY1314"/>
    </row>
    <row r="1315" spans="50:103" ht="20.100000000000001" customHeight="1" x14ac:dyDescent="0.25">
      <c r="AX1315"/>
      <c r="AY1315"/>
      <c r="AZ1315"/>
      <c r="BA1315"/>
      <c r="BB1315"/>
      <c r="BC1315"/>
      <c r="BD1315"/>
      <c r="BE1315"/>
      <c r="BF1315"/>
      <c r="BG1315"/>
      <c r="BH1315"/>
      <c r="BI1315"/>
      <c r="BJ1315"/>
      <c r="BK1315"/>
      <c r="BL1315"/>
      <c r="BM1315"/>
      <c r="BN1315"/>
      <c r="BO1315"/>
      <c r="BP1315"/>
      <c r="BQ1315"/>
      <c r="BR1315"/>
      <c r="BY1315"/>
      <c r="BZ1315"/>
      <c r="CA1315"/>
      <c r="CB1315"/>
      <c r="CC1315"/>
      <c r="CD1315"/>
      <c r="CE1315"/>
      <c r="CF1315"/>
      <c r="CG1315"/>
      <c r="CH1315"/>
      <c r="CI1315"/>
      <c r="CJ1315"/>
      <c r="CK1315"/>
      <c r="CL1315"/>
      <c r="CM1315"/>
      <c r="CN1315"/>
      <c r="CO1315"/>
      <c r="CP1315"/>
      <c r="CQ1315"/>
      <c r="CR1315"/>
      <c r="CS1315"/>
      <c r="CT1315"/>
      <c r="CU1315"/>
      <c r="CV1315"/>
      <c r="CW1315"/>
      <c r="CX1315"/>
      <c r="CY1315"/>
    </row>
    <row r="1316" spans="50:103" ht="20.100000000000001" customHeight="1" x14ac:dyDescent="0.25">
      <c r="AX1316"/>
      <c r="AY1316"/>
      <c r="AZ1316"/>
      <c r="BA1316"/>
      <c r="BB1316"/>
      <c r="BC1316"/>
      <c r="BD1316"/>
      <c r="BE1316"/>
      <c r="BF1316"/>
      <c r="BG1316"/>
      <c r="BH1316"/>
      <c r="BI1316"/>
      <c r="BJ1316"/>
      <c r="BK1316"/>
      <c r="BL1316"/>
      <c r="BM1316"/>
      <c r="BN1316"/>
      <c r="BO1316"/>
      <c r="BP1316"/>
      <c r="BQ1316"/>
      <c r="BR1316"/>
      <c r="BY1316"/>
      <c r="BZ1316"/>
      <c r="CA1316"/>
      <c r="CB1316"/>
      <c r="CC1316"/>
      <c r="CD1316"/>
      <c r="CE1316"/>
      <c r="CF1316"/>
      <c r="CG1316"/>
      <c r="CH1316"/>
      <c r="CI1316"/>
      <c r="CJ1316"/>
      <c r="CK1316"/>
      <c r="CL1316"/>
      <c r="CM1316"/>
      <c r="CN1316"/>
      <c r="CO1316"/>
      <c r="CP1316"/>
      <c r="CQ1316"/>
      <c r="CR1316"/>
      <c r="CS1316"/>
      <c r="CT1316"/>
      <c r="CU1316"/>
      <c r="CV1316"/>
      <c r="CW1316"/>
      <c r="CX1316"/>
      <c r="CY1316"/>
    </row>
    <row r="1317" spans="50:103" ht="20.100000000000001" customHeight="1" x14ac:dyDescent="0.25">
      <c r="AX1317"/>
      <c r="AY1317"/>
      <c r="AZ1317"/>
      <c r="BA1317"/>
      <c r="BB1317"/>
      <c r="BC1317"/>
      <c r="BD1317"/>
      <c r="BE1317"/>
      <c r="BF1317"/>
      <c r="BG1317"/>
      <c r="BH1317"/>
      <c r="BI1317"/>
      <c r="BJ1317"/>
      <c r="BK1317"/>
      <c r="BL1317"/>
      <c r="BM1317"/>
      <c r="BN1317"/>
      <c r="BO1317"/>
      <c r="BP1317"/>
      <c r="BQ1317"/>
      <c r="BR1317"/>
      <c r="BY1317"/>
      <c r="BZ1317"/>
      <c r="CA1317"/>
      <c r="CB1317"/>
      <c r="CC1317"/>
      <c r="CD1317"/>
      <c r="CE1317"/>
      <c r="CF1317"/>
      <c r="CG1317"/>
      <c r="CH1317"/>
      <c r="CI1317"/>
      <c r="CJ1317"/>
      <c r="CK1317"/>
      <c r="CL1317"/>
      <c r="CM1317"/>
      <c r="CN1317"/>
      <c r="CO1317"/>
      <c r="CP1317"/>
      <c r="CQ1317"/>
      <c r="CR1317"/>
      <c r="CS1317"/>
      <c r="CT1317"/>
      <c r="CU1317"/>
      <c r="CV1317"/>
      <c r="CW1317"/>
      <c r="CX1317"/>
      <c r="CY1317"/>
    </row>
    <row r="1318" spans="50:103" ht="20.100000000000001" customHeight="1" x14ac:dyDescent="0.25">
      <c r="AX1318"/>
      <c r="AY1318"/>
      <c r="AZ1318"/>
      <c r="BA1318"/>
      <c r="BB1318"/>
      <c r="BC1318"/>
      <c r="BD1318"/>
      <c r="BE1318"/>
      <c r="BF1318"/>
      <c r="BG1318"/>
      <c r="BH1318"/>
      <c r="BI1318"/>
      <c r="BJ1318"/>
      <c r="BK1318"/>
      <c r="BL1318"/>
      <c r="BM1318"/>
      <c r="BN1318"/>
      <c r="BO1318"/>
      <c r="BP1318"/>
      <c r="BQ1318"/>
      <c r="BR1318"/>
      <c r="BY1318"/>
      <c r="BZ1318"/>
      <c r="CA1318"/>
      <c r="CB1318"/>
      <c r="CC1318"/>
      <c r="CD1318"/>
      <c r="CE1318"/>
      <c r="CF1318"/>
      <c r="CG1318"/>
      <c r="CH1318"/>
      <c r="CI1318"/>
      <c r="CJ1318"/>
      <c r="CK1318"/>
      <c r="CL1318"/>
      <c r="CM1318"/>
      <c r="CN1318"/>
      <c r="CO1318"/>
      <c r="CP1318"/>
      <c r="CQ1318"/>
      <c r="CR1318"/>
      <c r="CS1318"/>
      <c r="CT1318"/>
      <c r="CU1318"/>
      <c r="CV1318"/>
      <c r="CW1318"/>
      <c r="CX1318"/>
      <c r="CY1318"/>
    </row>
    <row r="1319" spans="50:103" ht="20.100000000000001" customHeight="1" x14ac:dyDescent="0.25">
      <c r="AX1319"/>
      <c r="AY1319"/>
      <c r="AZ1319"/>
      <c r="BA1319"/>
      <c r="BB1319"/>
      <c r="BC1319"/>
      <c r="BD1319"/>
      <c r="BE1319"/>
      <c r="BF1319"/>
      <c r="BG1319"/>
      <c r="BH1319"/>
      <c r="BI1319"/>
      <c r="BJ1319"/>
      <c r="BK1319"/>
      <c r="BL1319"/>
      <c r="BM1319"/>
      <c r="BN1319"/>
      <c r="BO1319"/>
      <c r="BP1319"/>
      <c r="BQ1319"/>
      <c r="BR1319"/>
      <c r="BY1319"/>
      <c r="BZ1319"/>
      <c r="CA1319"/>
      <c r="CB1319"/>
      <c r="CC1319"/>
      <c r="CD1319"/>
      <c r="CE1319"/>
      <c r="CF1319"/>
      <c r="CG1319"/>
      <c r="CH1319"/>
      <c r="CI1319"/>
      <c r="CJ1319"/>
      <c r="CK1319"/>
      <c r="CL1319"/>
      <c r="CM1319"/>
      <c r="CN1319"/>
      <c r="CO1319"/>
      <c r="CP1319"/>
      <c r="CQ1319"/>
      <c r="CR1319"/>
      <c r="CS1319"/>
      <c r="CT1319"/>
      <c r="CU1319"/>
      <c r="CV1319"/>
      <c r="CW1319"/>
      <c r="CX1319"/>
      <c r="CY1319"/>
    </row>
    <row r="1320" spans="50:103" ht="20.100000000000001" customHeight="1" x14ac:dyDescent="0.25">
      <c r="AX1320"/>
      <c r="AY1320"/>
      <c r="AZ1320"/>
      <c r="BA1320"/>
      <c r="BB1320"/>
      <c r="BC1320"/>
      <c r="BD1320"/>
      <c r="BE1320"/>
      <c r="BF1320"/>
      <c r="BG1320"/>
      <c r="BH1320"/>
      <c r="BI1320"/>
      <c r="BJ1320"/>
      <c r="BK1320"/>
      <c r="BL1320"/>
      <c r="BM1320"/>
      <c r="BN1320"/>
      <c r="BO1320"/>
      <c r="BP1320"/>
      <c r="BQ1320"/>
      <c r="BR1320"/>
      <c r="BY1320"/>
      <c r="BZ1320"/>
      <c r="CA1320"/>
      <c r="CB1320"/>
      <c r="CC1320"/>
      <c r="CD1320"/>
      <c r="CE1320"/>
      <c r="CF1320"/>
      <c r="CG1320"/>
      <c r="CH1320"/>
      <c r="CI1320"/>
      <c r="CJ1320"/>
      <c r="CK1320"/>
      <c r="CL1320"/>
      <c r="CM1320"/>
      <c r="CN1320"/>
      <c r="CO1320"/>
      <c r="CP1320"/>
      <c r="CQ1320"/>
      <c r="CR1320"/>
      <c r="CS1320"/>
      <c r="CT1320"/>
      <c r="CU1320"/>
      <c r="CV1320"/>
      <c r="CW1320"/>
      <c r="CX1320"/>
      <c r="CY1320"/>
    </row>
    <row r="1321" spans="50:103" ht="20.100000000000001" customHeight="1" x14ac:dyDescent="0.25">
      <c r="AX1321"/>
      <c r="AY1321"/>
      <c r="AZ1321"/>
      <c r="BA1321"/>
      <c r="BB1321"/>
      <c r="BC1321"/>
      <c r="BD1321"/>
      <c r="BE1321"/>
      <c r="BF1321"/>
      <c r="BG1321"/>
      <c r="BH1321"/>
      <c r="BI1321"/>
      <c r="BJ1321"/>
      <c r="BK1321"/>
      <c r="BL1321"/>
      <c r="BM1321"/>
      <c r="BN1321"/>
      <c r="BO1321"/>
      <c r="BP1321"/>
      <c r="BQ1321"/>
      <c r="BR1321"/>
      <c r="BY1321"/>
      <c r="BZ1321"/>
      <c r="CA1321"/>
      <c r="CB1321"/>
      <c r="CC1321"/>
      <c r="CD1321"/>
      <c r="CE1321"/>
      <c r="CF1321"/>
      <c r="CG1321"/>
      <c r="CH1321"/>
      <c r="CI1321"/>
      <c r="CJ1321"/>
      <c r="CK1321"/>
      <c r="CL1321"/>
      <c r="CM1321"/>
      <c r="CN1321"/>
      <c r="CO1321"/>
      <c r="CP1321"/>
      <c r="CQ1321"/>
      <c r="CR1321"/>
      <c r="CS1321"/>
      <c r="CT1321"/>
      <c r="CU1321"/>
      <c r="CV1321"/>
      <c r="CW1321"/>
      <c r="CX1321"/>
      <c r="CY1321"/>
    </row>
    <row r="1322" spans="50:103" ht="20.100000000000001" customHeight="1" x14ac:dyDescent="0.25">
      <c r="AX1322"/>
      <c r="AY1322"/>
      <c r="AZ1322"/>
      <c r="BA1322"/>
      <c r="BB1322"/>
      <c r="BC1322"/>
      <c r="BD1322"/>
      <c r="BE1322"/>
      <c r="BF1322"/>
      <c r="BG1322"/>
      <c r="BH1322"/>
      <c r="BI1322"/>
      <c r="BJ1322"/>
      <c r="BK1322"/>
      <c r="BL1322"/>
      <c r="BM1322"/>
      <c r="BN1322"/>
      <c r="BO1322"/>
      <c r="BP1322"/>
      <c r="BQ1322"/>
      <c r="BR1322"/>
      <c r="BY1322"/>
      <c r="BZ1322"/>
      <c r="CA1322"/>
      <c r="CB1322"/>
      <c r="CC1322"/>
      <c r="CD1322"/>
      <c r="CE1322"/>
      <c r="CF1322"/>
      <c r="CG1322"/>
      <c r="CH1322"/>
      <c r="CI1322"/>
      <c r="CJ1322"/>
      <c r="CK1322"/>
      <c r="CL1322"/>
      <c r="CM1322"/>
      <c r="CN1322"/>
      <c r="CO1322"/>
      <c r="CP1322"/>
      <c r="CQ1322"/>
      <c r="CR1322"/>
      <c r="CS1322"/>
      <c r="CT1322"/>
      <c r="CU1322"/>
      <c r="CV1322"/>
      <c r="CW1322"/>
      <c r="CX1322"/>
      <c r="CY1322"/>
    </row>
    <row r="1323" spans="50:103" ht="20.100000000000001" customHeight="1" x14ac:dyDescent="0.25">
      <c r="AX1323"/>
      <c r="AY1323"/>
      <c r="AZ1323"/>
      <c r="BA1323"/>
      <c r="BB1323"/>
      <c r="BC1323"/>
      <c r="BD1323"/>
      <c r="BE1323"/>
      <c r="BF1323"/>
      <c r="BG1323"/>
      <c r="BH1323"/>
      <c r="BI1323"/>
      <c r="BJ1323"/>
      <c r="BK1323"/>
      <c r="BL1323"/>
      <c r="BM1323"/>
      <c r="BN1323"/>
      <c r="BO1323"/>
      <c r="BP1323"/>
      <c r="BQ1323"/>
      <c r="BR1323"/>
      <c r="BY1323"/>
      <c r="BZ1323"/>
      <c r="CA1323"/>
      <c r="CB1323"/>
      <c r="CC1323"/>
      <c r="CD1323"/>
      <c r="CE1323"/>
      <c r="CF1323"/>
      <c r="CG1323"/>
      <c r="CH1323"/>
      <c r="CI1323"/>
      <c r="CJ1323"/>
      <c r="CK1323"/>
      <c r="CL1323"/>
      <c r="CM1323"/>
      <c r="CN1323"/>
      <c r="CO1323"/>
      <c r="CP1323"/>
      <c r="CQ1323"/>
      <c r="CR1323"/>
      <c r="CS1323"/>
      <c r="CT1323"/>
      <c r="CU1323"/>
      <c r="CV1323"/>
      <c r="CW1323"/>
      <c r="CX1323"/>
      <c r="CY1323"/>
    </row>
    <row r="1324" spans="50:103" ht="20.100000000000001" customHeight="1" x14ac:dyDescent="0.25">
      <c r="AX1324"/>
      <c r="AY1324"/>
      <c r="AZ1324"/>
      <c r="BA1324"/>
      <c r="BB1324"/>
      <c r="BC1324"/>
      <c r="BD1324"/>
      <c r="BE1324"/>
      <c r="BF1324"/>
      <c r="BG1324"/>
      <c r="BH1324"/>
      <c r="BI1324"/>
      <c r="BJ1324"/>
      <c r="BK1324"/>
      <c r="BL1324"/>
      <c r="BM1324"/>
      <c r="BN1324"/>
      <c r="BO1324"/>
      <c r="BP1324"/>
      <c r="BQ1324"/>
      <c r="BR1324"/>
      <c r="BY1324"/>
      <c r="BZ1324"/>
      <c r="CA1324"/>
      <c r="CB1324"/>
      <c r="CC1324"/>
      <c r="CD1324"/>
      <c r="CE1324"/>
      <c r="CF1324"/>
      <c r="CG1324"/>
      <c r="CH1324"/>
      <c r="CI1324"/>
      <c r="CJ1324"/>
      <c r="CK1324"/>
      <c r="CL1324"/>
      <c r="CM1324"/>
      <c r="CN1324"/>
      <c r="CO1324"/>
      <c r="CP1324"/>
      <c r="CQ1324"/>
      <c r="CR1324"/>
      <c r="CS1324"/>
      <c r="CT1324"/>
      <c r="CU1324"/>
      <c r="CV1324"/>
      <c r="CW1324"/>
      <c r="CX1324"/>
      <c r="CY1324"/>
    </row>
    <row r="1325" spans="50:103" ht="20.100000000000001" customHeight="1" x14ac:dyDescent="0.25">
      <c r="AX1325"/>
      <c r="AY1325"/>
      <c r="AZ1325"/>
      <c r="BA1325"/>
      <c r="BB1325"/>
      <c r="BC1325"/>
      <c r="BD1325"/>
      <c r="BE1325"/>
      <c r="BF1325"/>
      <c r="BG1325"/>
      <c r="BH1325"/>
      <c r="BI1325"/>
      <c r="BJ1325"/>
      <c r="BK1325"/>
      <c r="BL1325"/>
      <c r="BM1325"/>
      <c r="BN1325"/>
      <c r="BO1325"/>
      <c r="BP1325"/>
      <c r="BQ1325"/>
      <c r="BR1325"/>
      <c r="BY1325"/>
      <c r="BZ1325"/>
      <c r="CA1325"/>
      <c r="CB1325"/>
      <c r="CC1325"/>
      <c r="CD1325"/>
      <c r="CE1325"/>
      <c r="CF1325"/>
      <c r="CG1325"/>
      <c r="CH1325"/>
      <c r="CI1325"/>
      <c r="CJ1325"/>
      <c r="CK1325"/>
      <c r="CL1325"/>
      <c r="CM1325"/>
      <c r="CN1325"/>
      <c r="CO1325"/>
      <c r="CP1325"/>
      <c r="CQ1325"/>
      <c r="CR1325"/>
      <c r="CS1325"/>
      <c r="CT1325"/>
      <c r="CU1325"/>
      <c r="CV1325"/>
      <c r="CW1325"/>
      <c r="CX1325"/>
      <c r="CY1325"/>
    </row>
    <row r="1326" spans="50:103" ht="20.100000000000001" customHeight="1" x14ac:dyDescent="0.25">
      <c r="AX1326"/>
      <c r="AY1326"/>
      <c r="AZ1326"/>
      <c r="BA1326"/>
      <c r="BB1326"/>
      <c r="BC1326"/>
      <c r="BD1326"/>
      <c r="BE1326"/>
      <c r="BF1326"/>
      <c r="BG1326"/>
      <c r="BH1326"/>
      <c r="BI1326"/>
      <c r="BJ1326"/>
      <c r="BK1326"/>
      <c r="BL1326"/>
      <c r="BM1326"/>
      <c r="BN1326"/>
      <c r="BO1326"/>
      <c r="BP1326"/>
      <c r="BQ1326"/>
      <c r="BR1326"/>
      <c r="BY1326"/>
      <c r="BZ1326"/>
      <c r="CA1326"/>
      <c r="CB1326"/>
      <c r="CC1326"/>
      <c r="CD1326"/>
      <c r="CE1326"/>
      <c r="CF1326"/>
      <c r="CG1326"/>
      <c r="CH1326"/>
      <c r="CI1326"/>
      <c r="CJ1326"/>
      <c r="CK1326"/>
      <c r="CL1326"/>
      <c r="CM1326"/>
      <c r="CN1326"/>
      <c r="CO1326"/>
      <c r="CP1326"/>
      <c r="CQ1326"/>
      <c r="CR1326"/>
      <c r="CS1326"/>
      <c r="CT1326"/>
      <c r="CU1326"/>
      <c r="CV1326"/>
      <c r="CW1326"/>
      <c r="CX1326"/>
      <c r="CY1326"/>
    </row>
    <row r="1327" spans="50:103" ht="20.100000000000001" customHeight="1" x14ac:dyDescent="0.25">
      <c r="AX1327"/>
      <c r="AY1327"/>
      <c r="AZ1327"/>
      <c r="BA1327"/>
      <c r="BB1327"/>
      <c r="BC1327"/>
      <c r="BD1327"/>
      <c r="BE1327"/>
      <c r="BF1327"/>
      <c r="BG1327"/>
      <c r="BH1327"/>
      <c r="BI1327"/>
      <c r="BJ1327"/>
      <c r="BK1327"/>
      <c r="BL1327"/>
      <c r="BM1327"/>
      <c r="BN1327"/>
      <c r="BO1327"/>
      <c r="BP1327"/>
      <c r="BQ1327"/>
      <c r="BR1327"/>
      <c r="BY1327"/>
      <c r="BZ1327"/>
      <c r="CA1327"/>
      <c r="CB1327"/>
      <c r="CC1327"/>
      <c r="CD1327"/>
      <c r="CE1327"/>
      <c r="CF1327"/>
      <c r="CG1327"/>
      <c r="CH1327"/>
      <c r="CI1327"/>
      <c r="CJ1327"/>
      <c r="CK1327"/>
      <c r="CL1327"/>
      <c r="CM1327"/>
      <c r="CN1327"/>
      <c r="CO1327"/>
      <c r="CP1327"/>
      <c r="CQ1327"/>
      <c r="CR1327"/>
      <c r="CS1327"/>
      <c r="CT1327"/>
      <c r="CU1327"/>
      <c r="CV1327"/>
      <c r="CW1327"/>
      <c r="CX1327"/>
      <c r="CY1327"/>
    </row>
    <row r="1328" spans="50:103" ht="20.100000000000001" customHeight="1" x14ac:dyDescent="0.25">
      <c r="AX1328"/>
      <c r="AY1328"/>
      <c r="AZ1328"/>
      <c r="BA1328"/>
      <c r="BB1328"/>
      <c r="BC1328"/>
      <c r="BD1328"/>
      <c r="BE1328"/>
      <c r="BF1328"/>
      <c r="BG1328"/>
      <c r="BH1328"/>
      <c r="BI1328"/>
      <c r="BJ1328"/>
      <c r="BK1328"/>
      <c r="BL1328"/>
      <c r="BM1328"/>
      <c r="BN1328"/>
      <c r="BO1328"/>
      <c r="BP1328"/>
      <c r="BQ1328"/>
      <c r="BR1328"/>
      <c r="BY1328"/>
      <c r="BZ1328"/>
      <c r="CA1328"/>
      <c r="CB1328"/>
      <c r="CC1328"/>
      <c r="CD1328"/>
      <c r="CE1328"/>
      <c r="CF1328"/>
      <c r="CG1328"/>
      <c r="CH1328"/>
      <c r="CI1328"/>
      <c r="CJ1328"/>
      <c r="CK1328"/>
      <c r="CL1328"/>
      <c r="CM1328"/>
      <c r="CN1328"/>
      <c r="CO1328"/>
      <c r="CP1328"/>
      <c r="CQ1328"/>
      <c r="CR1328"/>
      <c r="CS1328"/>
      <c r="CT1328"/>
      <c r="CU1328"/>
      <c r="CV1328"/>
      <c r="CW1328"/>
      <c r="CX1328"/>
      <c r="CY1328"/>
    </row>
    <row r="1329" spans="50:103" ht="20.100000000000001" customHeight="1" x14ac:dyDescent="0.25">
      <c r="AX1329"/>
      <c r="AY1329"/>
      <c r="AZ1329"/>
      <c r="BA1329"/>
      <c r="BB1329"/>
      <c r="BC1329"/>
      <c r="BD1329"/>
      <c r="BE1329"/>
      <c r="BF1329"/>
      <c r="BG1329"/>
      <c r="BH1329"/>
      <c r="BI1329"/>
      <c r="BJ1329"/>
      <c r="BK1329"/>
      <c r="BL1329"/>
      <c r="BM1329"/>
      <c r="BN1329"/>
      <c r="BO1329"/>
      <c r="BP1329"/>
      <c r="BQ1329"/>
      <c r="BR1329"/>
      <c r="BY1329"/>
      <c r="BZ1329"/>
      <c r="CA1329"/>
      <c r="CB1329"/>
      <c r="CC1329"/>
      <c r="CD1329"/>
      <c r="CE1329"/>
      <c r="CF1329"/>
      <c r="CG1329"/>
      <c r="CH1329"/>
      <c r="CI1329"/>
      <c r="CJ1329"/>
      <c r="CK1329"/>
      <c r="CL1329"/>
      <c r="CM1329"/>
      <c r="CN1329"/>
      <c r="CO1329"/>
      <c r="CP1329"/>
      <c r="CQ1329"/>
      <c r="CR1329"/>
      <c r="CS1329"/>
      <c r="CT1329"/>
      <c r="CU1329"/>
      <c r="CV1329"/>
      <c r="CW1329"/>
      <c r="CX1329"/>
      <c r="CY1329"/>
    </row>
    <row r="1330" spans="50:103" ht="20.100000000000001" customHeight="1" x14ac:dyDescent="0.25">
      <c r="AX1330"/>
      <c r="AY1330"/>
      <c r="AZ1330"/>
      <c r="BA1330"/>
      <c r="BB1330"/>
      <c r="BC1330"/>
      <c r="BD1330"/>
      <c r="BE1330"/>
      <c r="BF1330"/>
      <c r="BG1330"/>
      <c r="BH1330"/>
      <c r="BI1330"/>
      <c r="BJ1330"/>
      <c r="BK1330"/>
      <c r="BL1330"/>
      <c r="BM1330"/>
      <c r="BN1330"/>
      <c r="BO1330"/>
      <c r="BP1330"/>
      <c r="BQ1330"/>
      <c r="BR1330"/>
      <c r="BY1330"/>
      <c r="BZ1330"/>
      <c r="CA1330"/>
      <c r="CB1330"/>
      <c r="CC1330"/>
      <c r="CD1330"/>
      <c r="CE1330"/>
      <c r="CF1330"/>
      <c r="CG1330"/>
      <c r="CH1330"/>
      <c r="CI1330"/>
      <c r="CJ1330"/>
      <c r="CK1330"/>
      <c r="CL1330"/>
      <c r="CM1330"/>
      <c r="CN1330"/>
      <c r="CO1330"/>
      <c r="CP1330"/>
      <c r="CQ1330"/>
      <c r="CR1330"/>
      <c r="CS1330"/>
      <c r="CT1330"/>
      <c r="CU1330"/>
      <c r="CV1330"/>
      <c r="CW1330"/>
      <c r="CX1330"/>
      <c r="CY1330"/>
    </row>
    <row r="1331" spans="50:103" ht="20.100000000000001" customHeight="1" x14ac:dyDescent="0.25">
      <c r="AX1331"/>
      <c r="AY1331"/>
      <c r="AZ1331"/>
      <c r="BA1331"/>
      <c r="BB1331"/>
      <c r="BC1331"/>
      <c r="BD1331"/>
      <c r="BE1331"/>
      <c r="BF1331"/>
      <c r="BG1331"/>
      <c r="BH1331"/>
      <c r="BI1331"/>
      <c r="BJ1331"/>
      <c r="BK1331"/>
      <c r="BL1331"/>
      <c r="BM1331"/>
      <c r="BN1331"/>
      <c r="BO1331"/>
      <c r="BP1331"/>
      <c r="BQ1331"/>
      <c r="BR1331"/>
      <c r="BY1331"/>
      <c r="BZ1331"/>
      <c r="CA1331"/>
      <c r="CB1331"/>
      <c r="CC1331"/>
      <c r="CD1331"/>
      <c r="CE1331"/>
      <c r="CF1331"/>
      <c r="CG1331"/>
      <c r="CH1331"/>
      <c r="CI1331"/>
      <c r="CJ1331"/>
      <c r="CK1331"/>
      <c r="CL1331"/>
      <c r="CM1331"/>
      <c r="CN1331"/>
      <c r="CO1331"/>
      <c r="CP1331"/>
      <c r="CQ1331"/>
      <c r="CR1331"/>
      <c r="CS1331"/>
      <c r="CT1331"/>
      <c r="CU1331"/>
      <c r="CV1331"/>
      <c r="CW1331"/>
      <c r="CX1331"/>
      <c r="CY1331"/>
    </row>
    <row r="1332" spans="50:103" ht="20.100000000000001" customHeight="1" x14ac:dyDescent="0.25">
      <c r="AX1332"/>
      <c r="AY1332"/>
      <c r="AZ1332"/>
      <c r="BA1332"/>
      <c r="BB1332"/>
      <c r="BC1332"/>
      <c r="BD1332"/>
      <c r="BE1332"/>
      <c r="BF1332"/>
      <c r="BG1332"/>
      <c r="BH1332"/>
      <c r="BI1332"/>
      <c r="BJ1332"/>
      <c r="BK1332"/>
      <c r="BL1332"/>
      <c r="BM1332"/>
      <c r="BN1332"/>
      <c r="BO1332"/>
      <c r="BP1332"/>
      <c r="BQ1332"/>
      <c r="BR1332"/>
      <c r="BY1332"/>
      <c r="BZ1332"/>
      <c r="CA1332"/>
      <c r="CB1332"/>
      <c r="CC1332"/>
      <c r="CD1332"/>
      <c r="CE1332"/>
      <c r="CF1332"/>
      <c r="CG1332"/>
      <c r="CH1332"/>
      <c r="CI1332"/>
      <c r="CJ1332"/>
      <c r="CK1332"/>
      <c r="CL1332"/>
      <c r="CM1332"/>
      <c r="CN1332"/>
      <c r="CO1332"/>
      <c r="CP1332"/>
      <c r="CQ1332"/>
      <c r="CR1332"/>
      <c r="CS1332"/>
      <c r="CT1332"/>
      <c r="CU1332"/>
      <c r="CV1332"/>
      <c r="CW1332"/>
      <c r="CX1332"/>
      <c r="CY1332"/>
    </row>
    <row r="1333" spans="50:103" ht="20.100000000000001" customHeight="1" x14ac:dyDescent="0.25">
      <c r="AX1333"/>
      <c r="AY1333"/>
      <c r="AZ1333"/>
      <c r="BA1333"/>
      <c r="BB1333"/>
      <c r="BC1333"/>
      <c r="BD1333"/>
      <c r="BE1333"/>
      <c r="BF1333"/>
      <c r="BG1333"/>
      <c r="BH1333"/>
      <c r="BI1333"/>
      <c r="BJ1333"/>
      <c r="BK1333"/>
      <c r="BL1333"/>
      <c r="BM1333"/>
      <c r="BN1333"/>
      <c r="BO1333"/>
      <c r="BP1333"/>
      <c r="BQ1333"/>
      <c r="BR1333"/>
      <c r="BY1333"/>
      <c r="BZ1333"/>
      <c r="CA1333"/>
      <c r="CB1333"/>
      <c r="CC1333"/>
      <c r="CD1333"/>
      <c r="CE1333"/>
      <c r="CF1333"/>
      <c r="CG1333"/>
      <c r="CH1333"/>
      <c r="CI1333"/>
      <c r="CJ1333"/>
      <c r="CK1333"/>
      <c r="CL1333"/>
      <c r="CM1333"/>
      <c r="CN1333"/>
      <c r="CO1333"/>
      <c r="CP1333"/>
      <c r="CQ1333"/>
      <c r="CR1333"/>
      <c r="CS1333"/>
      <c r="CT1333"/>
      <c r="CU1333"/>
      <c r="CV1333"/>
      <c r="CW1333"/>
      <c r="CX1333"/>
      <c r="CY1333"/>
    </row>
    <row r="1334" spans="50:103" ht="20.100000000000001" customHeight="1" x14ac:dyDescent="0.25">
      <c r="AX1334"/>
      <c r="AY1334"/>
      <c r="AZ1334"/>
      <c r="BA1334"/>
      <c r="BB1334"/>
      <c r="BC1334"/>
      <c r="BD1334"/>
      <c r="BE1334"/>
      <c r="BF1334"/>
      <c r="BG1334"/>
      <c r="BH1334"/>
      <c r="BI1334"/>
      <c r="BJ1334"/>
      <c r="BK1334"/>
      <c r="BL1334"/>
      <c r="BM1334"/>
      <c r="BN1334"/>
      <c r="BO1334"/>
      <c r="BP1334"/>
      <c r="BQ1334"/>
      <c r="BR1334"/>
      <c r="BY1334"/>
      <c r="BZ1334"/>
      <c r="CA1334"/>
      <c r="CB1334"/>
      <c r="CC1334"/>
      <c r="CD1334"/>
      <c r="CE1334"/>
      <c r="CF1334"/>
      <c r="CG1334"/>
      <c r="CH1334"/>
      <c r="CI1334"/>
      <c r="CJ1334"/>
      <c r="CK1334"/>
      <c r="CL1334"/>
      <c r="CM1334"/>
      <c r="CN1334"/>
      <c r="CO1334"/>
      <c r="CP1334"/>
      <c r="CQ1334"/>
      <c r="CR1334"/>
      <c r="CS1334"/>
      <c r="CT1334"/>
      <c r="CU1334"/>
      <c r="CV1334"/>
      <c r="CW1334"/>
      <c r="CX1334"/>
      <c r="CY1334"/>
    </row>
    <row r="1335" spans="50:103" ht="20.100000000000001" customHeight="1" x14ac:dyDescent="0.25">
      <c r="AX1335"/>
      <c r="AY1335"/>
      <c r="AZ1335"/>
      <c r="BA1335"/>
      <c r="BB1335"/>
      <c r="BC1335"/>
      <c r="BD1335"/>
      <c r="BE1335"/>
      <c r="BF1335"/>
      <c r="BG1335"/>
      <c r="BH1335"/>
      <c r="BI1335"/>
      <c r="BJ1335"/>
      <c r="BK1335"/>
      <c r="BL1335"/>
      <c r="BM1335"/>
      <c r="BN1335"/>
      <c r="BO1335"/>
      <c r="BP1335"/>
      <c r="BQ1335"/>
      <c r="BR1335"/>
      <c r="BY1335"/>
      <c r="BZ1335"/>
      <c r="CA1335"/>
      <c r="CB1335"/>
      <c r="CC1335"/>
      <c r="CD1335"/>
      <c r="CE1335"/>
      <c r="CF1335"/>
      <c r="CG1335"/>
      <c r="CH1335"/>
      <c r="CI1335"/>
      <c r="CJ1335"/>
      <c r="CK1335"/>
      <c r="CL1335"/>
      <c r="CM1335"/>
      <c r="CN1335"/>
      <c r="CO1335"/>
      <c r="CP1335"/>
      <c r="CQ1335"/>
      <c r="CR1335"/>
      <c r="CS1335"/>
      <c r="CT1335"/>
      <c r="CU1335"/>
      <c r="CV1335"/>
      <c r="CW1335"/>
      <c r="CX1335"/>
      <c r="CY1335"/>
    </row>
    <row r="1336" spans="50:103" ht="20.100000000000001" customHeight="1" x14ac:dyDescent="0.25">
      <c r="AX1336"/>
      <c r="AY1336"/>
      <c r="AZ1336"/>
      <c r="BA1336"/>
      <c r="BB1336"/>
      <c r="BC1336"/>
      <c r="BD1336"/>
      <c r="BE1336"/>
      <c r="BF1336"/>
      <c r="BG1336"/>
      <c r="BH1336"/>
      <c r="BI1336"/>
      <c r="BJ1336"/>
      <c r="BK1336"/>
      <c r="BL1336"/>
      <c r="BM1336"/>
      <c r="BN1336"/>
      <c r="BO1336"/>
      <c r="BP1336"/>
      <c r="BQ1336"/>
      <c r="BR1336"/>
      <c r="BY1336"/>
      <c r="BZ1336"/>
      <c r="CA1336"/>
      <c r="CB1336"/>
      <c r="CC1336"/>
      <c r="CD1336"/>
      <c r="CE1336"/>
      <c r="CF1336"/>
      <c r="CG1336"/>
      <c r="CH1336"/>
      <c r="CI1336"/>
      <c r="CJ1336"/>
      <c r="CK1336"/>
      <c r="CL1336"/>
      <c r="CM1336"/>
      <c r="CN1336"/>
      <c r="CO1336"/>
      <c r="CP1336"/>
      <c r="CQ1336"/>
      <c r="CR1336"/>
      <c r="CS1336"/>
      <c r="CT1336"/>
      <c r="CU1336"/>
      <c r="CV1336"/>
      <c r="CW1336"/>
      <c r="CX1336"/>
      <c r="CY1336"/>
    </row>
    <row r="1337" spans="50:103" ht="20.100000000000001" customHeight="1" x14ac:dyDescent="0.25">
      <c r="AX1337"/>
      <c r="AY1337"/>
      <c r="AZ1337"/>
      <c r="BA1337"/>
      <c r="BB1337"/>
      <c r="BC1337"/>
      <c r="BD1337"/>
      <c r="BE1337"/>
      <c r="BF1337"/>
      <c r="BG1337"/>
      <c r="BH1337"/>
      <c r="BI1337"/>
      <c r="BJ1337"/>
      <c r="BK1337"/>
      <c r="BL1337"/>
      <c r="BM1337"/>
      <c r="BN1337"/>
      <c r="BO1337"/>
      <c r="BP1337"/>
      <c r="BQ1337"/>
      <c r="BR1337"/>
      <c r="BY1337"/>
      <c r="BZ1337"/>
      <c r="CA1337"/>
      <c r="CB1337"/>
      <c r="CC1337"/>
      <c r="CD1337"/>
      <c r="CE1337"/>
      <c r="CF1337"/>
      <c r="CG1337"/>
      <c r="CH1337"/>
      <c r="CI1337"/>
      <c r="CJ1337"/>
      <c r="CK1337"/>
      <c r="CL1337"/>
      <c r="CM1337"/>
      <c r="CN1337"/>
      <c r="CO1337"/>
      <c r="CP1337"/>
      <c r="CQ1337"/>
      <c r="CR1337"/>
      <c r="CS1337"/>
      <c r="CT1337"/>
      <c r="CU1337"/>
      <c r="CV1337"/>
      <c r="CW1337"/>
      <c r="CX1337"/>
      <c r="CY1337"/>
    </row>
    <row r="1338" spans="50:103" ht="20.100000000000001" customHeight="1" x14ac:dyDescent="0.25">
      <c r="AX1338"/>
      <c r="AY1338"/>
      <c r="AZ1338"/>
      <c r="BA1338"/>
      <c r="BB1338"/>
      <c r="BC1338"/>
      <c r="BD1338"/>
      <c r="BE1338"/>
      <c r="BF1338"/>
      <c r="BG1338"/>
      <c r="BH1338"/>
      <c r="BI1338"/>
      <c r="BJ1338"/>
      <c r="BK1338"/>
      <c r="BL1338"/>
      <c r="BM1338"/>
      <c r="BN1338"/>
      <c r="BO1338"/>
      <c r="BP1338"/>
      <c r="BQ1338"/>
      <c r="BR1338"/>
      <c r="BY1338"/>
      <c r="BZ1338"/>
      <c r="CA1338"/>
      <c r="CB1338"/>
      <c r="CC1338"/>
      <c r="CD1338"/>
      <c r="CE1338"/>
      <c r="CF1338"/>
      <c r="CG1338"/>
      <c r="CH1338"/>
      <c r="CI1338"/>
      <c r="CJ1338"/>
      <c r="CK1338"/>
      <c r="CL1338"/>
      <c r="CM1338"/>
      <c r="CN1338"/>
      <c r="CO1338"/>
      <c r="CP1338"/>
      <c r="CQ1338"/>
      <c r="CR1338"/>
      <c r="CS1338"/>
      <c r="CT1338"/>
      <c r="CU1338"/>
      <c r="CV1338"/>
      <c r="CW1338"/>
      <c r="CX1338"/>
      <c r="CY1338"/>
    </row>
    <row r="1339" spans="50:103" ht="20.100000000000001" customHeight="1" x14ac:dyDescent="0.25">
      <c r="AX1339"/>
      <c r="AY1339"/>
      <c r="AZ1339"/>
      <c r="BA1339"/>
      <c r="BB1339"/>
      <c r="BC1339"/>
      <c r="BD1339"/>
      <c r="BE1339"/>
      <c r="BF1339"/>
      <c r="BG1339"/>
      <c r="BH1339"/>
      <c r="BI1339"/>
      <c r="BJ1339"/>
      <c r="BK1339"/>
      <c r="BL1339"/>
      <c r="BM1339"/>
      <c r="BN1339"/>
      <c r="BO1339"/>
      <c r="BP1339"/>
      <c r="BQ1339"/>
      <c r="BR1339"/>
      <c r="BY1339"/>
      <c r="BZ1339"/>
      <c r="CA1339"/>
      <c r="CB1339"/>
      <c r="CC1339"/>
      <c r="CD1339"/>
      <c r="CE1339"/>
      <c r="CF1339"/>
      <c r="CG1339"/>
      <c r="CH1339"/>
      <c r="CI1339"/>
      <c r="CJ1339"/>
      <c r="CK1339"/>
      <c r="CL1339"/>
      <c r="CM1339"/>
      <c r="CN1339"/>
      <c r="CO1339"/>
      <c r="CP1339"/>
      <c r="CQ1339"/>
      <c r="CR1339"/>
      <c r="CS1339"/>
      <c r="CT1339"/>
      <c r="CU1339"/>
      <c r="CV1339"/>
      <c r="CW1339"/>
      <c r="CX1339"/>
      <c r="CY1339"/>
    </row>
    <row r="1340" spans="50:103" ht="20.100000000000001" customHeight="1" x14ac:dyDescent="0.25">
      <c r="AX1340"/>
      <c r="AY1340"/>
      <c r="AZ1340"/>
      <c r="BA1340"/>
      <c r="BB1340"/>
      <c r="BC1340"/>
      <c r="BD1340"/>
      <c r="BE1340"/>
      <c r="BF1340"/>
      <c r="BG1340"/>
      <c r="BH1340"/>
      <c r="BI1340"/>
      <c r="BJ1340"/>
      <c r="BK1340"/>
      <c r="BL1340"/>
      <c r="BM1340"/>
      <c r="BN1340"/>
      <c r="BO1340"/>
      <c r="BP1340"/>
      <c r="BQ1340"/>
      <c r="BR1340"/>
      <c r="BY1340"/>
      <c r="BZ1340"/>
      <c r="CA1340"/>
      <c r="CB1340"/>
      <c r="CC1340"/>
      <c r="CD1340"/>
      <c r="CE1340"/>
      <c r="CF1340"/>
      <c r="CG1340"/>
      <c r="CH1340"/>
      <c r="CI1340"/>
      <c r="CJ1340"/>
      <c r="CK1340"/>
      <c r="CL1340"/>
      <c r="CM1340"/>
      <c r="CN1340"/>
      <c r="CO1340"/>
      <c r="CP1340"/>
      <c r="CQ1340"/>
      <c r="CR1340"/>
      <c r="CS1340"/>
      <c r="CT1340"/>
      <c r="CU1340"/>
      <c r="CV1340"/>
      <c r="CW1340"/>
      <c r="CX1340"/>
      <c r="CY1340"/>
    </row>
    <row r="1341" spans="50:103" ht="20.100000000000001" customHeight="1" x14ac:dyDescent="0.25">
      <c r="AX1341"/>
      <c r="AY1341"/>
      <c r="AZ1341"/>
      <c r="BA1341"/>
      <c r="BB1341"/>
      <c r="BC1341"/>
      <c r="BD1341"/>
      <c r="BE1341"/>
      <c r="BF1341"/>
      <c r="BG1341"/>
      <c r="BH1341"/>
      <c r="BI1341"/>
      <c r="BJ1341"/>
      <c r="BK1341"/>
      <c r="BL1341"/>
      <c r="BM1341"/>
      <c r="BN1341"/>
      <c r="BO1341"/>
      <c r="BP1341"/>
      <c r="BQ1341"/>
      <c r="BR1341"/>
      <c r="BY1341"/>
      <c r="BZ1341"/>
      <c r="CA1341"/>
      <c r="CB1341"/>
      <c r="CC1341"/>
      <c r="CD1341"/>
      <c r="CE1341"/>
      <c r="CF1341"/>
      <c r="CG1341"/>
      <c r="CH1341"/>
      <c r="CI1341"/>
      <c r="CJ1341"/>
      <c r="CK1341"/>
      <c r="CL1341"/>
      <c r="CM1341"/>
      <c r="CN1341"/>
      <c r="CO1341"/>
      <c r="CP1341"/>
      <c r="CQ1341"/>
      <c r="CR1341"/>
      <c r="CS1341"/>
      <c r="CT1341"/>
      <c r="CU1341"/>
      <c r="CV1341"/>
      <c r="CW1341"/>
      <c r="CX1341"/>
      <c r="CY1341"/>
    </row>
    <row r="1342" spans="50:103" ht="20.100000000000001" customHeight="1" x14ac:dyDescent="0.25">
      <c r="AX1342"/>
      <c r="AY1342"/>
      <c r="AZ1342"/>
      <c r="BA1342"/>
      <c r="BB1342"/>
      <c r="BC1342"/>
      <c r="BD1342"/>
      <c r="BE1342"/>
      <c r="BF1342"/>
      <c r="BG1342"/>
      <c r="BH1342"/>
      <c r="BI1342"/>
      <c r="BJ1342"/>
      <c r="BK1342"/>
      <c r="BL1342"/>
      <c r="BM1342"/>
      <c r="BN1342"/>
      <c r="BO1342"/>
      <c r="BP1342"/>
      <c r="BQ1342"/>
      <c r="BR1342"/>
      <c r="BY1342"/>
      <c r="BZ1342"/>
      <c r="CA1342"/>
      <c r="CB1342"/>
      <c r="CC1342"/>
      <c r="CD1342"/>
      <c r="CE1342"/>
      <c r="CF1342"/>
      <c r="CG1342"/>
      <c r="CH1342"/>
      <c r="CI1342"/>
      <c r="CJ1342"/>
      <c r="CK1342"/>
      <c r="CL1342"/>
      <c r="CM1342"/>
      <c r="CN1342"/>
      <c r="CO1342"/>
      <c r="CP1342"/>
      <c r="CQ1342"/>
      <c r="CR1342"/>
      <c r="CS1342"/>
      <c r="CT1342"/>
      <c r="CU1342"/>
      <c r="CV1342"/>
      <c r="CW1342"/>
      <c r="CX1342"/>
      <c r="CY1342"/>
    </row>
    <row r="1343" spans="50:103" ht="20.100000000000001" customHeight="1" x14ac:dyDescent="0.25">
      <c r="AX1343"/>
      <c r="AY1343"/>
      <c r="AZ1343"/>
      <c r="BA1343"/>
      <c r="BB1343"/>
      <c r="BC1343"/>
      <c r="BD1343"/>
      <c r="BE1343"/>
      <c r="BF1343"/>
      <c r="BG1343"/>
      <c r="BH1343"/>
      <c r="BI1343"/>
      <c r="BJ1343"/>
      <c r="BK1343"/>
      <c r="BL1343"/>
      <c r="BM1343"/>
      <c r="BN1343"/>
      <c r="BO1343"/>
      <c r="BP1343"/>
      <c r="BQ1343"/>
      <c r="BR1343"/>
      <c r="BY1343"/>
      <c r="BZ1343"/>
      <c r="CA1343"/>
      <c r="CB1343"/>
      <c r="CC1343"/>
      <c r="CD1343"/>
      <c r="CE1343"/>
      <c r="CF1343"/>
      <c r="CG1343"/>
      <c r="CH1343"/>
      <c r="CI1343"/>
      <c r="CJ1343"/>
      <c r="CK1343"/>
      <c r="CL1343"/>
      <c r="CM1343"/>
      <c r="CN1343"/>
      <c r="CO1343"/>
      <c r="CP1343"/>
      <c r="CQ1343"/>
      <c r="CR1343"/>
      <c r="CS1343"/>
      <c r="CT1343"/>
      <c r="CU1343"/>
      <c r="CV1343"/>
      <c r="CW1343"/>
      <c r="CX1343"/>
      <c r="CY1343"/>
    </row>
    <row r="1344" spans="50:103" ht="20.100000000000001" customHeight="1" x14ac:dyDescent="0.25">
      <c r="AX1344"/>
      <c r="AY1344"/>
      <c r="AZ1344"/>
      <c r="BA1344"/>
      <c r="BB1344"/>
      <c r="BC1344"/>
      <c r="BD1344"/>
      <c r="BE1344"/>
      <c r="BF1344"/>
      <c r="BG1344"/>
      <c r="BH1344"/>
      <c r="BI1344"/>
      <c r="BJ1344"/>
      <c r="BK1344"/>
      <c r="BL1344"/>
      <c r="BM1344"/>
      <c r="BN1344"/>
      <c r="BO1344"/>
      <c r="BP1344"/>
      <c r="BQ1344"/>
      <c r="BR1344"/>
      <c r="BY1344"/>
      <c r="BZ1344"/>
      <c r="CA1344"/>
      <c r="CB1344"/>
      <c r="CC1344"/>
      <c r="CD1344"/>
      <c r="CE1344"/>
      <c r="CF1344"/>
      <c r="CG1344"/>
      <c r="CH1344"/>
      <c r="CI1344"/>
      <c r="CJ1344"/>
      <c r="CK1344"/>
      <c r="CL1344"/>
      <c r="CM1344"/>
      <c r="CN1344"/>
      <c r="CO1344"/>
      <c r="CP1344"/>
      <c r="CQ1344"/>
      <c r="CR1344"/>
      <c r="CS1344"/>
      <c r="CT1344"/>
      <c r="CU1344"/>
      <c r="CV1344"/>
      <c r="CW1344"/>
      <c r="CX1344"/>
      <c r="CY1344"/>
    </row>
    <row r="1345" spans="50:103" ht="20.100000000000001" customHeight="1" x14ac:dyDescent="0.25">
      <c r="AX1345"/>
      <c r="AY1345"/>
      <c r="AZ1345"/>
      <c r="BA1345"/>
      <c r="BB1345"/>
      <c r="BC1345"/>
      <c r="BD1345"/>
      <c r="BE1345"/>
      <c r="BF1345"/>
      <c r="BG1345"/>
      <c r="BH1345"/>
      <c r="BI1345"/>
      <c r="BJ1345"/>
      <c r="BK1345"/>
      <c r="BL1345"/>
      <c r="BM1345"/>
      <c r="BN1345"/>
      <c r="BO1345"/>
      <c r="BP1345"/>
      <c r="BQ1345"/>
      <c r="BR1345"/>
      <c r="BY1345"/>
      <c r="BZ1345"/>
      <c r="CA1345"/>
      <c r="CB1345"/>
      <c r="CC1345"/>
      <c r="CD1345"/>
      <c r="CE1345"/>
      <c r="CF1345"/>
      <c r="CG1345"/>
      <c r="CH1345"/>
      <c r="CI1345"/>
      <c r="CJ1345"/>
      <c r="CK1345"/>
      <c r="CL1345"/>
      <c r="CM1345"/>
      <c r="CN1345"/>
      <c r="CO1345"/>
      <c r="CP1345"/>
      <c r="CQ1345"/>
      <c r="CR1345"/>
      <c r="CS1345"/>
      <c r="CT1345"/>
      <c r="CU1345"/>
      <c r="CV1345"/>
      <c r="CW1345"/>
      <c r="CX1345"/>
      <c r="CY1345"/>
    </row>
    <row r="1346" spans="50:103" ht="20.100000000000001" customHeight="1" x14ac:dyDescent="0.25">
      <c r="AX1346"/>
      <c r="AY1346"/>
      <c r="AZ1346"/>
      <c r="BA1346"/>
      <c r="BB1346"/>
      <c r="BC1346"/>
      <c r="BD1346"/>
      <c r="BE1346"/>
      <c r="BF1346"/>
      <c r="BG1346"/>
      <c r="BH1346"/>
      <c r="BI1346"/>
      <c r="BJ1346"/>
      <c r="BK1346"/>
      <c r="BL1346"/>
      <c r="BM1346"/>
      <c r="BN1346"/>
      <c r="BO1346"/>
      <c r="BP1346"/>
      <c r="BQ1346"/>
      <c r="BR1346"/>
      <c r="BY1346"/>
      <c r="BZ1346"/>
      <c r="CA1346"/>
      <c r="CB1346"/>
      <c r="CC1346"/>
      <c r="CD1346"/>
      <c r="CE1346"/>
      <c r="CF1346"/>
      <c r="CG1346"/>
      <c r="CH1346"/>
      <c r="CI1346"/>
      <c r="CJ1346"/>
      <c r="CK1346"/>
      <c r="CL1346"/>
      <c r="CM1346"/>
      <c r="CN1346"/>
      <c r="CO1346"/>
      <c r="CP1346"/>
      <c r="CQ1346"/>
      <c r="CR1346"/>
      <c r="CS1346"/>
      <c r="CT1346"/>
      <c r="CU1346"/>
      <c r="CV1346"/>
      <c r="CW1346"/>
      <c r="CX1346"/>
      <c r="CY1346"/>
    </row>
    <row r="1347" spans="50:103" ht="20.100000000000001" customHeight="1" x14ac:dyDescent="0.25">
      <c r="AX1347"/>
      <c r="AY1347"/>
      <c r="AZ1347"/>
      <c r="BA1347"/>
      <c r="BB1347"/>
      <c r="BC1347"/>
      <c r="BD1347"/>
      <c r="BE1347"/>
      <c r="BF1347"/>
      <c r="BG1347"/>
      <c r="BH1347"/>
      <c r="BI1347"/>
      <c r="BJ1347"/>
      <c r="BK1347"/>
      <c r="BL1347"/>
      <c r="BM1347"/>
      <c r="BN1347"/>
      <c r="BO1347"/>
      <c r="BP1347"/>
      <c r="BQ1347"/>
      <c r="BR1347"/>
      <c r="BY1347"/>
      <c r="BZ1347"/>
      <c r="CA1347"/>
      <c r="CB1347"/>
      <c r="CC1347"/>
      <c r="CD1347"/>
      <c r="CE1347"/>
      <c r="CF1347"/>
      <c r="CG1347"/>
      <c r="CH1347"/>
      <c r="CI1347"/>
      <c r="CJ1347"/>
      <c r="CK1347"/>
      <c r="CL1347"/>
      <c r="CM1347"/>
      <c r="CN1347"/>
      <c r="CO1347"/>
      <c r="CP1347"/>
      <c r="CQ1347"/>
      <c r="CR1347"/>
      <c r="CS1347"/>
      <c r="CT1347"/>
      <c r="CU1347"/>
      <c r="CV1347"/>
      <c r="CW1347"/>
      <c r="CX1347"/>
      <c r="CY1347"/>
    </row>
    <row r="1348" spans="50:103" ht="20.100000000000001" customHeight="1" x14ac:dyDescent="0.25">
      <c r="AX1348"/>
      <c r="AY1348"/>
      <c r="AZ1348"/>
      <c r="BA1348"/>
      <c r="BB1348"/>
      <c r="BC1348"/>
      <c r="BD1348"/>
      <c r="BE1348"/>
      <c r="BF1348"/>
      <c r="BG1348"/>
      <c r="BH1348"/>
      <c r="BI1348"/>
      <c r="BJ1348"/>
      <c r="BK1348"/>
      <c r="BL1348"/>
      <c r="BM1348"/>
      <c r="BN1348"/>
      <c r="BO1348"/>
      <c r="BP1348"/>
      <c r="BQ1348"/>
      <c r="BR1348"/>
      <c r="BY1348"/>
      <c r="BZ1348"/>
      <c r="CA1348"/>
      <c r="CB1348"/>
      <c r="CC1348"/>
      <c r="CD1348"/>
      <c r="CE1348"/>
      <c r="CF1348"/>
      <c r="CG1348"/>
      <c r="CH1348"/>
      <c r="CI1348"/>
      <c r="CJ1348"/>
      <c r="CK1348"/>
      <c r="CL1348"/>
      <c r="CM1348"/>
      <c r="CN1348"/>
      <c r="CO1348"/>
      <c r="CP1348"/>
      <c r="CQ1348"/>
      <c r="CR1348"/>
      <c r="CS1348"/>
      <c r="CT1348"/>
      <c r="CU1348"/>
      <c r="CV1348"/>
      <c r="CW1348"/>
      <c r="CX1348"/>
      <c r="CY1348"/>
    </row>
    <row r="1349" spans="50:103" ht="20.100000000000001" customHeight="1" x14ac:dyDescent="0.25">
      <c r="AX1349"/>
      <c r="AY1349"/>
      <c r="AZ1349"/>
      <c r="BA1349"/>
      <c r="BB1349"/>
      <c r="BC1349"/>
      <c r="BD1349"/>
      <c r="BE1349"/>
      <c r="BF1349"/>
      <c r="BG1349"/>
      <c r="BH1349"/>
      <c r="BI1349"/>
      <c r="BJ1349"/>
      <c r="BK1349"/>
      <c r="BL1349"/>
      <c r="BM1349"/>
      <c r="BN1349"/>
      <c r="BO1349"/>
      <c r="BP1349"/>
      <c r="BQ1349"/>
      <c r="BR1349"/>
      <c r="BY1349"/>
      <c r="BZ1349"/>
      <c r="CA1349"/>
      <c r="CB1349"/>
      <c r="CC1349"/>
      <c r="CD1349"/>
      <c r="CE1349"/>
      <c r="CF1349"/>
      <c r="CG1349"/>
      <c r="CH1349"/>
      <c r="CI1349"/>
      <c r="CJ1349"/>
      <c r="CK1349"/>
      <c r="CL1349"/>
      <c r="CM1349"/>
      <c r="CN1349"/>
      <c r="CO1349"/>
      <c r="CP1349"/>
      <c r="CQ1349"/>
      <c r="CR1349"/>
      <c r="CS1349"/>
      <c r="CT1349"/>
      <c r="CU1349"/>
      <c r="CV1349"/>
      <c r="CW1349"/>
      <c r="CX1349"/>
      <c r="CY1349"/>
    </row>
    <row r="1350" spans="50:103" ht="20.100000000000001" customHeight="1" x14ac:dyDescent="0.25">
      <c r="AX1350"/>
      <c r="AY1350"/>
      <c r="AZ1350"/>
      <c r="BA1350"/>
      <c r="BB1350"/>
      <c r="BC1350"/>
      <c r="BD1350"/>
      <c r="BE1350"/>
      <c r="BF1350"/>
      <c r="BG1350"/>
      <c r="BH1350"/>
      <c r="BI1350"/>
      <c r="BJ1350"/>
      <c r="BK1350"/>
      <c r="BL1350"/>
      <c r="BM1350"/>
      <c r="BN1350"/>
      <c r="BO1350"/>
      <c r="BP1350"/>
      <c r="BQ1350"/>
      <c r="BR1350"/>
      <c r="BY1350"/>
      <c r="BZ1350"/>
      <c r="CA1350"/>
      <c r="CB1350"/>
      <c r="CC1350"/>
      <c r="CD1350"/>
      <c r="CE1350"/>
      <c r="CF1350"/>
      <c r="CG1350"/>
      <c r="CH1350"/>
      <c r="CI1350"/>
      <c r="CJ1350"/>
      <c r="CK1350"/>
      <c r="CL1350"/>
      <c r="CM1350"/>
      <c r="CN1350"/>
      <c r="CO1350"/>
      <c r="CP1350"/>
      <c r="CQ1350"/>
      <c r="CR1350"/>
      <c r="CS1350"/>
      <c r="CT1350"/>
      <c r="CU1350"/>
      <c r="CV1350"/>
      <c r="CW1350"/>
      <c r="CX1350"/>
      <c r="CY1350"/>
    </row>
    <row r="1351" spans="50:103" ht="20.100000000000001" customHeight="1" x14ac:dyDescent="0.25">
      <c r="AX1351"/>
      <c r="AY1351"/>
      <c r="AZ1351"/>
      <c r="BA1351"/>
      <c r="BB1351"/>
      <c r="BC1351"/>
      <c r="BD1351"/>
      <c r="BE1351"/>
      <c r="BF1351"/>
      <c r="BG1351"/>
      <c r="BH1351"/>
      <c r="BI1351"/>
      <c r="BJ1351"/>
      <c r="BK1351"/>
      <c r="BL1351"/>
      <c r="BM1351"/>
      <c r="BN1351"/>
      <c r="BO1351"/>
      <c r="BP1351"/>
      <c r="BQ1351"/>
      <c r="BR1351"/>
      <c r="BY1351"/>
      <c r="BZ1351"/>
      <c r="CA1351"/>
      <c r="CB1351"/>
      <c r="CC1351"/>
      <c r="CD1351"/>
      <c r="CE1351"/>
      <c r="CF1351"/>
      <c r="CG1351"/>
      <c r="CH1351"/>
      <c r="CI1351"/>
      <c r="CJ1351"/>
      <c r="CK1351"/>
      <c r="CL1351"/>
      <c r="CM1351"/>
      <c r="CN1351"/>
      <c r="CO1351"/>
      <c r="CP1351"/>
      <c r="CQ1351"/>
      <c r="CR1351"/>
      <c r="CS1351"/>
      <c r="CT1351"/>
      <c r="CU1351"/>
      <c r="CV1351"/>
      <c r="CW1351"/>
      <c r="CX1351"/>
      <c r="CY1351"/>
    </row>
    <row r="1352" spans="50:103" ht="20.100000000000001" customHeight="1" x14ac:dyDescent="0.25">
      <c r="AX1352"/>
      <c r="AY1352"/>
      <c r="AZ1352"/>
      <c r="BA1352"/>
      <c r="BB1352"/>
      <c r="BC1352"/>
      <c r="BD1352"/>
      <c r="BE1352"/>
      <c r="BF1352"/>
      <c r="BG1352"/>
      <c r="BH1352"/>
      <c r="BI1352"/>
      <c r="BJ1352"/>
      <c r="BK1352"/>
      <c r="BL1352"/>
      <c r="BM1352"/>
      <c r="BN1352"/>
      <c r="BO1352"/>
      <c r="BP1352"/>
      <c r="BQ1352"/>
      <c r="BR1352"/>
      <c r="BY1352"/>
      <c r="BZ1352"/>
      <c r="CA1352"/>
      <c r="CB1352"/>
      <c r="CC1352"/>
      <c r="CD1352"/>
      <c r="CE1352"/>
      <c r="CF1352"/>
      <c r="CG1352"/>
      <c r="CH1352"/>
      <c r="CI1352"/>
      <c r="CJ1352"/>
      <c r="CK1352"/>
      <c r="CL1352"/>
      <c r="CM1352"/>
      <c r="CN1352"/>
      <c r="CO1352"/>
      <c r="CP1352"/>
      <c r="CQ1352"/>
      <c r="CR1352"/>
      <c r="CS1352"/>
      <c r="CT1352"/>
      <c r="CU1352"/>
      <c r="CV1352"/>
      <c r="CW1352"/>
      <c r="CX1352"/>
      <c r="CY1352"/>
    </row>
    <row r="1353" spans="50:103" ht="20.100000000000001" customHeight="1" x14ac:dyDescent="0.25">
      <c r="AX1353"/>
      <c r="AY1353"/>
      <c r="AZ1353"/>
      <c r="BA1353"/>
      <c r="BB1353"/>
      <c r="BC1353"/>
      <c r="BD1353"/>
      <c r="BE1353"/>
      <c r="BF1353"/>
      <c r="BG1353"/>
      <c r="BH1353"/>
      <c r="BI1353"/>
      <c r="BJ1353"/>
      <c r="BK1353"/>
      <c r="BL1353"/>
      <c r="BM1353"/>
      <c r="BN1353"/>
      <c r="BO1353"/>
      <c r="BP1353"/>
      <c r="BQ1353"/>
      <c r="BR1353"/>
      <c r="BY1353"/>
      <c r="BZ1353"/>
      <c r="CA1353"/>
      <c r="CB1353"/>
      <c r="CC1353"/>
      <c r="CD1353"/>
      <c r="CE1353"/>
      <c r="CF1353"/>
      <c r="CG1353"/>
      <c r="CH1353"/>
      <c r="CI1353"/>
      <c r="CJ1353"/>
      <c r="CK1353"/>
      <c r="CL1353"/>
      <c r="CM1353"/>
      <c r="CN1353"/>
      <c r="CO1353"/>
      <c r="CP1353"/>
      <c r="CQ1353"/>
      <c r="CR1353"/>
      <c r="CS1353"/>
      <c r="CT1353"/>
      <c r="CU1353"/>
      <c r="CV1353"/>
      <c r="CW1353"/>
      <c r="CX1353"/>
      <c r="CY1353"/>
    </row>
    <row r="1354" spans="50:103" ht="20.100000000000001" customHeight="1" x14ac:dyDescent="0.25">
      <c r="AX1354"/>
      <c r="AY1354"/>
      <c r="AZ1354"/>
      <c r="BA1354"/>
      <c r="BB1354"/>
      <c r="BC1354"/>
      <c r="BD1354"/>
      <c r="BE1354"/>
      <c r="BF1354"/>
      <c r="BG1354"/>
      <c r="BH1354"/>
      <c r="BI1354"/>
      <c r="BJ1354"/>
      <c r="BK1354"/>
      <c r="BL1354"/>
      <c r="BM1354"/>
      <c r="BN1354"/>
      <c r="BO1354"/>
      <c r="BP1354"/>
      <c r="BQ1354"/>
      <c r="BR1354"/>
      <c r="BY1354"/>
      <c r="BZ1354"/>
      <c r="CA1354"/>
      <c r="CB1354"/>
      <c r="CC1354"/>
      <c r="CD1354"/>
      <c r="CE1354"/>
      <c r="CF1354"/>
      <c r="CG1354"/>
      <c r="CH1354"/>
      <c r="CI1354"/>
      <c r="CJ1354"/>
      <c r="CK1354"/>
      <c r="CL1354"/>
      <c r="CM1354"/>
      <c r="CN1354"/>
      <c r="CO1354"/>
      <c r="CP1354"/>
      <c r="CQ1354"/>
      <c r="CR1354"/>
      <c r="CS1354"/>
      <c r="CT1354"/>
      <c r="CU1354"/>
      <c r="CV1354"/>
      <c r="CW1354"/>
      <c r="CX1354"/>
      <c r="CY1354"/>
    </row>
    <row r="1355" spans="50:103" ht="20.100000000000001" customHeight="1" x14ac:dyDescent="0.25">
      <c r="AX1355"/>
      <c r="AY1355"/>
      <c r="AZ1355"/>
      <c r="BA1355"/>
      <c r="BB1355"/>
      <c r="BC1355"/>
      <c r="BD1355"/>
      <c r="BE1355"/>
      <c r="BF1355"/>
      <c r="BG1355"/>
      <c r="BH1355"/>
      <c r="BI1355"/>
      <c r="BJ1355"/>
      <c r="BK1355"/>
      <c r="BL1355"/>
      <c r="BM1355"/>
      <c r="BN1355"/>
      <c r="BO1355"/>
      <c r="BP1355"/>
      <c r="BQ1355"/>
      <c r="BR1355"/>
      <c r="BY1355"/>
      <c r="BZ1355"/>
      <c r="CA1355"/>
      <c r="CB1355"/>
      <c r="CC1355"/>
      <c r="CD1355"/>
      <c r="CE1355"/>
      <c r="CF1355"/>
      <c r="CG1355"/>
      <c r="CH1355"/>
      <c r="CI1355"/>
      <c r="CJ1355"/>
      <c r="CK1355"/>
      <c r="CL1355"/>
      <c r="CM1355"/>
      <c r="CN1355"/>
      <c r="CO1355"/>
      <c r="CP1355"/>
      <c r="CQ1355"/>
      <c r="CR1355"/>
      <c r="CS1355"/>
      <c r="CT1355"/>
      <c r="CU1355"/>
      <c r="CV1355"/>
      <c r="CW1355"/>
      <c r="CX1355"/>
      <c r="CY1355"/>
    </row>
    <row r="1356" spans="50:103" ht="20.100000000000001" customHeight="1" x14ac:dyDescent="0.25">
      <c r="AX1356"/>
      <c r="AY1356"/>
      <c r="AZ1356"/>
      <c r="BA1356"/>
      <c r="BB1356"/>
      <c r="BC1356"/>
      <c r="BD1356"/>
      <c r="BE1356"/>
      <c r="BF1356"/>
      <c r="BG1356"/>
      <c r="BH1356"/>
      <c r="BI1356"/>
      <c r="BJ1356"/>
      <c r="BK1356"/>
      <c r="BL1356"/>
      <c r="BM1356"/>
      <c r="BN1356"/>
      <c r="BO1356"/>
      <c r="BP1356"/>
      <c r="BQ1356"/>
      <c r="BR1356"/>
      <c r="BY1356"/>
      <c r="BZ1356"/>
      <c r="CA1356"/>
      <c r="CB1356"/>
      <c r="CC1356"/>
      <c r="CD1356"/>
      <c r="CE1356"/>
      <c r="CF1356"/>
      <c r="CG1356"/>
      <c r="CH1356"/>
      <c r="CI1356"/>
      <c r="CJ1356"/>
      <c r="CK1356"/>
      <c r="CL1356"/>
      <c r="CM1356"/>
      <c r="CN1356"/>
      <c r="CO1356"/>
      <c r="CP1356"/>
      <c r="CQ1356"/>
      <c r="CR1356"/>
      <c r="CS1356"/>
      <c r="CT1356"/>
      <c r="CU1356"/>
      <c r="CV1356"/>
      <c r="CW1356"/>
      <c r="CX1356"/>
      <c r="CY1356"/>
    </row>
    <row r="1357" spans="50:103" ht="20.100000000000001" customHeight="1" x14ac:dyDescent="0.25">
      <c r="AX1357"/>
      <c r="AY1357"/>
      <c r="AZ1357"/>
      <c r="BA1357"/>
      <c r="BB1357"/>
      <c r="BC1357"/>
      <c r="BD1357"/>
      <c r="BE1357"/>
      <c r="BF1357"/>
      <c r="BG1357"/>
      <c r="BH1357"/>
      <c r="BI1357"/>
      <c r="BJ1357"/>
      <c r="BK1357"/>
      <c r="BL1357"/>
      <c r="BM1357"/>
      <c r="BN1357"/>
      <c r="BO1357"/>
      <c r="BP1357"/>
      <c r="BQ1357"/>
      <c r="BR1357"/>
      <c r="BY1357"/>
      <c r="BZ1357"/>
      <c r="CA1357"/>
      <c r="CB1357"/>
      <c r="CC1357"/>
      <c r="CD1357"/>
      <c r="CE1357"/>
      <c r="CF1357"/>
      <c r="CG1357"/>
      <c r="CH1357"/>
      <c r="CI1357"/>
      <c r="CJ1357"/>
      <c r="CK1357"/>
      <c r="CL1357"/>
      <c r="CM1357"/>
      <c r="CN1357"/>
      <c r="CO1357"/>
      <c r="CP1357"/>
      <c r="CQ1357"/>
      <c r="CR1357"/>
      <c r="CS1357"/>
      <c r="CT1357"/>
      <c r="CU1357"/>
      <c r="CV1357"/>
      <c r="CW1357"/>
      <c r="CX1357"/>
      <c r="CY1357"/>
    </row>
    <row r="1358" spans="50:103" ht="20.100000000000001" customHeight="1" x14ac:dyDescent="0.25">
      <c r="AX1358"/>
      <c r="AY1358"/>
      <c r="AZ1358"/>
      <c r="BA1358"/>
      <c r="BB1358"/>
      <c r="BC1358"/>
      <c r="BD1358"/>
      <c r="BE1358"/>
      <c r="BF1358"/>
      <c r="BG1358"/>
      <c r="BH1358"/>
      <c r="BI1358"/>
      <c r="BJ1358"/>
      <c r="BK1358"/>
      <c r="BL1358"/>
      <c r="BM1358"/>
      <c r="BN1358"/>
      <c r="BO1358"/>
      <c r="BP1358"/>
      <c r="BQ1358"/>
      <c r="BR1358"/>
      <c r="BY1358"/>
      <c r="BZ1358"/>
      <c r="CA1358"/>
      <c r="CB1358"/>
      <c r="CC1358"/>
      <c r="CD1358"/>
      <c r="CE1358"/>
      <c r="CF1358"/>
      <c r="CG1358"/>
      <c r="CH1358"/>
      <c r="CI1358"/>
      <c r="CJ1358"/>
      <c r="CK1358"/>
      <c r="CL1358"/>
      <c r="CM1358"/>
      <c r="CN1358"/>
      <c r="CO1358"/>
      <c r="CP1358"/>
      <c r="CQ1358"/>
      <c r="CR1358"/>
      <c r="CS1358"/>
      <c r="CT1358"/>
      <c r="CU1358"/>
      <c r="CV1358"/>
      <c r="CW1358"/>
      <c r="CX1358"/>
      <c r="CY1358"/>
    </row>
    <row r="1359" spans="50:103" ht="20.100000000000001" customHeight="1" x14ac:dyDescent="0.25">
      <c r="AX1359"/>
      <c r="AY1359"/>
      <c r="AZ1359"/>
      <c r="BA1359"/>
      <c r="BB1359"/>
      <c r="BC1359"/>
      <c r="BD1359"/>
      <c r="BE1359"/>
      <c r="BF1359"/>
      <c r="BG1359"/>
      <c r="BH1359"/>
      <c r="BI1359"/>
      <c r="BJ1359"/>
      <c r="BK1359"/>
      <c r="BL1359"/>
      <c r="BM1359"/>
      <c r="BN1359"/>
      <c r="BO1359"/>
      <c r="BP1359"/>
      <c r="BQ1359"/>
      <c r="BR1359"/>
      <c r="BY1359"/>
      <c r="BZ1359"/>
      <c r="CA1359"/>
      <c r="CB1359"/>
      <c r="CC1359"/>
      <c r="CD1359"/>
      <c r="CE1359"/>
      <c r="CF1359"/>
      <c r="CG1359"/>
      <c r="CH1359"/>
      <c r="CI1359"/>
      <c r="CJ1359"/>
      <c r="CK1359"/>
      <c r="CL1359"/>
      <c r="CM1359"/>
      <c r="CN1359"/>
      <c r="CO1359"/>
      <c r="CP1359"/>
      <c r="CQ1359"/>
      <c r="CR1359"/>
      <c r="CS1359"/>
      <c r="CT1359"/>
      <c r="CU1359"/>
      <c r="CV1359"/>
      <c r="CW1359"/>
      <c r="CX1359"/>
      <c r="CY1359"/>
    </row>
    <row r="1360" spans="50:103" ht="20.100000000000001" customHeight="1" x14ac:dyDescent="0.25">
      <c r="AX1360"/>
      <c r="AY1360"/>
      <c r="AZ1360"/>
      <c r="BA1360"/>
      <c r="BB1360"/>
      <c r="BC1360"/>
      <c r="BD1360"/>
      <c r="BE1360"/>
      <c r="BF1360"/>
      <c r="BG1360"/>
      <c r="BH1360"/>
      <c r="BI1360"/>
      <c r="BJ1360"/>
      <c r="BK1360"/>
      <c r="BL1360"/>
      <c r="BM1360"/>
      <c r="BN1360"/>
      <c r="BO1360"/>
      <c r="BP1360"/>
      <c r="BQ1360"/>
      <c r="BR1360"/>
      <c r="BY1360"/>
      <c r="BZ1360"/>
      <c r="CA1360"/>
      <c r="CB1360"/>
      <c r="CC1360"/>
      <c r="CD1360"/>
      <c r="CE1360"/>
      <c r="CF1360"/>
      <c r="CG1360"/>
      <c r="CH1360"/>
      <c r="CI1360"/>
      <c r="CJ1360"/>
      <c r="CK1360"/>
      <c r="CL1360"/>
      <c r="CM1360"/>
      <c r="CN1360"/>
      <c r="CO1360"/>
      <c r="CP1360"/>
      <c r="CQ1360"/>
      <c r="CR1360"/>
      <c r="CS1360"/>
      <c r="CT1360"/>
      <c r="CU1360"/>
      <c r="CV1360"/>
      <c r="CW1360"/>
      <c r="CX1360"/>
      <c r="CY1360"/>
    </row>
    <row r="1361" spans="50:103" ht="20.100000000000001" customHeight="1" x14ac:dyDescent="0.25">
      <c r="AX1361"/>
      <c r="AY1361"/>
      <c r="AZ1361"/>
      <c r="BA1361"/>
      <c r="BB1361"/>
      <c r="BC1361"/>
      <c r="BD1361"/>
      <c r="BE1361"/>
      <c r="BF1361"/>
      <c r="BG1361"/>
      <c r="BH1361"/>
      <c r="BI1361"/>
      <c r="BJ1361"/>
      <c r="BK1361"/>
      <c r="BL1361"/>
      <c r="BM1361"/>
      <c r="BN1361"/>
      <c r="BO1361"/>
      <c r="BP1361"/>
      <c r="BQ1361"/>
      <c r="BR1361"/>
      <c r="BY1361"/>
      <c r="BZ1361"/>
      <c r="CA1361"/>
      <c r="CB1361"/>
      <c r="CC1361"/>
      <c r="CD1361"/>
      <c r="CE1361"/>
      <c r="CF1361"/>
      <c r="CG1361"/>
      <c r="CH1361"/>
      <c r="CI1361"/>
      <c r="CJ1361"/>
      <c r="CK1361"/>
      <c r="CL1361"/>
      <c r="CM1361"/>
      <c r="CN1361"/>
      <c r="CO1361"/>
      <c r="CP1361"/>
      <c r="CQ1361"/>
      <c r="CR1361"/>
      <c r="CS1361"/>
      <c r="CT1361"/>
      <c r="CU1361"/>
      <c r="CV1361"/>
      <c r="CW1361"/>
      <c r="CX1361"/>
      <c r="CY1361"/>
    </row>
    <row r="1362" spans="50:103" ht="20.100000000000001" customHeight="1" x14ac:dyDescent="0.25">
      <c r="AX1362"/>
      <c r="AY1362"/>
      <c r="AZ1362"/>
      <c r="BA1362"/>
      <c r="BB1362"/>
      <c r="BC1362"/>
      <c r="BD1362"/>
      <c r="BE1362"/>
      <c r="BF1362"/>
      <c r="BG1362"/>
      <c r="BH1362"/>
      <c r="BI1362"/>
      <c r="BJ1362"/>
      <c r="BK1362"/>
      <c r="BL1362"/>
      <c r="BM1362"/>
      <c r="BN1362"/>
      <c r="BO1362"/>
      <c r="BP1362"/>
      <c r="BQ1362"/>
      <c r="BR1362"/>
      <c r="BY1362"/>
      <c r="BZ1362"/>
      <c r="CA1362"/>
      <c r="CB1362"/>
      <c r="CC1362"/>
      <c r="CD1362"/>
      <c r="CE1362"/>
      <c r="CF1362"/>
      <c r="CG1362"/>
      <c r="CH1362"/>
      <c r="CI1362"/>
      <c r="CJ1362"/>
      <c r="CK1362"/>
      <c r="CL1362"/>
      <c r="CM1362"/>
      <c r="CN1362"/>
      <c r="CO1362"/>
      <c r="CP1362"/>
      <c r="CQ1362"/>
      <c r="CR1362"/>
      <c r="CS1362"/>
      <c r="CT1362"/>
      <c r="CU1362"/>
      <c r="CV1362"/>
      <c r="CW1362"/>
      <c r="CX1362"/>
      <c r="CY1362"/>
    </row>
    <row r="1363" spans="50:103" ht="20.100000000000001" customHeight="1" x14ac:dyDescent="0.25">
      <c r="AX1363"/>
      <c r="AY1363"/>
      <c r="AZ1363"/>
      <c r="BA1363"/>
      <c r="BB1363"/>
      <c r="BC1363"/>
      <c r="BD1363"/>
      <c r="BE1363"/>
      <c r="BF1363"/>
      <c r="BG1363"/>
      <c r="BH1363"/>
      <c r="BI1363"/>
      <c r="BJ1363"/>
      <c r="BK1363"/>
      <c r="BL1363"/>
      <c r="BM1363"/>
      <c r="BN1363"/>
      <c r="BO1363"/>
      <c r="BP1363"/>
      <c r="BQ1363"/>
      <c r="BR1363"/>
      <c r="BY1363"/>
      <c r="BZ1363"/>
      <c r="CA1363"/>
      <c r="CB1363"/>
      <c r="CC1363"/>
      <c r="CD1363"/>
      <c r="CE1363"/>
      <c r="CF1363"/>
      <c r="CG1363"/>
      <c r="CH1363"/>
      <c r="CI1363"/>
      <c r="CJ1363"/>
      <c r="CK1363"/>
      <c r="CL1363"/>
      <c r="CM1363"/>
      <c r="CN1363"/>
      <c r="CO1363"/>
      <c r="CP1363"/>
      <c r="CQ1363"/>
      <c r="CR1363"/>
      <c r="CS1363"/>
      <c r="CT1363"/>
      <c r="CU1363"/>
      <c r="CV1363"/>
      <c r="CW1363"/>
      <c r="CX1363"/>
      <c r="CY1363"/>
    </row>
    <row r="1364" spans="50:103" ht="20.100000000000001" customHeight="1" x14ac:dyDescent="0.25">
      <c r="AX1364"/>
      <c r="AY1364"/>
      <c r="AZ1364"/>
      <c r="BA1364"/>
      <c r="BB1364"/>
      <c r="BC1364"/>
      <c r="BD1364"/>
      <c r="BE1364"/>
      <c r="BF1364"/>
      <c r="BG1364"/>
      <c r="BH1364"/>
      <c r="BI1364"/>
      <c r="BJ1364"/>
      <c r="BK1364"/>
      <c r="BL1364"/>
      <c r="BM1364"/>
      <c r="BN1364"/>
      <c r="BO1364"/>
      <c r="BP1364"/>
      <c r="BQ1364"/>
      <c r="BR1364"/>
      <c r="BY1364"/>
      <c r="BZ1364"/>
      <c r="CA1364"/>
      <c r="CB1364"/>
      <c r="CC1364"/>
      <c r="CD1364"/>
      <c r="CE1364"/>
      <c r="CF1364"/>
      <c r="CG1364"/>
      <c r="CH1364"/>
      <c r="CI1364"/>
      <c r="CJ1364"/>
      <c r="CK1364"/>
      <c r="CL1364"/>
      <c r="CM1364"/>
      <c r="CN1364"/>
      <c r="CO1364"/>
      <c r="CP1364"/>
      <c r="CQ1364"/>
      <c r="CR1364"/>
      <c r="CS1364"/>
      <c r="CT1364"/>
      <c r="CU1364"/>
      <c r="CV1364"/>
      <c r="CW1364"/>
      <c r="CX1364"/>
      <c r="CY1364"/>
    </row>
    <row r="1365" spans="50:103" ht="20.100000000000001" customHeight="1" x14ac:dyDescent="0.25">
      <c r="AX1365"/>
      <c r="AY1365"/>
      <c r="AZ1365"/>
      <c r="BA1365"/>
      <c r="BB1365"/>
      <c r="BC1365"/>
      <c r="BD1365"/>
      <c r="BE1365"/>
      <c r="BF1365"/>
      <c r="BG1365"/>
      <c r="BH1365"/>
      <c r="BI1365"/>
      <c r="BJ1365"/>
      <c r="BK1365"/>
      <c r="BL1365"/>
      <c r="BM1365"/>
      <c r="BN1365"/>
      <c r="BO1365"/>
      <c r="BP1365"/>
      <c r="BQ1365"/>
      <c r="BR1365"/>
      <c r="BY1365"/>
      <c r="BZ1365"/>
      <c r="CA1365"/>
      <c r="CB1365"/>
      <c r="CC1365"/>
      <c r="CD1365"/>
      <c r="CE1365"/>
      <c r="CF1365"/>
      <c r="CG1365"/>
      <c r="CH1365"/>
      <c r="CI1365"/>
      <c r="CJ1365"/>
      <c r="CK1365"/>
      <c r="CL1365"/>
      <c r="CM1365"/>
      <c r="CN1365"/>
      <c r="CO1365"/>
      <c r="CP1365"/>
      <c r="CQ1365"/>
      <c r="CR1365"/>
      <c r="CS1365"/>
      <c r="CT1365"/>
      <c r="CU1365"/>
      <c r="CV1365"/>
      <c r="CW1365"/>
      <c r="CX1365"/>
      <c r="CY1365"/>
    </row>
    <row r="1366" spans="50:103" ht="20.100000000000001" customHeight="1" x14ac:dyDescent="0.25">
      <c r="AX1366"/>
      <c r="AY1366"/>
      <c r="AZ1366"/>
      <c r="BA1366"/>
      <c r="BB1366"/>
      <c r="BC1366"/>
      <c r="BD1366"/>
      <c r="BE1366"/>
      <c r="BF1366"/>
      <c r="BG1366"/>
      <c r="BH1366"/>
      <c r="BI1366"/>
      <c r="BJ1366"/>
      <c r="BK1366"/>
      <c r="BL1366"/>
      <c r="BM1366"/>
      <c r="BN1366"/>
      <c r="BO1366"/>
      <c r="BP1366"/>
      <c r="BQ1366"/>
      <c r="BR1366"/>
      <c r="BY1366"/>
      <c r="BZ1366"/>
      <c r="CA1366"/>
      <c r="CB1366"/>
      <c r="CC1366"/>
      <c r="CD1366"/>
      <c r="CE1366"/>
      <c r="CF1366"/>
      <c r="CG1366"/>
      <c r="CH1366"/>
      <c r="CI1366"/>
      <c r="CJ1366"/>
      <c r="CK1366"/>
      <c r="CL1366"/>
      <c r="CM1366"/>
      <c r="CN1366"/>
      <c r="CO1366"/>
      <c r="CP1366"/>
      <c r="CQ1366"/>
      <c r="CR1366"/>
      <c r="CS1366"/>
      <c r="CT1366"/>
      <c r="CU1366"/>
      <c r="CV1366"/>
      <c r="CW1366"/>
      <c r="CX1366"/>
      <c r="CY1366"/>
    </row>
    <row r="1367" spans="50:103" ht="20.100000000000001" customHeight="1" x14ac:dyDescent="0.25">
      <c r="AX1367"/>
      <c r="AY1367"/>
      <c r="AZ1367"/>
      <c r="BA1367"/>
      <c r="BB1367"/>
      <c r="BC1367"/>
      <c r="BD1367"/>
      <c r="BE1367"/>
      <c r="BF1367"/>
      <c r="BG1367"/>
      <c r="BH1367"/>
      <c r="BI1367"/>
      <c r="BJ1367"/>
      <c r="BK1367"/>
      <c r="BL1367"/>
      <c r="BM1367"/>
      <c r="BN1367"/>
      <c r="BO1367"/>
      <c r="BP1367"/>
      <c r="BQ1367"/>
      <c r="BR1367"/>
      <c r="BY1367"/>
      <c r="BZ1367"/>
      <c r="CA1367"/>
      <c r="CB1367"/>
      <c r="CC1367"/>
      <c r="CD1367"/>
      <c r="CE1367"/>
      <c r="CF1367"/>
      <c r="CG1367"/>
      <c r="CH1367"/>
      <c r="CI1367"/>
      <c r="CJ1367"/>
      <c r="CK1367"/>
      <c r="CL1367"/>
      <c r="CM1367"/>
      <c r="CN1367"/>
      <c r="CO1367"/>
      <c r="CP1367"/>
      <c r="CQ1367"/>
      <c r="CR1367"/>
      <c r="CS1367"/>
      <c r="CT1367"/>
      <c r="CU1367"/>
      <c r="CV1367"/>
      <c r="CW1367"/>
      <c r="CX1367"/>
      <c r="CY1367"/>
    </row>
    <row r="1368" spans="50:103" ht="20.100000000000001" customHeight="1" x14ac:dyDescent="0.25">
      <c r="AX1368"/>
      <c r="AY1368"/>
      <c r="AZ1368"/>
      <c r="BA1368"/>
      <c r="BB1368"/>
      <c r="BC1368"/>
      <c r="BD1368"/>
      <c r="BE1368"/>
      <c r="BF1368"/>
      <c r="BG1368"/>
      <c r="BH1368"/>
      <c r="BI1368"/>
      <c r="BJ1368"/>
      <c r="BK1368"/>
      <c r="BL1368"/>
      <c r="BM1368"/>
      <c r="BN1368"/>
      <c r="BO1368"/>
      <c r="BP1368"/>
      <c r="BQ1368"/>
      <c r="BR1368"/>
      <c r="BY1368"/>
      <c r="BZ1368"/>
      <c r="CA1368"/>
      <c r="CB1368"/>
      <c r="CC1368"/>
      <c r="CD1368"/>
      <c r="CE1368"/>
      <c r="CF1368"/>
      <c r="CG1368"/>
      <c r="CH1368"/>
      <c r="CI1368"/>
      <c r="CJ1368"/>
      <c r="CK1368"/>
      <c r="CL1368"/>
      <c r="CM1368"/>
      <c r="CN1368"/>
      <c r="CO1368"/>
      <c r="CP1368"/>
      <c r="CQ1368"/>
      <c r="CR1368"/>
      <c r="CS1368"/>
      <c r="CT1368"/>
      <c r="CU1368"/>
      <c r="CV1368"/>
      <c r="CW1368"/>
      <c r="CX1368"/>
      <c r="CY1368"/>
    </row>
    <row r="1369" spans="50:103" ht="20.100000000000001" customHeight="1" x14ac:dyDescent="0.25">
      <c r="AX1369"/>
      <c r="AY1369"/>
      <c r="AZ1369"/>
      <c r="BA1369"/>
      <c r="BB1369"/>
      <c r="BC1369"/>
      <c r="BD1369"/>
      <c r="BE1369"/>
      <c r="BF1369"/>
      <c r="BG1369"/>
      <c r="BH1369"/>
      <c r="BI1369"/>
      <c r="BJ1369"/>
      <c r="BK1369"/>
      <c r="BL1369"/>
      <c r="BM1369"/>
      <c r="BN1369"/>
      <c r="BO1369"/>
      <c r="BP1369"/>
      <c r="BQ1369"/>
      <c r="BR1369"/>
      <c r="BY1369"/>
      <c r="BZ1369"/>
      <c r="CA1369"/>
      <c r="CB1369"/>
      <c r="CC1369"/>
      <c r="CD1369"/>
      <c r="CE1369"/>
      <c r="CF1369"/>
      <c r="CG1369"/>
      <c r="CH1369"/>
      <c r="CI1369"/>
      <c r="CJ1369"/>
      <c r="CK1369"/>
      <c r="CL1369"/>
      <c r="CM1369"/>
      <c r="CN1369"/>
      <c r="CO1369"/>
      <c r="CP1369"/>
      <c r="CQ1369"/>
      <c r="CR1369"/>
      <c r="CS1369"/>
      <c r="CT1369"/>
      <c r="CU1369"/>
      <c r="CV1369"/>
      <c r="CW1369"/>
      <c r="CX1369"/>
      <c r="CY1369"/>
    </row>
    <row r="1370" spans="50:103" ht="20.100000000000001" customHeight="1" x14ac:dyDescent="0.25">
      <c r="AX1370"/>
      <c r="AY1370"/>
      <c r="AZ1370"/>
      <c r="BA1370"/>
      <c r="BB1370"/>
      <c r="BC1370"/>
      <c r="BD1370"/>
      <c r="BE1370"/>
      <c r="BF1370"/>
      <c r="BG1370"/>
      <c r="BH1370"/>
      <c r="BI1370"/>
      <c r="BJ1370"/>
      <c r="BK1370"/>
      <c r="BL1370"/>
      <c r="BM1370"/>
      <c r="BN1370"/>
      <c r="BO1370"/>
      <c r="BP1370"/>
      <c r="BQ1370"/>
      <c r="BR1370"/>
      <c r="BY1370"/>
      <c r="BZ1370"/>
      <c r="CA1370"/>
      <c r="CB1370"/>
      <c r="CC1370"/>
      <c r="CD1370"/>
      <c r="CE1370"/>
      <c r="CF1370"/>
      <c r="CG1370"/>
      <c r="CH1370"/>
      <c r="CI1370"/>
      <c r="CJ1370"/>
      <c r="CK1370"/>
      <c r="CL1370"/>
      <c r="CM1370"/>
      <c r="CN1370"/>
      <c r="CO1370"/>
      <c r="CP1370"/>
      <c r="CQ1370"/>
      <c r="CR1370"/>
      <c r="CS1370"/>
      <c r="CT1370"/>
      <c r="CU1370"/>
      <c r="CV1370"/>
      <c r="CW1370"/>
      <c r="CX1370"/>
      <c r="CY1370"/>
    </row>
    <row r="1371" spans="50:103" ht="20.100000000000001" customHeight="1" x14ac:dyDescent="0.25">
      <c r="AX1371"/>
      <c r="AY1371"/>
      <c r="AZ1371"/>
      <c r="BA1371"/>
      <c r="BB1371"/>
      <c r="BC1371"/>
      <c r="BD1371"/>
      <c r="BE1371"/>
      <c r="BF1371"/>
      <c r="BG1371"/>
      <c r="BH1371"/>
      <c r="BI1371"/>
      <c r="BJ1371"/>
      <c r="BK1371"/>
      <c r="BL1371"/>
      <c r="BM1371"/>
      <c r="BN1371"/>
      <c r="BO1371"/>
      <c r="BP1371"/>
      <c r="BQ1371"/>
      <c r="BR1371"/>
      <c r="BY1371"/>
      <c r="BZ1371"/>
      <c r="CA1371"/>
      <c r="CB1371"/>
      <c r="CC1371"/>
      <c r="CD1371"/>
      <c r="CE1371"/>
      <c r="CF1371"/>
      <c r="CG1371"/>
      <c r="CH1371"/>
      <c r="CI1371"/>
      <c r="CJ1371"/>
      <c r="CK1371"/>
      <c r="CL1371"/>
      <c r="CM1371"/>
      <c r="CN1371"/>
      <c r="CO1371"/>
      <c r="CP1371"/>
      <c r="CQ1371"/>
      <c r="CR1371"/>
      <c r="CS1371"/>
      <c r="CT1371"/>
      <c r="CU1371"/>
      <c r="CV1371"/>
      <c r="CW1371"/>
      <c r="CX1371"/>
      <c r="CY1371"/>
    </row>
    <row r="1372" spans="50:103" ht="20.100000000000001" customHeight="1" x14ac:dyDescent="0.25">
      <c r="AX1372"/>
      <c r="AY1372"/>
      <c r="AZ1372"/>
      <c r="BA1372"/>
      <c r="BB1372"/>
      <c r="BC1372"/>
      <c r="BD1372"/>
      <c r="BE1372"/>
      <c r="BF1372"/>
      <c r="BG1372"/>
      <c r="BH1372"/>
      <c r="BI1372"/>
      <c r="BJ1372"/>
      <c r="BK1372"/>
      <c r="BL1372"/>
      <c r="BM1372"/>
      <c r="BN1372"/>
      <c r="BO1372"/>
      <c r="BP1372"/>
      <c r="BQ1372"/>
      <c r="BR1372"/>
      <c r="BY1372"/>
      <c r="BZ1372"/>
      <c r="CA1372"/>
      <c r="CB1372"/>
      <c r="CC1372"/>
      <c r="CD1372"/>
      <c r="CE1372"/>
      <c r="CF1372"/>
      <c r="CG1372"/>
      <c r="CH1372"/>
      <c r="CI1372"/>
      <c r="CJ1372"/>
      <c r="CK1372"/>
      <c r="CL1372"/>
      <c r="CM1372"/>
      <c r="CN1372"/>
      <c r="CO1372"/>
      <c r="CP1372"/>
      <c r="CQ1372"/>
      <c r="CR1372"/>
      <c r="CS1372"/>
      <c r="CT1372"/>
      <c r="CU1372"/>
      <c r="CV1372"/>
      <c r="CW1372"/>
      <c r="CX1372"/>
      <c r="CY1372"/>
    </row>
    <row r="1373" spans="50:103" ht="20.100000000000001" customHeight="1" x14ac:dyDescent="0.25">
      <c r="AX1373"/>
      <c r="AY1373"/>
      <c r="AZ1373"/>
      <c r="BA1373"/>
      <c r="BB1373"/>
      <c r="BC1373"/>
      <c r="BD1373"/>
      <c r="BE1373"/>
      <c r="BF1373"/>
      <c r="BG1373"/>
      <c r="BH1373"/>
      <c r="BI1373"/>
      <c r="BJ1373"/>
      <c r="BK1373"/>
      <c r="BL1373"/>
      <c r="BM1373"/>
      <c r="BN1373"/>
      <c r="BO1373"/>
      <c r="BP1373"/>
      <c r="BQ1373"/>
      <c r="BR1373"/>
      <c r="BY1373"/>
      <c r="BZ1373"/>
      <c r="CA1373"/>
      <c r="CB1373"/>
      <c r="CC1373"/>
      <c r="CD1373"/>
      <c r="CE1373"/>
      <c r="CF1373"/>
      <c r="CG1373"/>
      <c r="CH1373"/>
      <c r="CI1373"/>
      <c r="CJ1373"/>
      <c r="CK1373"/>
      <c r="CL1373"/>
      <c r="CM1373"/>
      <c r="CN1373"/>
      <c r="CO1373"/>
      <c r="CP1373"/>
      <c r="CQ1373"/>
      <c r="CR1373"/>
      <c r="CS1373"/>
      <c r="CT1373"/>
      <c r="CU1373"/>
      <c r="CV1373"/>
      <c r="CW1373"/>
      <c r="CX1373"/>
      <c r="CY1373"/>
    </row>
    <row r="1374" spans="50:103" ht="20.100000000000001" customHeight="1" x14ac:dyDescent="0.25">
      <c r="AX1374"/>
      <c r="AY1374"/>
      <c r="AZ1374"/>
      <c r="BA1374"/>
      <c r="BB1374"/>
      <c r="BC1374"/>
      <c r="BD1374"/>
      <c r="BE1374"/>
      <c r="BF1374"/>
      <c r="BG1374"/>
      <c r="BH1374"/>
      <c r="BI1374"/>
      <c r="BJ1374"/>
      <c r="BK1374"/>
      <c r="BL1374"/>
      <c r="BM1374"/>
      <c r="BN1374"/>
      <c r="BO1374"/>
      <c r="BP1374"/>
      <c r="BQ1374"/>
      <c r="BR1374"/>
      <c r="BY1374"/>
      <c r="BZ1374"/>
      <c r="CA1374"/>
      <c r="CB1374"/>
      <c r="CC1374"/>
      <c r="CD1374"/>
      <c r="CE1374"/>
      <c r="CF1374"/>
      <c r="CG1374"/>
      <c r="CH1374"/>
      <c r="CI1374"/>
      <c r="CJ1374"/>
      <c r="CK1374"/>
      <c r="CL1374"/>
      <c r="CM1374"/>
      <c r="CN1374"/>
      <c r="CO1374"/>
      <c r="CP1374"/>
      <c r="CQ1374"/>
      <c r="CR1374"/>
      <c r="CS1374"/>
      <c r="CT1374"/>
      <c r="CU1374"/>
      <c r="CV1374"/>
      <c r="CW1374"/>
      <c r="CX1374"/>
      <c r="CY1374"/>
    </row>
    <row r="1375" spans="50:103" ht="20.100000000000001" customHeight="1" x14ac:dyDescent="0.25">
      <c r="AX1375"/>
      <c r="AY1375"/>
      <c r="AZ1375"/>
      <c r="BA1375"/>
      <c r="BB1375"/>
      <c r="BC1375"/>
      <c r="BD1375"/>
      <c r="BE1375"/>
      <c r="BF1375"/>
      <c r="BG1375"/>
      <c r="BH1375"/>
      <c r="BI1375"/>
      <c r="BJ1375"/>
      <c r="BK1375"/>
      <c r="BL1375"/>
      <c r="BM1375"/>
      <c r="BN1375"/>
      <c r="BO1375"/>
      <c r="BP1375"/>
      <c r="BQ1375"/>
      <c r="BR1375"/>
      <c r="BY1375"/>
      <c r="BZ1375"/>
      <c r="CA1375"/>
      <c r="CB1375"/>
      <c r="CC1375"/>
      <c r="CD1375"/>
      <c r="CE1375"/>
      <c r="CF1375"/>
      <c r="CG1375"/>
      <c r="CH1375"/>
      <c r="CI1375"/>
      <c r="CJ1375"/>
      <c r="CK1375"/>
      <c r="CL1375"/>
      <c r="CM1375"/>
      <c r="CN1375"/>
      <c r="CO1375"/>
      <c r="CP1375"/>
      <c r="CQ1375"/>
      <c r="CR1375"/>
      <c r="CS1375"/>
      <c r="CT1375"/>
      <c r="CU1375"/>
      <c r="CV1375"/>
      <c r="CW1375"/>
      <c r="CX1375"/>
      <c r="CY1375"/>
    </row>
    <row r="1376" spans="50:103" ht="20.100000000000001" customHeight="1" x14ac:dyDescent="0.25">
      <c r="AX1376"/>
      <c r="AY1376"/>
      <c r="AZ1376"/>
      <c r="BA1376"/>
      <c r="BB1376"/>
      <c r="BC1376"/>
      <c r="BD1376"/>
      <c r="BE1376"/>
      <c r="BF1376"/>
      <c r="BG1376"/>
      <c r="BH1376"/>
      <c r="BI1376"/>
      <c r="BJ1376"/>
      <c r="BK1376"/>
      <c r="BL1376"/>
      <c r="BM1376"/>
      <c r="BN1376"/>
      <c r="BO1376"/>
      <c r="BP1376"/>
      <c r="BQ1376"/>
      <c r="BR1376"/>
      <c r="BY1376"/>
      <c r="BZ1376"/>
      <c r="CA1376"/>
      <c r="CB1376"/>
      <c r="CC1376"/>
      <c r="CD1376"/>
      <c r="CE1376"/>
      <c r="CF1376"/>
      <c r="CG1376"/>
      <c r="CH1376"/>
      <c r="CI1376"/>
      <c r="CJ1376"/>
      <c r="CK1376"/>
      <c r="CL1376"/>
      <c r="CM1376"/>
      <c r="CN1376"/>
      <c r="CO1376"/>
      <c r="CP1376"/>
      <c r="CQ1376"/>
      <c r="CR1376"/>
      <c r="CS1376"/>
      <c r="CT1376"/>
      <c r="CU1376"/>
      <c r="CV1376"/>
      <c r="CW1376"/>
      <c r="CX1376"/>
      <c r="CY1376"/>
    </row>
    <row r="1377" spans="50:103" ht="20.100000000000001" customHeight="1" x14ac:dyDescent="0.25">
      <c r="AX1377"/>
      <c r="AY1377"/>
      <c r="AZ1377"/>
      <c r="BA1377"/>
      <c r="BB1377"/>
      <c r="BC1377"/>
      <c r="BD1377"/>
      <c r="BE1377"/>
      <c r="BF1377"/>
      <c r="BG1377"/>
      <c r="BH1377"/>
      <c r="BI1377"/>
      <c r="BJ1377"/>
      <c r="BK1377"/>
      <c r="BL1377"/>
      <c r="BM1377"/>
      <c r="BN1377"/>
      <c r="BO1377"/>
      <c r="BP1377"/>
      <c r="BQ1377"/>
      <c r="BR1377"/>
      <c r="BY1377"/>
      <c r="BZ1377"/>
      <c r="CA1377"/>
      <c r="CB1377"/>
      <c r="CC1377"/>
      <c r="CD1377"/>
      <c r="CE1377"/>
      <c r="CF1377"/>
      <c r="CG1377"/>
      <c r="CH1377"/>
      <c r="CI1377"/>
      <c r="CJ1377"/>
      <c r="CK1377"/>
      <c r="CL1377"/>
      <c r="CM1377"/>
      <c r="CN1377"/>
      <c r="CO1377"/>
      <c r="CP1377"/>
      <c r="CQ1377"/>
      <c r="CR1377"/>
      <c r="CS1377"/>
      <c r="CT1377"/>
      <c r="CU1377"/>
      <c r="CV1377"/>
      <c r="CW1377"/>
      <c r="CX1377"/>
      <c r="CY1377"/>
    </row>
    <row r="1378" spans="50:103" ht="20.100000000000001" customHeight="1" x14ac:dyDescent="0.25">
      <c r="AX1378"/>
      <c r="AY1378"/>
      <c r="AZ1378"/>
      <c r="BA1378"/>
      <c r="BB1378"/>
      <c r="BC1378"/>
      <c r="BD1378"/>
      <c r="BE1378"/>
      <c r="BF1378"/>
      <c r="BG1378"/>
      <c r="BH1378"/>
      <c r="BI1378"/>
      <c r="BJ1378"/>
      <c r="BK1378"/>
      <c r="BL1378"/>
      <c r="BM1378"/>
      <c r="BN1378"/>
      <c r="BO1378"/>
      <c r="BP1378"/>
      <c r="BQ1378"/>
      <c r="BR1378"/>
      <c r="BY1378"/>
      <c r="BZ1378"/>
      <c r="CA1378"/>
      <c r="CB1378"/>
      <c r="CC1378"/>
      <c r="CD1378"/>
      <c r="CE1378"/>
      <c r="CF1378"/>
      <c r="CG1378"/>
      <c r="CH1378"/>
      <c r="CI1378"/>
      <c r="CJ1378"/>
      <c r="CK1378"/>
      <c r="CL1378"/>
      <c r="CM1378"/>
      <c r="CN1378"/>
      <c r="CO1378"/>
      <c r="CP1378"/>
      <c r="CQ1378"/>
      <c r="CR1378"/>
      <c r="CS1378"/>
      <c r="CT1378"/>
      <c r="CU1378"/>
      <c r="CV1378"/>
      <c r="CW1378"/>
      <c r="CX1378"/>
      <c r="CY1378"/>
    </row>
    <row r="1379" spans="50:103" ht="20.100000000000001" customHeight="1" x14ac:dyDescent="0.25">
      <c r="AX1379"/>
      <c r="AY1379"/>
      <c r="AZ1379"/>
      <c r="BA1379"/>
      <c r="BB1379"/>
      <c r="BC1379"/>
      <c r="BD1379"/>
      <c r="BE1379"/>
      <c r="BF1379"/>
      <c r="BG1379"/>
      <c r="BH1379"/>
      <c r="BI1379"/>
      <c r="BJ1379"/>
      <c r="BK1379"/>
      <c r="BL1379"/>
      <c r="BM1379"/>
      <c r="BN1379"/>
      <c r="BO1379"/>
      <c r="BP1379"/>
      <c r="BQ1379"/>
      <c r="BR1379"/>
      <c r="BY1379"/>
      <c r="BZ1379"/>
      <c r="CA1379"/>
      <c r="CB1379"/>
      <c r="CC1379"/>
      <c r="CD1379"/>
      <c r="CE1379"/>
      <c r="CF1379"/>
      <c r="CG1379"/>
      <c r="CH1379"/>
      <c r="CI1379"/>
      <c r="CJ1379"/>
      <c r="CK1379"/>
      <c r="CL1379"/>
      <c r="CM1379"/>
      <c r="CN1379"/>
      <c r="CO1379"/>
      <c r="CP1379"/>
      <c r="CQ1379"/>
      <c r="CR1379"/>
      <c r="CS1379"/>
      <c r="CT1379"/>
      <c r="CU1379"/>
      <c r="CV1379"/>
      <c r="CW1379"/>
      <c r="CX1379"/>
      <c r="CY1379"/>
    </row>
    <row r="1380" spans="50:103" ht="20.100000000000001" customHeight="1" x14ac:dyDescent="0.25">
      <c r="AX1380"/>
      <c r="AY1380"/>
      <c r="AZ1380"/>
      <c r="BA1380"/>
      <c r="BB1380"/>
      <c r="BC1380"/>
      <c r="BD1380"/>
      <c r="BE1380"/>
      <c r="BF1380"/>
      <c r="BG1380"/>
      <c r="BH1380"/>
      <c r="BI1380"/>
      <c r="BJ1380"/>
      <c r="BK1380"/>
      <c r="BL1380"/>
      <c r="BM1380"/>
      <c r="BN1380"/>
      <c r="BO1380"/>
      <c r="BP1380"/>
      <c r="BQ1380"/>
      <c r="BR1380"/>
      <c r="BY1380"/>
      <c r="BZ1380"/>
      <c r="CA1380"/>
      <c r="CB1380"/>
      <c r="CC1380"/>
      <c r="CD1380"/>
      <c r="CE1380"/>
      <c r="CF1380"/>
      <c r="CG1380"/>
      <c r="CH1380"/>
      <c r="CI1380"/>
      <c r="CJ1380"/>
      <c r="CK1380"/>
      <c r="CL1380"/>
      <c r="CM1380"/>
      <c r="CN1380"/>
      <c r="CO1380"/>
      <c r="CP1380"/>
      <c r="CQ1380"/>
      <c r="CR1380"/>
      <c r="CS1380"/>
      <c r="CT1380"/>
      <c r="CU1380"/>
      <c r="CV1380"/>
      <c r="CW1380"/>
      <c r="CX1380"/>
      <c r="CY1380"/>
    </row>
    <row r="1381" spans="50:103" ht="20.100000000000001" customHeight="1" x14ac:dyDescent="0.25">
      <c r="AX1381"/>
      <c r="AY1381"/>
      <c r="AZ1381"/>
      <c r="BA1381"/>
      <c r="BB1381"/>
      <c r="BC1381"/>
      <c r="BD1381"/>
      <c r="BE1381"/>
      <c r="BF1381"/>
      <c r="BG1381"/>
      <c r="BH1381"/>
      <c r="BI1381"/>
      <c r="BJ1381"/>
      <c r="BK1381"/>
      <c r="BL1381"/>
      <c r="BM1381"/>
      <c r="BN1381"/>
      <c r="BO1381"/>
      <c r="BP1381"/>
      <c r="BQ1381"/>
      <c r="BR1381"/>
      <c r="BY1381"/>
      <c r="BZ1381"/>
      <c r="CA1381"/>
      <c r="CB1381"/>
      <c r="CC1381"/>
      <c r="CD1381"/>
      <c r="CE1381"/>
      <c r="CF1381"/>
      <c r="CG1381"/>
      <c r="CH1381"/>
      <c r="CI1381"/>
      <c r="CJ1381"/>
      <c r="CK1381"/>
      <c r="CL1381"/>
      <c r="CM1381"/>
      <c r="CN1381"/>
      <c r="CO1381"/>
      <c r="CP1381"/>
      <c r="CQ1381"/>
      <c r="CR1381"/>
      <c r="CS1381"/>
      <c r="CT1381"/>
      <c r="CU1381"/>
      <c r="CV1381"/>
      <c r="CW1381"/>
      <c r="CX1381"/>
      <c r="CY1381"/>
    </row>
    <row r="1382" spans="50:103" ht="20.100000000000001" customHeight="1" x14ac:dyDescent="0.25">
      <c r="AX1382"/>
      <c r="AY1382"/>
      <c r="AZ1382"/>
      <c r="BA1382"/>
      <c r="BB1382"/>
      <c r="BC1382"/>
      <c r="BD1382"/>
      <c r="BE1382"/>
      <c r="BF1382"/>
      <c r="BG1382"/>
      <c r="BH1382"/>
      <c r="BI1382"/>
      <c r="BJ1382"/>
      <c r="BK1382"/>
      <c r="BL1382"/>
      <c r="BM1382"/>
      <c r="BN1382"/>
      <c r="BO1382"/>
      <c r="BP1382"/>
      <c r="BQ1382"/>
      <c r="BR1382"/>
      <c r="BY1382"/>
      <c r="BZ1382"/>
      <c r="CA1382"/>
      <c r="CB1382"/>
      <c r="CC1382"/>
      <c r="CD1382"/>
      <c r="CE1382"/>
      <c r="CF1382"/>
      <c r="CG1382"/>
      <c r="CH1382"/>
      <c r="CI1382"/>
      <c r="CJ1382"/>
      <c r="CK1382"/>
      <c r="CL1382"/>
      <c r="CM1382"/>
      <c r="CN1382"/>
      <c r="CO1382"/>
      <c r="CP1382"/>
      <c r="CQ1382"/>
      <c r="CR1382"/>
      <c r="CS1382"/>
      <c r="CT1382"/>
      <c r="CU1382"/>
      <c r="CV1382"/>
      <c r="CW1382"/>
      <c r="CX1382"/>
      <c r="CY1382"/>
    </row>
    <row r="1383" spans="50:103" ht="20.100000000000001" customHeight="1" x14ac:dyDescent="0.25">
      <c r="AX1383"/>
      <c r="AY1383"/>
      <c r="AZ1383"/>
      <c r="BA1383"/>
      <c r="BB1383"/>
      <c r="BC1383"/>
      <c r="BD1383"/>
      <c r="BE1383"/>
      <c r="BF1383"/>
      <c r="BG1383"/>
      <c r="BH1383"/>
      <c r="BI1383"/>
      <c r="BJ1383"/>
      <c r="BK1383"/>
      <c r="BL1383"/>
      <c r="BM1383"/>
      <c r="BN1383"/>
      <c r="BO1383"/>
      <c r="BP1383"/>
      <c r="BQ1383"/>
      <c r="BR1383"/>
      <c r="BY1383"/>
      <c r="BZ1383"/>
      <c r="CA1383"/>
      <c r="CB1383"/>
      <c r="CC1383"/>
      <c r="CD1383"/>
      <c r="CE1383"/>
      <c r="CF1383"/>
      <c r="CG1383"/>
      <c r="CH1383"/>
      <c r="CI1383"/>
      <c r="CJ1383"/>
      <c r="CK1383"/>
      <c r="CL1383"/>
      <c r="CM1383"/>
      <c r="CN1383"/>
      <c r="CO1383"/>
      <c r="CP1383"/>
      <c r="CQ1383"/>
      <c r="CR1383"/>
      <c r="CS1383"/>
      <c r="CT1383"/>
      <c r="CU1383"/>
      <c r="CV1383"/>
      <c r="CW1383"/>
      <c r="CX1383"/>
      <c r="CY1383"/>
    </row>
    <row r="1384" spans="50:103" ht="20.100000000000001" customHeight="1" x14ac:dyDescent="0.25">
      <c r="AX1384"/>
      <c r="AY1384"/>
      <c r="AZ1384"/>
      <c r="BA1384"/>
      <c r="BB1384"/>
      <c r="BC1384"/>
      <c r="BD1384"/>
      <c r="BE1384"/>
      <c r="BF1384"/>
      <c r="BG1384"/>
      <c r="BH1384"/>
      <c r="BI1384"/>
      <c r="BJ1384"/>
      <c r="BK1384"/>
      <c r="BL1384"/>
      <c r="BM1384"/>
      <c r="BN1384"/>
      <c r="BO1384"/>
      <c r="BP1384"/>
      <c r="BQ1384"/>
      <c r="BR1384"/>
      <c r="BY1384"/>
      <c r="BZ1384"/>
      <c r="CA1384"/>
      <c r="CB1384"/>
      <c r="CC1384"/>
      <c r="CD1384"/>
      <c r="CE1384"/>
      <c r="CF1384"/>
      <c r="CG1384"/>
      <c r="CH1384"/>
      <c r="CI1384"/>
      <c r="CJ1384"/>
      <c r="CK1384"/>
      <c r="CL1384"/>
      <c r="CM1384"/>
      <c r="CN1384"/>
      <c r="CO1384"/>
      <c r="CP1384"/>
      <c r="CQ1384"/>
      <c r="CR1384"/>
      <c r="CS1384"/>
      <c r="CT1384"/>
      <c r="CU1384"/>
      <c r="CV1384"/>
      <c r="CW1384"/>
      <c r="CX1384"/>
      <c r="CY1384"/>
    </row>
    <row r="1385" spans="50:103" ht="20.100000000000001" customHeight="1" x14ac:dyDescent="0.25">
      <c r="AX1385"/>
      <c r="AY1385"/>
      <c r="AZ1385"/>
      <c r="BA1385"/>
      <c r="BB1385"/>
      <c r="BC1385"/>
      <c r="BD1385"/>
      <c r="BE1385"/>
      <c r="BF1385"/>
      <c r="BG1385"/>
      <c r="BH1385"/>
      <c r="BI1385"/>
      <c r="BJ1385"/>
      <c r="BK1385"/>
      <c r="BL1385"/>
      <c r="BM1385"/>
      <c r="BN1385"/>
      <c r="BO1385"/>
      <c r="BP1385"/>
      <c r="BQ1385"/>
      <c r="BR1385"/>
      <c r="BY1385"/>
      <c r="BZ1385"/>
      <c r="CA1385"/>
      <c r="CB1385"/>
      <c r="CC1385"/>
      <c r="CD1385"/>
      <c r="CE1385"/>
      <c r="CF1385"/>
      <c r="CG1385"/>
      <c r="CH1385"/>
      <c r="CI1385"/>
      <c r="CJ1385"/>
      <c r="CK1385"/>
      <c r="CL1385"/>
      <c r="CM1385"/>
      <c r="CN1385"/>
      <c r="CO1385"/>
      <c r="CP1385"/>
      <c r="CQ1385"/>
      <c r="CR1385"/>
      <c r="CS1385"/>
      <c r="CT1385"/>
      <c r="CU1385"/>
      <c r="CV1385"/>
      <c r="CW1385"/>
      <c r="CX1385"/>
      <c r="CY1385"/>
    </row>
    <row r="1386" spans="50:103" ht="20.100000000000001" customHeight="1" x14ac:dyDescent="0.25">
      <c r="AX1386"/>
      <c r="AY1386"/>
      <c r="AZ1386"/>
      <c r="BA1386"/>
      <c r="BB1386"/>
      <c r="BC1386"/>
      <c r="BD1386"/>
      <c r="BE1386"/>
      <c r="BF1386"/>
      <c r="BG1386"/>
      <c r="BH1386"/>
      <c r="BI1386"/>
      <c r="BJ1386"/>
      <c r="BK1386"/>
      <c r="BL1386"/>
      <c r="BM1386"/>
      <c r="BN1386"/>
      <c r="BO1386"/>
      <c r="BP1386"/>
      <c r="BQ1386"/>
      <c r="BR1386"/>
      <c r="BY1386"/>
      <c r="BZ1386"/>
      <c r="CA1386"/>
      <c r="CB1386"/>
      <c r="CC1386"/>
      <c r="CD1386"/>
      <c r="CE1386"/>
      <c r="CF1386"/>
      <c r="CG1386"/>
      <c r="CH1386"/>
      <c r="CI1386"/>
      <c r="CJ1386"/>
      <c r="CK1386"/>
      <c r="CL1386"/>
      <c r="CM1386"/>
      <c r="CN1386"/>
      <c r="CO1386"/>
      <c r="CP1386"/>
      <c r="CQ1386"/>
      <c r="CR1386"/>
      <c r="CS1386"/>
      <c r="CT1386"/>
      <c r="CU1386"/>
      <c r="CV1386"/>
      <c r="CW1386"/>
      <c r="CX1386"/>
      <c r="CY1386"/>
    </row>
    <row r="1387" spans="50:103" ht="20.100000000000001" customHeight="1" x14ac:dyDescent="0.25">
      <c r="AX1387"/>
      <c r="AY1387"/>
      <c r="AZ1387"/>
      <c r="BA1387"/>
      <c r="BB1387"/>
      <c r="BC1387"/>
      <c r="BD1387"/>
      <c r="BE1387"/>
      <c r="BF1387"/>
      <c r="BG1387"/>
      <c r="BH1387"/>
      <c r="BI1387"/>
      <c r="BJ1387"/>
      <c r="BK1387"/>
      <c r="BL1387"/>
      <c r="BM1387"/>
      <c r="BN1387"/>
      <c r="BO1387"/>
      <c r="BP1387"/>
      <c r="BQ1387"/>
      <c r="BR1387"/>
      <c r="BY1387"/>
      <c r="BZ1387"/>
      <c r="CA1387"/>
      <c r="CB1387"/>
      <c r="CC1387"/>
      <c r="CD1387"/>
      <c r="CE1387"/>
      <c r="CF1387"/>
      <c r="CG1387"/>
      <c r="CH1387"/>
      <c r="CI1387"/>
      <c r="CJ1387"/>
      <c r="CK1387"/>
      <c r="CL1387"/>
      <c r="CM1387"/>
      <c r="CN1387"/>
      <c r="CO1387"/>
      <c r="CP1387"/>
      <c r="CQ1387"/>
      <c r="CR1387"/>
      <c r="CS1387"/>
      <c r="CT1387"/>
      <c r="CU1387"/>
      <c r="CV1387"/>
      <c r="CW1387"/>
      <c r="CX1387"/>
      <c r="CY1387"/>
    </row>
    <row r="1388" spans="50:103" ht="20.100000000000001" customHeight="1" x14ac:dyDescent="0.25">
      <c r="AX1388"/>
      <c r="AY1388"/>
      <c r="AZ1388"/>
      <c r="BA1388"/>
      <c r="BB1388"/>
      <c r="BC1388"/>
      <c r="BD1388"/>
      <c r="BE1388"/>
      <c r="BF1388"/>
      <c r="BG1388"/>
      <c r="BH1388"/>
      <c r="BI1388"/>
      <c r="BJ1388"/>
      <c r="BK1388"/>
      <c r="BL1388"/>
      <c r="BM1388"/>
      <c r="BN1388"/>
      <c r="BO1388"/>
      <c r="BP1388"/>
      <c r="BQ1388"/>
      <c r="BR1388"/>
      <c r="BY1388"/>
      <c r="BZ1388"/>
      <c r="CA1388"/>
      <c r="CB1388"/>
      <c r="CC1388"/>
      <c r="CD1388"/>
      <c r="CE1388"/>
      <c r="CF1388"/>
      <c r="CG1388"/>
      <c r="CH1388"/>
      <c r="CI1388"/>
      <c r="CJ1388"/>
      <c r="CK1388"/>
      <c r="CL1388"/>
      <c r="CM1388"/>
      <c r="CN1388"/>
      <c r="CO1388"/>
      <c r="CP1388"/>
      <c r="CQ1388"/>
      <c r="CR1388"/>
      <c r="CS1388"/>
      <c r="CT1388"/>
      <c r="CU1388"/>
      <c r="CV1388"/>
      <c r="CW1388"/>
      <c r="CX1388"/>
      <c r="CY1388"/>
    </row>
    <row r="1389" spans="50:103" ht="20.100000000000001" customHeight="1" x14ac:dyDescent="0.25">
      <c r="AX1389"/>
      <c r="AY1389"/>
      <c r="AZ1389"/>
      <c r="BA1389"/>
      <c r="BB1389"/>
      <c r="BC1389"/>
      <c r="BD1389"/>
      <c r="BE1389"/>
      <c r="BF1389"/>
      <c r="BG1389"/>
      <c r="BH1389"/>
      <c r="BI1389"/>
      <c r="BJ1389"/>
      <c r="BK1389"/>
      <c r="BL1389"/>
      <c r="BM1389"/>
      <c r="BN1389"/>
      <c r="BO1389"/>
      <c r="BP1389"/>
      <c r="BQ1389"/>
      <c r="BR1389"/>
      <c r="BY1389"/>
      <c r="BZ1389"/>
      <c r="CA1389"/>
      <c r="CB1389"/>
      <c r="CC1389"/>
      <c r="CD1389"/>
      <c r="CE1389"/>
      <c r="CF1389"/>
      <c r="CG1389"/>
      <c r="CH1389"/>
      <c r="CI1389"/>
      <c r="CJ1389"/>
      <c r="CK1389"/>
      <c r="CL1389"/>
      <c r="CM1389"/>
      <c r="CN1389"/>
      <c r="CO1389"/>
      <c r="CP1389"/>
      <c r="CQ1389"/>
      <c r="CR1389"/>
      <c r="CS1389"/>
      <c r="CT1389"/>
      <c r="CU1389"/>
      <c r="CV1389"/>
      <c r="CW1389"/>
      <c r="CX1389"/>
      <c r="CY1389"/>
    </row>
    <row r="1390" spans="50:103" ht="20.100000000000001" customHeight="1" x14ac:dyDescent="0.25">
      <c r="AX1390"/>
      <c r="AY1390"/>
      <c r="AZ1390"/>
      <c r="BA1390"/>
      <c r="BB1390"/>
      <c r="BC1390"/>
      <c r="BD1390"/>
      <c r="BE1390"/>
      <c r="BF1390"/>
      <c r="BG1390"/>
      <c r="BH1390"/>
      <c r="BI1390"/>
      <c r="BJ1390"/>
      <c r="BK1390"/>
      <c r="BL1390"/>
      <c r="BM1390"/>
      <c r="BN1390"/>
      <c r="BO1390"/>
      <c r="BP1390"/>
      <c r="BQ1390"/>
      <c r="BR1390"/>
      <c r="BY1390"/>
      <c r="BZ1390"/>
      <c r="CA1390"/>
      <c r="CB1390"/>
      <c r="CC1390"/>
      <c r="CD1390"/>
      <c r="CE1390"/>
      <c r="CF1390"/>
      <c r="CG1390"/>
      <c r="CH1390"/>
      <c r="CI1390"/>
      <c r="CJ1390"/>
      <c r="CK1390"/>
      <c r="CL1390"/>
      <c r="CM1390"/>
      <c r="CN1390"/>
      <c r="CO1390"/>
      <c r="CP1390"/>
      <c r="CQ1390"/>
      <c r="CR1390"/>
      <c r="CS1390"/>
      <c r="CT1390"/>
      <c r="CU1390"/>
      <c r="CV1390"/>
      <c r="CW1390"/>
      <c r="CX1390"/>
      <c r="CY1390"/>
    </row>
    <row r="1391" spans="50:103" ht="20.100000000000001" customHeight="1" x14ac:dyDescent="0.25">
      <c r="AX1391"/>
      <c r="AY1391"/>
      <c r="AZ1391"/>
      <c r="BA1391"/>
      <c r="BB1391"/>
      <c r="BC1391"/>
      <c r="BD1391"/>
      <c r="BE1391"/>
      <c r="BF1391"/>
      <c r="BG1391"/>
      <c r="BH1391"/>
      <c r="BI1391"/>
      <c r="BJ1391"/>
      <c r="BK1391"/>
      <c r="BL1391"/>
      <c r="BM1391"/>
      <c r="BN1391"/>
      <c r="BO1391"/>
      <c r="BP1391"/>
      <c r="BQ1391"/>
      <c r="BR1391"/>
      <c r="BY1391"/>
      <c r="BZ1391"/>
      <c r="CA1391"/>
      <c r="CB1391"/>
      <c r="CC1391"/>
      <c r="CD1391"/>
      <c r="CE1391"/>
      <c r="CF1391"/>
      <c r="CG1391"/>
      <c r="CH1391"/>
      <c r="CI1391"/>
      <c r="CJ1391"/>
      <c r="CK1391"/>
      <c r="CL1391"/>
      <c r="CM1391"/>
      <c r="CN1391"/>
      <c r="CO1391"/>
      <c r="CP1391"/>
      <c r="CQ1391"/>
      <c r="CR1391"/>
      <c r="CS1391"/>
      <c r="CT1391"/>
      <c r="CU1391"/>
      <c r="CV1391"/>
      <c r="CW1391"/>
      <c r="CX1391"/>
      <c r="CY1391"/>
    </row>
    <row r="1392" spans="50:103" ht="20.100000000000001" customHeight="1" x14ac:dyDescent="0.25">
      <c r="AX1392"/>
      <c r="AY1392"/>
      <c r="AZ1392"/>
      <c r="BA1392"/>
      <c r="BB1392"/>
      <c r="BC1392"/>
      <c r="BD1392"/>
      <c r="BE1392"/>
      <c r="BF1392"/>
      <c r="BG1392"/>
      <c r="BH1392"/>
      <c r="BI1392"/>
      <c r="BJ1392"/>
      <c r="BK1392"/>
      <c r="BL1392"/>
      <c r="BM1392"/>
      <c r="BN1392"/>
      <c r="BO1392"/>
      <c r="BP1392"/>
      <c r="BQ1392"/>
      <c r="BR1392"/>
      <c r="BY1392"/>
      <c r="BZ1392"/>
      <c r="CA1392"/>
      <c r="CB1392"/>
      <c r="CC1392"/>
      <c r="CD1392"/>
      <c r="CE1392"/>
      <c r="CF1392"/>
      <c r="CG1392"/>
      <c r="CH1392"/>
      <c r="CI1392"/>
      <c r="CJ1392"/>
      <c r="CK1392"/>
      <c r="CL1392"/>
      <c r="CM1392"/>
      <c r="CN1392"/>
      <c r="CO1392"/>
      <c r="CP1392"/>
      <c r="CQ1392"/>
      <c r="CR1392"/>
      <c r="CS1392"/>
      <c r="CT1392"/>
      <c r="CU1392"/>
      <c r="CV1392"/>
      <c r="CW1392"/>
      <c r="CX1392"/>
      <c r="CY1392"/>
    </row>
    <row r="1393" spans="50:103" ht="20.100000000000001" customHeight="1" x14ac:dyDescent="0.25">
      <c r="AX1393"/>
      <c r="AY1393"/>
      <c r="AZ1393"/>
      <c r="BA1393"/>
      <c r="BB1393"/>
      <c r="BC1393"/>
      <c r="BD1393"/>
      <c r="BE1393"/>
      <c r="BF1393"/>
      <c r="BG1393"/>
      <c r="BH1393"/>
      <c r="BI1393"/>
      <c r="BJ1393"/>
      <c r="BK1393"/>
      <c r="BL1393"/>
      <c r="BM1393"/>
      <c r="BN1393"/>
      <c r="BO1393"/>
      <c r="BP1393"/>
      <c r="BQ1393"/>
      <c r="BR1393"/>
      <c r="BY1393"/>
      <c r="BZ1393"/>
      <c r="CA1393"/>
      <c r="CB1393"/>
      <c r="CC1393"/>
      <c r="CD1393"/>
      <c r="CE1393"/>
      <c r="CF1393"/>
      <c r="CG1393"/>
      <c r="CH1393"/>
      <c r="CI1393"/>
      <c r="CJ1393"/>
      <c r="CK1393"/>
      <c r="CL1393"/>
      <c r="CM1393"/>
      <c r="CN1393"/>
      <c r="CO1393"/>
      <c r="CP1393"/>
      <c r="CQ1393"/>
      <c r="CR1393"/>
      <c r="CS1393"/>
      <c r="CT1393"/>
      <c r="CU1393"/>
      <c r="CV1393"/>
      <c r="CW1393"/>
      <c r="CX1393"/>
      <c r="CY1393"/>
    </row>
    <row r="1394" spans="50:103" ht="20.100000000000001" customHeight="1" x14ac:dyDescent="0.25">
      <c r="AX1394"/>
      <c r="AY1394"/>
      <c r="AZ1394"/>
      <c r="BA1394"/>
      <c r="BB1394"/>
      <c r="BC1394"/>
      <c r="BD1394"/>
      <c r="BE1394"/>
      <c r="BF1394"/>
      <c r="BG1394"/>
      <c r="BH1394"/>
      <c r="BI1394"/>
      <c r="BJ1394"/>
      <c r="BK1394"/>
      <c r="BL1394"/>
      <c r="BM1394"/>
      <c r="BN1394"/>
      <c r="BO1394"/>
      <c r="BP1394"/>
      <c r="BQ1394"/>
      <c r="BR1394"/>
      <c r="BY1394"/>
      <c r="BZ1394"/>
      <c r="CA1394"/>
      <c r="CB1394"/>
      <c r="CC1394"/>
      <c r="CD1394"/>
      <c r="CE1394"/>
      <c r="CF1394"/>
      <c r="CG1394"/>
      <c r="CH1394"/>
      <c r="CI1394"/>
      <c r="CJ1394"/>
      <c r="CK1394"/>
      <c r="CL1394"/>
      <c r="CM1394"/>
      <c r="CN1394"/>
      <c r="CO1394"/>
      <c r="CP1394"/>
      <c r="CQ1394"/>
      <c r="CR1394"/>
      <c r="CS1394"/>
      <c r="CT1394"/>
      <c r="CU1394"/>
      <c r="CV1394"/>
      <c r="CW1394"/>
      <c r="CX1394"/>
      <c r="CY1394"/>
    </row>
    <row r="1395" spans="50:103" ht="20.100000000000001" customHeight="1" x14ac:dyDescent="0.25">
      <c r="AX1395"/>
      <c r="AY1395"/>
      <c r="AZ1395"/>
      <c r="BA1395"/>
      <c r="BB1395"/>
      <c r="BC1395"/>
      <c r="BD1395"/>
      <c r="BE1395"/>
      <c r="BF1395"/>
      <c r="BG1395"/>
      <c r="BH1395"/>
      <c r="BI1395"/>
      <c r="BJ1395"/>
      <c r="BK1395"/>
      <c r="BL1395"/>
      <c r="BM1395"/>
      <c r="BN1395"/>
      <c r="BO1395"/>
      <c r="BP1395"/>
      <c r="BQ1395"/>
      <c r="BR1395"/>
      <c r="BY1395"/>
      <c r="BZ1395"/>
      <c r="CA1395"/>
      <c r="CB1395"/>
      <c r="CC1395"/>
      <c r="CD1395"/>
      <c r="CE1395"/>
      <c r="CF1395"/>
      <c r="CG1395"/>
      <c r="CH1395"/>
      <c r="CI1395"/>
      <c r="CJ1395"/>
      <c r="CK1395"/>
      <c r="CL1395"/>
      <c r="CM1395"/>
      <c r="CN1395"/>
      <c r="CO1395"/>
      <c r="CP1395"/>
      <c r="CQ1395"/>
      <c r="CR1395"/>
      <c r="CS1395"/>
      <c r="CT1395"/>
      <c r="CU1395"/>
      <c r="CV1395"/>
      <c r="CW1395"/>
      <c r="CX1395"/>
      <c r="CY1395"/>
    </row>
    <row r="1396" spans="50:103" ht="20.100000000000001" customHeight="1" x14ac:dyDescent="0.25">
      <c r="AX1396"/>
      <c r="AY1396"/>
      <c r="AZ1396"/>
      <c r="BA1396"/>
      <c r="BB1396"/>
      <c r="BC1396"/>
      <c r="BD1396"/>
      <c r="BE1396"/>
      <c r="BF1396"/>
      <c r="BG1396"/>
      <c r="BH1396"/>
      <c r="BI1396"/>
      <c r="BJ1396"/>
      <c r="BK1396"/>
      <c r="BL1396"/>
      <c r="BM1396"/>
      <c r="BN1396"/>
      <c r="BO1396"/>
      <c r="BP1396"/>
      <c r="BQ1396"/>
      <c r="BR1396"/>
      <c r="BY1396"/>
      <c r="BZ1396"/>
      <c r="CA1396"/>
      <c r="CB1396"/>
      <c r="CC1396"/>
      <c r="CD1396"/>
      <c r="CE1396"/>
      <c r="CF1396"/>
      <c r="CG1396"/>
      <c r="CH1396"/>
      <c r="CI1396"/>
      <c r="CJ1396"/>
      <c r="CK1396"/>
      <c r="CL1396"/>
      <c r="CM1396"/>
      <c r="CN1396"/>
      <c r="CO1396"/>
      <c r="CP1396"/>
      <c r="CQ1396"/>
      <c r="CR1396"/>
      <c r="CS1396"/>
      <c r="CT1396"/>
      <c r="CU1396"/>
      <c r="CV1396"/>
      <c r="CW1396"/>
      <c r="CX1396"/>
      <c r="CY1396"/>
    </row>
    <row r="1397" spans="50:103" ht="20.100000000000001" customHeight="1" x14ac:dyDescent="0.25">
      <c r="AX1397"/>
      <c r="AY1397"/>
      <c r="AZ1397"/>
      <c r="BA1397"/>
      <c r="BB1397"/>
      <c r="BC1397"/>
      <c r="BD1397"/>
      <c r="BE1397"/>
      <c r="BF1397"/>
      <c r="BG1397"/>
      <c r="BH1397"/>
      <c r="BI1397"/>
      <c r="BJ1397"/>
      <c r="BK1397"/>
      <c r="BL1397"/>
      <c r="BM1397"/>
      <c r="BN1397"/>
      <c r="BO1397"/>
      <c r="BP1397"/>
      <c r="BQ1397"/>
      <c r="BR1397"/>
      <c r="BY1397"/>
      <c r="BZ1397"/>
      <c r="CA1397"/>
      <c r="CB1397"/>
      <c r="CC1397"/>
      <c r="CD1397"/>
      <c r="CE1397"/>
      <c r="CF1397"/>
      <c r="CG1397"/>
      <c r="CH1397"/>
      <c r="CI1397"/>
      <c r="CJ1397"/>
      <c r="CK1397"/>
      <c r="CL1397"/>
      <c r="CM1397"/>
      <c r="CN1397"/>
      <c r="CO1397"/>
      <c r="CP1397"/>
      <c r="CQ1397"/>
      <c r="CR1397"/>
      <c r="CS1397"/>
      <c r="CT1397"/>
      <c r="CU1397"/>
      <c r="CV1397"/>
      <c r="CW1397"/>
      <c r="CX1397"/>
      <c r="CY1397"/>
    </row>
    <row r="1398" spans="50:103" ht="20.100000000000001" customHeight="1" x14ac:dyDescent="0.25">
      <c r="AX1398"/>
      <c r="AY1398"/>
      <c r="AZ1398"/>
      <c r="BA1398"/>
      <c r="BB1398"/>
      <c r="BC1398"/>
      <c r="BD1398"/>
      <c r="BE1398"/>
      <c r="BF1398"/>
      <c r="BG1398"/>
      <c r="BH1398"/>
      <c r="BI1398"/>
      <c r="BJ1398"/>
      <c r="BK1398"/>
      <c r="BL1398"/>
      <c r="BM1398"/>
      <c r="BN1398"/>
      <c r="BO1398"/>
      <c r="BP1398"/>
      <c r="BQ1398"/>
      <c r="BR1398"/>
      <c r="BY1398"/>
      <c r="BZ1398"/>
      <c r="CA1398"/>
      <c r="CB1398"/>
      <c r="CC1398"/>
      <c r="CD1398"/>
      <c r="CE1398"/>
      <c r="CF1398"/>
      <c r="CG1398"/>
      <c r="CH1398"/>
      <c r="CI1398"/>
      <c r="CJ1398"/>
      <c r="CK1398"/>
      <c r="CL1398"/>
      <c r="CM1398"/>
      <c r="CN1398"/>
      <c r="CO1398"/>
      <c r="CP1398"/>
      <c r="CQ1398"/>
      <c r="CR1398"/>
      <c r="CS1398"/>
      <c r="CT1398"/>
      <c r="CU1398"/>
      <c r="CV1398"/>
      <c r="CW1398"/>
      <c r="CX1398"/>
      <c r="CY1398"/>
    </row>
    <row r="1399" spans="50:103" ht="20.100000000000001" customHeight="1" x14ac:dyDescent="0.25">
      <c r="AX1399"/>
      <c r="AY1399"/>
      <c r="AZ1399"/>
      <c r="BA1399"/>
      <c r="BB1399"/>
      <c r="BC1399"/>
      <c r="BD1399"/>
      <c r="BE1399"/>
      <c r="BF1399"/>
      <c r="BG1399"/>
      <c r="BH1399"/>
      <c r="BI1399"/>
      <c r="BJ1399"/>
      <c r="BK1399"/>
      <c r="BL1399"/>
      <c r="BM1399"/>
      <c r="BN1399"/>
      <c r="BO1399"/>
      <c r="BP1399"/>
      <c r="BQ1399"/>
      <c r="BR1399"/>
      <c r="BY1399"/>
      <c r="BZ1399"/>
      <c r="CA1399"/>
      <c r="CB1399"/>
      <c r="CC1399"/>
      <c r="CD1399"/>
      <c r="CE1399"/>
      <c r="CF1399"/>
      <c r="CG1399"/>
      <c r="CH1399"/>
      <c r="CI1399"/>
      <c r="CJ1399"/>
      <c r="CK1399"/>
      <c r="CL1399"/>
      <c r="CM1399"/>
      <c r="CN1399"/>
      <c r="CO1399"/>
      <c r="CP1399"/>
      <c r="CQ1399"/>
      <c r="CR1399"/>
      <c r="CS1399"/>
      <c r="CT1399"/>
      <c r="CU1399"/>
      <c r="CV1399"/>
      <c r="CW1399"/>
      <c r="CX1399"/>
      <c r="CY1399"/>
    </row>
    <row r="1400" spans="50:103" ht="20.100000000000001" customHeight="1" x14ac:dyDescent="0.25">
      <c r="AX1400"/>
      <c r="AY1400"/>
      <c r="AZ1400"/>
      <c r="BA1400"/>
      <c r="BB1400"/>
      <c r="BC1400"/>
      <c r="BD1400"/>
      <c r="BE1400"/>
      <c r="BF1400"/>
      <c r="BG1400"/>
      <c r="BH1400"/>
      <c r="BI1400"/>
      <c r="BJ1400"/>
      <c r="BK1400"/>
      <c r="BL1400"/>
      <c r="BM1400"/>
      <c r="BN1400"/>
      <c r="BO1400"/>
      <c r="BP1400"/>
      <c r="BQ1400"/>
      <c r="BR1400"/>
      <c r="BY1400"/>
      <c r="BZ1400"/>
      <c r="CA1400"/>
      <c r="CB1400"/>
      <c r="CC1400"/>
      <c r="CD1400"/>
      <c r="CE1400"/>
      <c r="CF1400"/>
      <c r="CG1400"/>
      <c r="CH1400"/>
      <c r="CI1400"/>
      <c r="CJ1400"/>
      <c r="CK1400"/>
      <c r="CL1400"/>
      <c r="CM1400"/>
      <c r="CN1400"/>
      <c r="CO1400"/>
      <c r="CP1400"/>
      <c r="CQ1400"/>
      <c r="CR1400"/>
      <c r="CS1400"/>
      <c r="CT1400"/>
      <c r="CU1400"/>
      <c r="CV1400"/>
      <c r="CW1400"/>
      <c r="CX1400"/>
      <c r="CY1400"/>
    </row>
    <row r="1401" spans="50:103" ht="20.100000000000001" customHeight="1" x14ac:dyDescent="0.25">
      <c r="AX1401"/>
      <c r="AY1401"/>
      <c r="AZ1401"/>
      <c r="BA1401"/>
      <c r="BB1401"/>
      <c r="BC1401"/>
      <c r="BD1401"/>
      <c r="BE1401"/>
      <c r="BF1401"/>
      <c r="BG1401"/>
      <c r="BH1401"/>
      <c r="BI1401"/>
      <c r="BJ1401"/>
      <c r="BK1401"/>
      <c r="BL1401"/>
      <c r="BM1401"/>
      <c r="BN1401"/>
      <c r="BO1401"/>
      <c r="BP1401"/>
      <c r="BQ1401"/>
      <c r="BR1401"/>
      <c r="BY1401"/>
      <c r="BZ1401"/>
      <c r="CA1401"/>
      <c r="CB1401"/>
      <c r="CC1401"/>
      <c r="CD1401"/>
      <c r="CE1401"/>
      <c r="CF1401"/>
      <c r="CG1401"/>
      <c r="CH1401"/>
      <c r="CI1401"/>
      <c r="CJ1401"/>
      <c r="CK1401"/>
      <c r="CL1401"/>
      <c r="CM1401"/>
      <c r="CN1401"/>
      <c r="CO1401"/>
      <c r="CP1401"/>
      <c r="CQ1401"/>
      <c r="CR1401"/>
      <c r="CS1401"/>
      <c r="CT1401"/>
      <c r="CU1401"/>
      <c r="CV1401"/>
      <c r="CW1401"/>
      <c r="CX1401"/>
      <c r="CY1401"/>
    </row>
    <row r="1402" spans="50:103" ht="20.100000000000001" customHeight="1" x14ac:dyDescent="0.25">
      <c r="AX1402"/>
      <c r="AY1402"/>
      <c r="AZ1402"/>
      <c r="BA1402"/>
      <c r="BB1402"/>
      <c r="BC1402"/>
      <c r="BD1402"/>
      <c r="BE1402"/>
      <c r="BF1402"/>
      <c r="BG1402"/>
      <c r="BH1402"/>
      <c r="BI1402"/>
      <c r="BJ1402"/>
      <c r="BK1402"/>
      <c r="BL1402"/>
      <c r="BM1402"/>
      <c r="BN1402"/>
      <c r="BO1402"/>
      <c r="BP1402"/>
      <c r="BQ1402"/>
      <c r="BR1402"/>
      <c r="BY1402"/>
      <c r="BZ1402"/>
      <c r="CA1402"/>
      <c r="CB1402"/>
      <c r="CC1402"/>
      <c r="CD1402"/>
      <c r="CE1402"/>
      <c r="CF1402"/>
      <c r="CG1402"/>
      <c r="CH1402"/>
      <c r="CI1402"/>
      <c r="CJ1402"/>
      <c r="CK1402"/>
      <c r="CL1402"/>
      <c r="CM1402"/>
      <c r="CN1402"/>
      <c r="CO1402"/>
      <c r="CP1402"/>
      <c r="CQ1402"/>
      <c r="CR1402"/>
      <c r="CS1402"/>
      <c r="CT1402"/>
      <c r="CU1402"/>
      <c r="CV1402"/>
      <c r="CW1402"/>
      <c r="CX1402"/>
      <c r="CY1402"/>
    </row>
    <row r="1403" spans="50:103" ht="20.100000000000001" customHeight="1" x14ac:dyDescent="0.25">
      <c r="AX1403"/>
      <c r="AY1403"/>
      <c r="AZ1403"/>
      <c r="BA1403"/>
      <c r="BB1403"/>
      <c r="BC1403"/>
      <c r="BD1403"/>
      <c r="BE1403"/>
      <c r="BF1403"/>
      <c r="BG1403"/>
      <c r="BH1403"/>
      <c r="BI1403"/>
      <c r="BJ1403"/>
      <c r="BK1403"/>
      <c r="BL1403"/>
      <c r="BM1403"/>
      <c r="BN1403"/>
      <c r="BO1403"/>
      <c r="BP1403"/>
      <c r="BQ1403"/>
      <c r="BR1403"/>
      <c r="BY1403"/>
      <c r="BZ1403"/>
      <c r="CA1403"/>
      <c r="CB1403"/>
      <c r="CC1403"/>
      <c r="CD1403"/>
      <c r="CE1403"/>
      <c r="CF1403"/>
      <c r="CG1403"/>
      <c r="CH1403"/>
      <c r="CI1403"/>
      <c r="CJ1403"/>
      <c r="CK1403"/>
      <c r="CL1403"/>
      <c r="CM1403"/>
      <c r="CN1403"/>
      <c r="CO1403"/>
      <c r="CP1403"/>
      <c r="CQ1403"/>
      <c r="CR1403"/>
      <c r="CS1403"/>
      <c r="CT1403"/>
      <c r="CU1403"/>
      <c r="CV1403"/>
      <c r="CW1403"/>
      <c r="CX1403"/>
      <c r="CY1403"/>
    </row>
    <row r="1404" spans="50:103" ht="20.100000000000001" customHeight="1" x14ac:dyDescent="0.25">
      <c r="AX1404"/>
      <c r="AY1404"/>
      <c r="AZ1404"/>
      <c r="BA1404"/>
      <c r="BB1404"/>
      <c r="BC1404"/>
      <c r="BD1404"/>
      <c r="BE1404"/>
      <c r="BF1404"/>
      <c r="BG1404"/>
      <c r="BH1404"/>
      <c r="BI1404"/>
      <c r="BJ1404"/>
      <c r="BK1404"/>
      <c r="BL1404"/>
      <c r="BM1404"/>
      <c r="BN1404"/>
      <c r="BO1404"/>
      <c r="BP1404"/>
      <c r="BQ1404"/>
      <c r="BR1404"/>
      <c r="BY1404"/>
      <c r="BZ1404"/>
      <c r="CA1404"/>
      <c r="CB1404"/>
      <c r="CC1404"/>
      <c r="CD1404"/>
      <c r="CE1404"/>
      <c r="CF1404"/>
      <c r="CG1404"/>
      <c r="CH1404"/>
      <c r="CI1404"/>
      <c r="CJ1404"/>
      <c r="CK1404"/>
      <c r="CL1404"/>
      <c r="CM1404"/>
      <c r="CN1404"/>
      <c r="CO1404"/>
      <c r="CP1404"/>
      <c r="CQ1404"/>
      <c r="CR1404"/>
      <c r="CS1404"/>
      <c r="CT1404"/>
      <c r="CU1404"/>
      <c r="CV1404"/>
      <c r="CW1404"/>
      <c r="CX1404"/>
      <c r="CY1404"/>
    </row>
    <row r="1405" spans="50:103" ht="20.100000000000001" customHeight="1" x14ac:dyDescent="0.25">
      <c r="AX1405"/>
      <c r="AY1405"/>
      <c r="AZ1405"/>
      <c r="BA1405"/>
      <c r="BB1405"/>
      <c r="BC1405"/>
      <c r="BD1405"/>
      <c r="BE1405"/>
      <c r="BF1405"/>
      <c r="BG1405"/>
      <c r="BH1405"/>
      <c r="BI1405"/>
      <c r="BJ1405"/>
      <c r="BK1405"/>
      <c r="BL1405"/>
      <c r="BM1405"/>
      <c r="BN1405"/>
      <c r="BO1405"/>
      <c r="BP1405"/>
      <c r="BQ1405"/>
      <c r="BR1405"/>
      <c r="BY1405"/>
      <c r="BZ1405"/>
      <c r="CA1405"/>
      <c r="CB1405"/>
      <c r="CC1405"/>
      <c r="CD1405"/>
      <c r="CE1405"/>
      <c r="CF1405"/>
      <c r="CG1405"/>
      <c r="CH1405"/>
      <c r="CI1405"/>
      <c r="CJ1405"/>
      <c r="CK1405"/>
      <c r="CL1405"/>
      <c r="CM1405"/>
      <c r="CN1405"/>
      <c r="CO1405"/>
      <c r="CP1405"/>
      <c r="CQ1405"/>
      <c r="CR1405"/>
      <c r="CS1405"/>
      <c r="CT1405"/>
      <c r="CU1405"/>
      <c r="CV1405"/>
      <c r="CW1405"/>
      <c r="CX1405"/>
      <c r="CY1405"/>
    </row>
    <row r="1406" spans="50:103" ht="20.100000000000001" customHeight="1" x14ac:dyDescent="0.25">
      <c r="AX1406"/>
      <c r="AY1406"/>
      <c r="AZ1406"/>
      <c r="BA1406"/>
      <c r="BB1406"/>
      <c r="BC1406"/>
      <c r="BD1406"/>
      <c r="BE1406"/>
      <c r="BF1406"/>
      <c r="BG1406"/>
      <c r="BH1406"/>
      <c r="BI1406"/>
      <c r="BJ1406"/>
      <c r="BK1406"/>
      <c r="BL1406"/>
      <c r="BM1406"/>
      <c r="BN1406"/>
      <c r="BO1406"/>
      <c r="BP1406"/>
      <c r="BQ1406"/>
      <c r="BR1406"/>
      <c r="BY1406"/>
      <c r="BZ1406"/>
      <c r="CA1406"/>
      <c r="CB1406"/>
      <c r="CC1406"/>
      <c r="CD1406"/>
      <c r="CE1406"/>
      <c r="CF1406"/>
      <c r="CG1406"/>
      <c r="CH1406"/>
      <c r="CI1406"/>
      <c r="CJ1406"/>
      <c r="CK1406"/>
      <c r="CL1406"/>
      <c r="CM1406"/>
      <c r="CN1406"/>
      <c r="CO1406"/>
      <c r="CP1406"/>
      <c r="CQ1406"/>
      <c r="CR1406"/>
      <c r="CS1406"/>
      <c r="CT1406"/>
      <c r="CU1406"/>
      <c r="CV1406"/>
      <c r="CW1406"/>
      <c r="CX1406"/>
      <c r="CY1406"/>
    </row>
    <row r="1407" spans="50:103" ht="20.100000000000001" customHeight="1" x14ac:dyDescent="0.25">
      <c r="AX1407"/>
      <c r="AY1407"/>
      <c r="AZ1407"/>
      <c r="BA1407"/>
      <c r="BB1407"/>
      <c r="BC1407"/>
      <c r="BD1407"/>
      <c r="BE1407"/>
      <c r="BF1407"/>
      <c r="BG1407"/>
      <c r="BH1407"/>
      <c r="BI1407"/>
      <c r="BJ1407"/>
      <c r="BK1407"/>
      <c r="BL1407"/>
      <c r="BM1407"/>
      <c r="BN1407"/>
      <c r="BO1407"/>
      <c r="BP1407"/>
      <c r="BQ1407"/>
      <c r="BR1407"/>
      <c r="BY1407"/>
      <c r="BZ1407"/>
      <c r="CA1407"/>
      <c r="CB1407"/>
      <c r="CC1407"/>
      <c r="CD1407"/>
      <c r="CE1407"/>
      <c r="CF1407"/>
      <c r="CG1407"/>
      <c r="CH1407"/>
      <c r="CI1407"/>
      <c r="CJ1407"/>
      <c r="CK1407"/>
      <c r="CL1407"/>
      <c r="CM1407"/>
      <c r="CN1407"/>
      <c r="CO1407"/>
      <c r="CP1407"/>
      <c r="CQ1407"/>
      <c r="CR1407"/>
      <c r="CS1407"/>
      <c r="CT1407"/>
      <c r="CU1407"/>
      <c r="CV1407"/>
      <c r="CW1407"/>
      <c r="CX1407"/>
      <c r="CY1407"/>
    </row>
    <row r="1408" spans="50:103" ht="20.100000000000001" customHeight="1" x14ac:dyDescent="0.25">
      <c r="AX1408"/>
      <c r="AY1408"/>
      <c r="AZ1408"/>
      <c r="BA1408"/>
      <c r="BB1408"/>
      <c r="BC1408"/>
      <c r="BD1408"/>
      <c r="BE1408"/>
      <c r="BF1408"/>
      <c r="BG1408"/>
      <c r="BH1408"/>
      <c r="BI1408"/>
      <c r="BJ1408"/>
      <c r="BK1408"/>
      <c r="BL1408"/>
      <c r="BM1408"/>
      <c r="BN1408"/>
      <c r="BO1408"/>
      <c r="BP1408"/>
      <c r="BQ1408"/>
      <c r="BR1408"/>
      <c r="BY1408"/>
      <c r="BZ1408"/>
      <c r="CA1408"/>
      <c r="CB1408"/>
      <c r="CC1408"/>
      <c r="CD1408"/>
      <c r="CE1408"/>
      <c r="CF1408"/>
      <c r="CG1408"/>
      <c r="CH1408"/>
      <c r="CI1408"/>
      <c r="CJ1408"/>
      <c r="CK1408"/>
      <c r="CL1408"/>
      <c r="CM1408"/>
      <c r="CN1408"/>
      <c r="CO1408"/>
      <c r="CP1408"/>
      <c r="CQ1408"/>
      <c r="CR1408"/>
      <c r="CS1408"/>
      <c r="CT1408"/>
      <c r="CU1408"/>
      <c r="CV1408"/>
      <c r="CW1408"/>
      <c r="CX1408"/>
      <c r="CY1408"/>
    </row>
    <row r="1409" spans="50:103" ht="20.100000000000001" customHeight="1" x14ac:dyDescent="0.25">
      <c r="AX1409"/>
      <c r="AY1409"/>
      <c r="AZ1409"/>
      <c r="BA1409"/>
      <c r="BB1409"/>
      <c r="BC1409"/>
      <c r="BD1409"/>
      <c r="BE1409"/>
      <c r="BF1409"/>
      <c r="BG1409"/>
      <c r="BH1409"/>
      <c r="BI1409"/>
      <c r="BJ1409"/>
      <c r="BK1409"/>
      <c r="BL1409"/>
      <c r="BM1409"/>
      <c r="BN1409"/>
      <c r="BO1409"/>
      <c r="BP1409"/>
      <c r="BQ1409"/>
      <c r="BR1409"/>
      <c r="BY1409"/>
      <c r="BZ1409"/>
      <c r="CA1409"/>
      <c r="CB1409"/>
      <c r="CC1409"/>
      <c r="CD1409"/>
      <c r="CE1409"/>
      <c r="CF1409"/>
      <c r="CG1409"/>
      <c r="CH1409"/>
      <c r="CI1409"/>
      <c r="CJ1409"/>
      <c r="CK1409"/>
      <c r="CL1409"/>
      <c r="CM1409"/>
      <c r="CN1409"/>
      <c r="CO1409"/>
      <c r="CP1409"/>
      <c r="CQ1409"/>
      <c r="CR1409"/>
      <c r="CS1409"/>
      <c r="CT1409"/>
      <c r="CU1409"/>
      <c r="CV1409"/>
      <c r="CW1409"/>
      <c r="CX1409"/>
      <c r="CY1409"/>
    </row>
    <row r="1410" spans="50:103" ht="20.100000000000001" customHeight="1" x14ac:dyDescent="0.25">
      <c r="AX1410"/>
      <c r="AY1410"/>
      <c r="AZ1410"/>
      <c r="BA1410"/>
      <c r="BB1410"/>
      <c r="BC1410"/>
      <c r="BD1410"/>
      <c r="BE1410"/>
      <c r="BF1410"/>
      <c r="BG1410"/>
      <c r="BH1410"/>
      <c r="BI1410"/>
      <c r="BJ1410"/>
      <c r="BK1410"/>
      <c r="BL1410"/>
      <c r="BM1410"/>
      <c r="BN1410"/>
      <c r="BO1410"/>
      <c r="BP1410"/>
      <c r="BQ1410"/>
      <c r="BR1410"/>
      <c r="BY1410"/>
      <c r="BZ1410"/>
      <c r="CA1410"/>
      <c r="CB1410"/>
      <c r="CC1410"/>
      <c r="CD1410"/>
      <c r="CE1410"/>
      <c r="CF1410"/>
      <c r="CG1410"/>
      <c r="CH1410"/>
      <c r="CI1410"/>
      <c r="CJ1410"/>
      <c r="CK1410"/>
      <c r="CL1410"/>
      <c r="CM1410"/>
      <c r="CN1410"/>
      <c r="CO1410"/>
      <c r="CP1410"/>
      <c r="CQ1410"/>
      <c r="CR1410"/>
      <c r="CS1410"/>
      <c r="CT1410"/>
      <c r="CU1410"/>
      <c r="CV1410"/>
      <c r="CW1410"/>
      <c r="CX1410"/>
      <c r="CY1410"/>
    </row>
    <row r="1411" spans="50:103" ht="20.100000000000001" customHeight="1" x14ac:dyDescent="0.25">
      <c r="AX1411"/>
      <c r="AY1411"/>
      <c r="AZ1411"/>
      <c r="BA1411"/>
      <c r="BB1411"/>
      <c r="BC1411"/>
      <c r="BD1411"/>
      <c r="BE1411"/>
      <c r="BF1411"/>
      <c r="BG1411"/>
      <c r="BH1411"/>
      <c r="BI1411"/>
      <c r="BJ1411"/>
      <c r="BK1411"/>
      <c r="BL1411"/>
      <c r="BM1411"/>
      <c r="BN1411"/>
      <c r="BO1411"/>
      <c r="BP1411"/>
      <c r="BQ1411"/>
      <c r="BR1411"/>
      <c r="BY1411"/>
      <c r="BZ1411"/>
      <c r="CA1411"/>
      <c r="CB1411"/>
      <c r="CC1411"/>
      <c r="CD1411"/>
      <c r="CE1411"/>
      <c r="CF1411"/>
      <c r="CG1411"/>
      <c r="CH1411"/>
      <c r="CI1411"/>
      <c r="CJ1411"/>
      <c r="CK1411"/>
      <c r="CL1411"/>
      <c r="CM1411"/>
      <c r="CN1411"/>
      <c r="CO1411"/>
      <c r="CP1411"/>
      <c r="CQ1411"/>
      <c r="CR1411"/>
      <c r="CS1411"/>
      <c r="CT1411"/>
      <c r="CU1411"/>
      <c r="CV1411"/>
      <c r="CW1411"/>
      <c r="CX1411"/>
      <c r="CY1411"/>
    </row>
    <row r="1412" spans="50:103" ht="20.100000000000001" customHeight="1" x14ac:dyDescent="0.25">
      <c r="AX1412"/>
      <c r="AY1412"/>
      <c r="AZ1412"/>
      <c r="BA1412"/>
      <c r="BB1412"/>
      <c r="BC1412"/>
      <c r="BD1412"/>
      <c r="BE1412"/>
      <c r="BF1412"/>
      <c r="BG1412"/>
      <c r="BH1412"/>
      <c r="BI1412"/>
      <c r="BJ1412"/>
      <c r="BK1412"/>
      <c r="BL1412"/>
      <c r="BM1412"/>
      <c r="BN1412"/>
      <c r="BO1412"/>
      <c r="BP1412"/>
      <c r="BQ1412"/>
      <c r="BR1412"/>
      <c r="BY1412"/>
      <c r="BZ1412"/>
      <c r="CA1412"/>
      <c r="CB1412"/>
      <c r="CC1412"/>
      <c r="CD1412"/>
      <c r="CE1412"/>
      <c r="CF1412"/>
      <c r="CG1412"/>
      <c r="CH1412"/>
      <c r="CI1412"/>
      <c r="CJ1412"/>
      <c r="CK1412"/>
      <c r="CL1412"/>
      <c r="CM1412"/>
      <c r="CN1412"/>
      <c r="CO1412"/>
      <c r="CP1412"/>
      <c r="CQ1412"/>
      <c r="CR1412"/>
      <c r="CS1412"/>
      <c r="CT1412"/>
      <c r="CU1412"/>
      <c r="CV1412"/>
      <c r="CW1412"/>
      <c r="CX1412"/>
      <c r="CY1412"/>
    </row>
    <row r="1413" spans="50:103" ht="20.100000000000001" customHeight="1" x14ac:dyDescent="0.25">
      <c r="AX1413"/>
      <c r="AY1413"/>
      <c r="AZ1413"/>
      <c r="BA1413"/>
      <c r="BB1413"/>
      <c r="BC1413"/>
      <c r="BD1413"/>
      <c r="BE1413"/>
      <c r="BF1413"/>
      <c r="BG1413"/>
      <c r="BH1413"/>
      <c r="BI1413"/>
      <c r="BJ1413"/>
      <c r="BK1413"/>
      <c r="BL1413"/>
      <c r="BM1413"/>
      <c r="BN1413"/>
      <c r="BO1413"/>
      <c r="BP1413"/>
      <c r="BQ1413"/>
      <c r="BR1413"/>
      <c r="BY1413"/>
      <c r="BZ1413"/>
      <c r="CA1413"/>
      <c r="CB1413"/>
      <c r="CC1413"/>
      <c r="CD1413"/>
      <c r="CE1413"/>
      <c r="CF1413"/>
      <c r="CG1413"/>
      <c r="CH1413"/>
      <c r="CI1413"/>
      <c r="CJ1413"/>
      <c r="CK1413"/>
      <c r="CL1413"/>
      <c r="CM1413"/>
      <c r="CN1413"/>
      <c r="CO1413"/>
      <c r="CP1413"/>
      <c r="CQ1413"/>
      <c r="CR1413"/>
      <c r="CS1413"/>
      <c r="CT1413"/>
      <c r="CU1413"/>
      <c r="CV1413"/>
      <c r="CW1413"/>
      <c r="CX1413"/>
      <c r="CY1413"/>
    </row>
    <row r="1414" spans="50:103" ht="20.100000000000001" customHeight="1" x14ac:dyDescent="0.25">
      <c r="AX1414"/>
      <c r="AY1414"/>
      <c r="AZ1414"/>
      <c r="BA1414"/>
      <c r="BB1414"/>
      <c r="BC1414"/>
      <c r="BD1414"/>
      <c r="BE1414"/>
      <c r="BF1414"/>
      <c r="BG1414"/>
      <c r="BH1414"/>
      <c r="BI1414"/>
      <c r="BJ1414"/>
      <c r="BK1414"/>
      <c r="BL1414"/>
      <c r="BM1414"/>
      <c r="BN1414"/>
      <c r="BO1414"/>
      <c r="BP1414"/>
      <c r="BQ1414"/>
      <c r="BR1414"/>
      <c r="BY1414"/>
      <c r="BZ1414"/>
      <c r="CA1414"/>
      <c r="CB1414"/>
      <c r="CC1414"/>
      <c r="CD1414"/>
      <c r="CE1414"/>
      <c r="CF1414"/>
      <c r="CG1414"/>
      <c r="CH1414"/>
      <c r="CI1414"/>
      <c r="CJ1414"/>
      <c r="CK1414"/>
      <c r="CL1414"/>
      <c r="CM1414"/>
      <c r="CN1414"/>
      <c r="CO1414"/>
      <c r="CP1414"/>
      <c r="CQ1414"/>
      <c r="CR1414"/>
      <c r="CS1414"/>
      <c r="CT1414"/>
      <c r="CU1414"/>
      <c r="CV1414"/>
      <c r="CW1414"/>
      <c r="CX1414"/>
      <c r="CY1414"/>
    </row>
    <row r="1415" spans="50:103" ht="20.100000000000001" customHeight="1" x14ac:dyDescent="0.25">
      <c r="AX1415"/>
      <c r="AY1415"/>
      <c r="AZ1415"/>
      <c r="BA1415"/>
      <c r="BB1415"/>
      <c r="BC1415"/>
      <c r="BD1415"/>
      <c r="BE1415"/>
      <c r="BF1415"/>
      <c r="BG1415"/>
      <c r="BH1415"/>
      <c r="BI1415"/>
      <c r="BJ1415"/>
      <c r="BK1415"/>
      <c r="BL1415"/>
      <c r="BM1415"/>
      <c r="BN1415"/>
      <c r="BO1415"/>
      <c r="BP1415"/>
      <c r="BQ1415"/>
      <c r="BR1415"/>
      <c r="BY1415"/>
      <c r="BZ1415"/>
      <c r="CA1415"/>
      <c r="CB1415"/>
      <c r="CC1415"/>
      <c r="CD1415"/>
      <c r="CE1415"/>
      <c r="CF1415"/>
      <c r="CG1415"/>
      <c r="CH1415"/>
      <c r="CI1415"/>
      <c r="CJ1415"/>
      <c r="CK1415"/>
      <c r="CL1415"/>
      <c r="CM1415"/>
      <c r="CN1415"/>
      <c r="CO1415"/>
      <c r="CP1415"/>
      <c r="CQ1415"/>
      <c r="CR1415"/>
      <c r="CS1415"/>
      <c r="CT1415"/>
      <c r="CU1415"/>
      <c r="CV1415"/>
      <c r="CW1415"/>
      <c r="CX1415"/>
      <c r="CY1415"/>
    </row>
    <row r="1416" spans="50:103" ht="20.100000000000001" customHeight="1" x14ac:dyDescent="0.25">
      <c r="AX1416"/>
      <c r="AY1416"/>
      <c r="AZ1416"/>
      <c r="BA1416"/>
      <c r="BB1416"/>
      <c r="BC1416"/>
      <c r="BD1416"/>
      <c r="BE1416"/>
      <c r="BF1416"/>
      <c r="BG1416"/>
      <c r="BH1416"/>
      <c r="BI1416"/>
      <c r="BJ1416"/>
      <c r="BK1416"/>
      <c r="BL1416"/>
      <c r="BM1416"/>
      <c r="BN1416"/>
      <c r="BO1416"/>
      <c r="BP1416"/>
      <c r="BQ1416"/>
      <c r="BR1416"/>
      <c r="BY1416"/>
      <c r="BZ1416"/>
      <c r="CA1416"/>
      <c r="CB1416"/>
      <c r="CC1416"/>
      <c r="CD1416"/>
      <c r="CE1416"/>
      <c r="CF1416"/>
      <c r="CG1416"/>
      <c r="CH1416"/>
      <c r="CI1416"/>
      <c r="CJ1416"/>
      <c r="CK1416"/>
      <c r="CL1416"/>
      <c r="CM1416"/>
      <c r="CN1416"/>
      <c r="CO1416"/>
      <c r="CP1416"/>
      <c r="CQ1416"/>
      <c r="CR1416"/>
      <c r="CS1416"/>
      <c r="CT1416"/>
      <c r="CU1416"/>
      <c r="CV1416"/>
      <c r="CW1416"/>
      <c r="CX1416"/>
      <c r="CY1416"/>
    </row>
    <row r="1417" spans="50:103" ht="20.100000000000001" customHeight="1" x14ac:dyDescent="0.25">
      <c r="AX1417"/>
      <c r="AY1417"/>
      <c r="AZ1417"/>
      <c r="BA1417"/>
      <c r="BB1417"/>
      <c r="BC1417"/>
      <c r="BD1417"/>
      <c r="BE1417"/>
      <c r="BF1417"/>
      <c r="BG1417"/>
      <c r="BH1417"/>
      <c r="BI1417"/>
      <c r="BJ1417"/>
      <c r="BK1417"/>
      <c r="BL1417"/>
      <c r="BM1417"/>
      <c r="BN1417"/>
      <c r="BO1417"/>
      <c r="BP1417"/>
      <c r="BQ1417"/>
      <c r="BR1417"/>
      <c r="BY1417"/>
      <c r="BZ1417"/>
      <c r="CA1417"/>
      <c r="CB1417"/>
      <c r="CC1417"/>
      <c r="CD1417"/>
      <c r="CE1417"/>
      <c r="CF1417"/>
      <c r="CG1417"/>
      <c r="CH1417"/>
      <c r="CI1417"/>
      <c r="CJ1417"/>
      <c r="CK1417"/>
      <c r="CL1417"/>
      <c r="CM1417"/>
      <c r="CN1417"/>
      <c r="CO1417"/>
      <c r="CP1417"/>
      <c r="CQ1417"/>
      <c r="CR1417"/>
      <c r="CS1417"/>
      <c r="CT1417"/>
      <c r="CU1417"/>
      <c r="CV1417"/>
      <c r="CW1417"/>
      <c r="CX1417"/>
      <c r="CY1417"/>
    </row>
    <row r="1418" spans="50:103" ht="20.100000000000001" customHeight="1" x14ac:dyDescent="0.25">
      <c r="AX1418"/>
      <c r="AY1418"/>
      <c r="AZ1418"/>
      <c r="BA1418"/>
      <c r="BB1418"/>
      <c r="BC1418"/>
      <c r="BD1418"/>
      <c r="BE1418"/>
      <c r="BF1418"/>
      <c r="BG1418"/>
      <c r="BH1418"/>
      <c r="BI1418"/>
      <c r="BJ1418"/>
      <c r="BK1418"/>
      <c r="BL1418"/>
      <c r="BM1418"/>
      <c r="BN1418"/>
      <c r="BO1418"/>
      <c r="BP1418"/>
      <c r="BQ1418"/>
      <c r="BR1418"/>
      <c r="BY1418"/>
      <c r="BZ1418"/>
      <c r="CA1418"/>
      <c r="CB1418"/>
      <c r="CC1418"/>
      <c r="CD1418"/>
      <c r="CE1418"/>
      <c r="CF1418"/>
      <c r="CG1418"/>
      <c r="CH1418"/>
      <c r="CI1418"/>
      <c r="CJ1418"/>
      <c r="CK1418"/>
      <c r="CL1418"/>
      <c r="CM1418"/>
      <c r="CN1418"/>
      <c r="CO1418"/>
      <c r="CP1418"/>
      <c r="CQ1418"/>
      <c r="CR1418"/>
      <c r="CS1418"/>
      <c r="CT1418"/>
      <c r="CU1418"/>
      <c r="CV1418"/>
      <c r="CW1418"/>
      <c r="CX1418"/>
      <c r="CY1418"/>
    </row>
    <row r="1419" spans="50:103" ht="20.100000000000001" customHeight="1" x14ac:dyDescent="0.25">
      <c r="AX1419"/>
      <c r="AY1419"/>
      <c r="AZ1419"/>
      <c r="BA1419"/>
      <c r="BB1419"/>
      <c r="BC1419"/>
      <c r="BD1419"/>
      <c r="BE1419"/>
      <c r="BF1419"/>
      <c r="BG1419"/>
      <c r="BH1419"/>
      <c r="BI1419"/>
      <c r="BJ1419"/>
      <c r="BK1419"/>
      <c r="BL1419"/>
      <c r="BM1419"/>
      <c r="BN1419"/>
      <c r="BO1419"/>
      <c r="BP1419"/>
      <c r="BQ1419"/>
      <c r="BR1419"/>
      <c r="BY1419"/>
      <c r="BZ1419"/>
      <c r="CA1419"/>
      <c r="CB1419"/>
      <c r="CC1419"/>
      <c r="CD1419"/>
      <c r="CE1419"/>
      <c r="CF1419"/>
      <c r="CG1419"/>
      <c r="CH1419"/>
      <c r="CI1419"/>
      <c r="CJ1419"/>
      <c r="CK1419"/>
      <c r="CL1419"/>
      <c r="CM1419"/>
      <c r="CN1419"/>
      <c r="CO1419"/>
      <c r="CP1419"/>
      <c r="CQ1419"/>
      <c r="CR1419"/>
      <c r="CS1419"/>
      <c r="CT1419"/>
      <c r="CU1419"/>
      <c r="CV1419"/>
      <c r="CW1419"/>
      <c r="CX1419"/>
      <c r="CY1419"/>
    </row>
    <row r="1420" spans="50:103" ht="20.100000000000001" customHeight="1" x14ac:dyDescent="0.25">
      <c r="AX1420"/>
      <c r="AY1420"/>
      <c r="AZ1420"/>
      <c r="BA1420"/>
      <c r="BB1420"/>
      <c r="BC1420"/>
      <c r="BD1420"/>
      <c r="BE1420"/>
      <c r="BF1420"/>
      <c r="BG1420"/>
      <c r="BH1420"/>
      <c r="BI1420"/>
      <c r="BJ1420"/>
      <c r="BK1420"/>
      <c r="BL1420"/>
      <c r="BM1420"/>
      <c r="BN1420"/>
      <c r="BO1420"/>
      <c r="BP1420"/>
      <c r="BQ1420"/>
      <c r="BR1420"/>
      <c r="BY1420"/>
      <c r="BZ1420"/>
      <c r="CA1420"/>
      <c r="CB1420"/>
      <c r="CC1420"/>
      <c r="CD1420"/>
      <c r="CE1420"/>
      <c r="CF1420"/>
      <c r="CG1420"/>
      <c r="CH1420"/>
      <c r="CI1420"/>
      <c r="CJ1420"/>
      <c r="CK1420"/>
      <c r="CL1420"/>
      <c r="CM1420"/>
      <c r="CN1420"/>
      <c r="CO1420"/>
      <c r="CP1420"/>
      <c r="CQ1420"/>
      <c r="CR1420"/>
      <c r="CS1420"/>
      <c r="CT1420"/>
      <c r="CU1420"/>
      <c r="CV1420"/>
      <c r="CW1420"/>
      <c r="CX1420"/>
      <c r="CY1420"/>
    </row>
    <row r="1421" spans="50:103" ht="20.100000000000001" customHeight="1" x14ac:dyDescent="0.25">
      <c r="AX1421"/>
      <c r="AY1421"/>
      <c r="AZ1421"/>
      <c r="BA1421"/>
      <c r="BB1421"/>
      <c r="BC1421"/>
      <c r="BD1421"/>
      <c r="BE1421"/>
      <c r="BF1421"/>
      <c r="BG1421"/>
      <c r="BH1421"/>
      <c r="BI1421"/>
      <c r="BJ1421"/>
      <c r="BK1421"/>
      <c r="BL1421"/>
      <c r="BM1421"/>
      <c r="BN1421"/>
      <c r="BO1421"/>
      <c r="BP1421"/>
      <c r="BQ1421"/>
      <c r="BR1421"/>
      <c r="BY1421"/>
      <c r="BZ1421"/>
      <c r="CA1421"/>
      <c r="CB1421"/>
      <c r="CC1421"/>
      <c r="CD1421"/>
      <c r="CE1421"/>
      <c r="CF1421"/>
      <c r="CG1421"/>
      <c r="CH1421"/>
      <c r="CI1421"/>
      <c r="CJ1421"/>
      <c r="CK1421"/>
      <c r="CL1421"/>
      <c r="CM1421"/>
      <c r="CN1421"/>
      <c r="CO1421"/>
      <c r="CP1421"/>
      <c r="CQ1421"/>
      <c r="CR1421"/>
      <c r="CS1421"/>
      <c r="CT1421"/>
      <c r="CU1421"/>
      <c r="CV1421"/>
      <c r="CW1421"/>
      <c r="CX1421"/>
      <c r="CY1421"/>
    </row>
    <row r="1422" spans="50:103" ht="20.100000000000001" customHeight="1" x14ac:dyDescent="0.25">
      <c r="AX1422"/>
      <c r="AY1422"/>
      <c r="AZ1422"/>
      <c r="BA1422"/>
      <c r="BB1422"/>
      <c r="BC1422"/>
      <c r="BD1422"/>
      <c r="BE1422"/>
      <c r="BF1422"/>
      <c r="BG1422"/>
      <c r="BH1422"/>
      <c r="BI1422"/>
      <c r="BJ1422"/>
      <c r="BK1422"/>
      <c r="BL1422"/>
      <c r="BM1422"/>
      <c r="BN1422"/>
      <c r="BO1422"/>
      <c r="BP1422"/>
      <c r="BQ1422"/>
      <c r="BR1422"/>
      <c r="BY1422"/>
      <c r="BZ1422"/>
      <c r="CA1422"/>
      <c r="CB1422"/>
      <c r="CC1422"/>
      <c r="CD1422"/>
      <c r="CE1422"/>
      <c r="CF1422"/>
      <c r="CG1422"/>
      <c r="CH1422"/>
      <c r="CI1422"/>
      <c r="CJ1422"/>
      <c r="CK1422"/>
      <c r="CL1422"/>
      <c r="CM1422"/>
      <c r="CN1422"/>
      <c r="CO1422"/>
      <c r="CP1422"/>
      <c r="CQ1422"/>
      <c r="CR1422"/>
      <c r="CS1422"/>
      <c r="CT1422"/>
      <c r="CU1422"/>
      <c r="CV1422"/>
      <c r="CW1422"/>
      <c r="CX1422"/>
      <c r="CY1422"/>
    </row>
    <row r="1423" spans="50:103" ht="20.100000000000001" customHeight="1" x14ac:dyDescent="0.25">
      <c r="AX1423"/>
      <c r="AY1423"/>
      <c r="AZ1423"/>
      <c r="BA1423"/>
      <c r="BB1423"/>
      <c r="BC1423"/>
      <c r="BD1423"/>
      <c r="BE1423"/>
      <c r="BF1423"/>
      <c r="BG1423"/>
      <c r="BH1423"/>
      <c r="BI1423"/>
      <c r="BJ1423"/>
      <c r="BK1423"/>
      <c r="BL1423"/>
      <c r="BM1423"/>
      <c r="BN1423"/>
      <c r="BO1423"/>
      <c r="BP1423"/>
      <c r="BQ1423"/>
      <c r="BR1423"/>
      <c r="BY1423"/>
      <c r="BZ1423"/>
      <c r="CA1423"/>
      <c r="CB1423"/>
      <c r="CC1423"/>
      <c r="CD1423"/>
      <c r="CE1423"/>
      <c r="CF1423"/>
      <c r="CG1423"/>
      <c r="CH1423"/>
      <c r="CI1423"/>
      <c r="CJ1423"/>
      <c r="CK1423"/>
      <c r="CL1423"/>
      <c r="CM1423"/>
      <c r="CN1423"/>
      <c r="CO1423"/>
      <c r="CP1423"/>
      <c r="CQ1423"/>
      <c r="CR1423"/>
      <c r="CS1423"/>
      <c r="CT1423"/>
      <c r="CU1423"/>
      <c r="CV1423"/>
      <c r="CW1423"/>
      <c r="CX1423"/>
      <c r="CY1423"/>
    </row>
    <row r="1424" spans="50:103" ht="20.100000000000001" customHeight="1" x14ac:dyDescent="0.25">
      <c r="AX1424"/>
      <c r="AY1424"/>
      <c r="AZ1424"/>
      <c r="BA1424"/>
      <c r="BB1424"/>
      <c r="BC1424"/>
      <c r="BD1424"/>
      <c r="BE1424"/>
      <c r="BF1424"/>
      <c r="BG1424"/>
      <c r="BH1424"/>
      <c r="BI1424"/>
      <c r="BJ1424"/>
      <c r="BK1424"/>
      <c r="BL1424"/>
      <c r="BM1424"/>
      <c r="BN1424"/>
      <c r="BO1424"/>
      <c r="BP1424"/>
      <c r="BQ1424"/>
      <c r="BR1424"/>
      <c r="BY1424"/>
      <c r="BZ1424"/>
      <c r="CA1424"/>
      <c r="CB1424"/>
      <c r="CC1424"/>
      <c r="CD1424"/>
      <c r="CE1424"/>
      <c r="CF1424"/>
      <c r="CG1424"/>
      <c r="CH1424"/>
      <c r="CI1424"/>
      <c r="CJ1424"/>
      <c r="CK1424"/>
      <c r="CL1424"/>
      <c r="CM1424"/>
      <c r="CN1424"/>
      <c r="CO1424"/>
      <c r="CP1424"/>
      <c r="CQ1424"/>
      <c r="CR1424"/>
      <c r="CS1424"/>
      <c r="CT1424"/>
      <c r="CU1424"/>
      <c r="CV1424"/>
      <c r="CW1424"/>
      <c r="CX1424"/>
      <c r="CY1424"/>
    </row>
    <row r="1425" spans="50:103" ht="20.100000000000001" customHeight="1" x14ac:dyDescent="0.25">
      <c r="AX1425"/>
      <c r="AY1425"/>
      <c r="AZ1425"/>
      <c r="BA1425"/>
      <c r="BB1425"/>
      <c r="BC1425"/>
      <c r="BD1425"/>
      <c r="BE1425"/>
      <c r="BF1425"/>
      <c r="BG1425"/>
      <c r="BH1425"/>
      <c r="BI1425"/>
      <c r="BJ1425"/>
      <c r="BK1425"/>
      <c r="BL1425"/>
      <c r="BM1425"/>
      <c r="BN1425"/>
      <c r="BO1425"/>
      <c r="BP1425"/>
      <c r="BQ1425"/>
      <c r="BR1425"/>
      <c r="BY1425"/>
      <c r="BZ1425"/>
      <c r="CA1425"/>
      <c r="CB1425"/>
      <c r="CC1425"/>
      <c r="CD1425"/>
      <c r="CE1425"/>
      <c r="CF1425"/>
      <c r="CG1425"/>
      <c r="CH1425"/>
      <c r="CI1425"/>
      <c r="CJ1425"/>
      <c r="CK1425"/>
      <c r="CL1425"/>
      <c r="CM1425"/>
      <c r="CN1425"/>
      <c r="CO1425"/>
      <c r="CP1425"/>
      <c r="CQ1425"/>
      <c r="CR1425"/>
      <c r="CS1425"/>
      <c r="CT1425"/>
      <c r="CU1425"/>
      <c r="CV1425"/>
      <c r="CW1425"/>
      <c r="CX1425"/>
      <c r="CY1425"/>
    </row>
    <row r="1426" spans="50:103" ht="20.100000000000001" customHeight="1" x14ac:dyDescent="0.25">
      <c r="AX1426"/>
      <c r="AY1426"/>
      <c r="AZ1426"/>
      <c r="BA1426"/>
      <c r="BB1426"/>
      <c r="BC1426"/>
      <c r="BD1426"/>
      <c r="BE1426"/>
      <c r="BF1426"/>
      <c r="BG1426"/>
      <c r="BH1426"/>
      <c r="BI1426"/>
      <c r="BJ1426"/>
      <c r="BK1426"/>
      <c r="BL1426"/>
      <c r="BM1426"/>
      <c r="BN1426"/>
      <c r="BO1426"/>
      <c r="BP1426"/>
      <c r="BQ1426"/>
      <c r="BR1426"/>
      <c r="BY1426"/>
      <c r="BZ1426"/>
      <c r="CA1426"/>
      <c r="CB1426"/>
      <c r="CC1426"/>
      <c r="CD1426"/>
      <c r="CE1426"/>
      <c r="CF1426"/>
      <c r="CG1426"/>
      <c r="CH1426"/>
      <c r="CI1426"/>
      <c r="CJ1426"/>
      <c r="CK1426"/>
      <c r="CL1426"/>
      <c r="CM1426"/>
      <c r="CN1426"/>
      <c r="CO1426"/>
      <c r="CP1426"/>
      <c r="CQ1426"/>
      <c r="CR1426"/>
      <c r="CS1426"/>
      <c r="CT1426"/>
      <c r="CU1426"/>
      <c r="CV1426"/>
      <c r="CW1426"/>
      <c r="CX1426"/>
      <c r="CY1426"/>
    </row>
    <row r="1427" spans="50:103" ht="20.100000000000001" customHeight="1" x14ac:dyDescent="0.25">
      <c r="AX1427"/>
      <c r="AY1427"/>
      <c r="AZ1427"/>
      <c r="BA1427"/>
      <c r="BB1427"/>
      <c r="BC1427"/>
      <c r="BD1427"/>
      <c r="BE1427"/>
      <c r="BF1427"/>
      <c r="BG1427"/>
      <c r="BH1427"/>
      <c r="BI1427"/>
      <c r="BJ1427"/>
      <c r="BK1427"/>
      <c r="BL1427"/>
      <c r="BM1427"/>
      <c r="BN1427"/>
      <c r="BO1427"/>
      <c r="BP1427"/>
      <c r="BQ1427"/>
      <c r="BR1427"/>
      <c r="BY1427"/>
      <c r="BZ1427"/>
      <c r="CA1427"/>
      <c r="CB1427"/>
      <c r="CC1427"/>
      <c r="CD1427"/>
      <c r="CE1427"/>
      <c r="CF1427"/>
      <c r="CG1427"/>
      <c r="CH1427"/>
      <c r="CI1427"/>
      <c r="CJ1427"/>
      <c r="CK1427"/>
      <c r="CL1427"/>
      <c r="CM1427"/>
      <c r="CN1427"/>
      <c r="CO1427"/>
      <c r="CP1427"/>
      <c r="CQ1427"/>
      <c r="CR1427"/>
      <c r="CS1427"/>
      <c r="CT1427"/>
      <c r="CU1427"/>
      <c r="CV1427"/>
      <c r="CW1427"/>
      <c r="CX1427"/>
      <c r="CY1427"/>
    </row>
    <row r="1428" spans="50:103" ht="20.100000000000001" customHeight="1" x14ac:dyDescent="0.25">
      <c r="AX1428"/>
      <c r="AY1428"/>
      <c r="AZ1428"/>
      <c r="BA1428"/>
      <c r="BB1428"/>
      <c r="BC1428"/>
      <c r="BD1428"/>
      <c r="BE1428"/>
      <c r="BF1428"/>
      <c r="BG1428"/>
      <c r="BH1428"/>
      <c r="BI1428"/>
      <c r="BJ1428"/>
      <c r="BK1428"/>
      <c r="BL1428"/>
      <c r="BM1428"/>
      <c r="BN1428"/>
      <c r="BO1428"/>
      <c r="BP1428"/>
      <c r="BQ1428"/>
      <c r="BR1428"/>
      <c r="BY1428"/>
      <c r="BZ1428"/>
      <c r="CA1428"/>
      <c r="CB1428"/>
      <c r="CC1428"/>
      <c r="CD1428"/>
      <c r="CE1428"/>
      <c r="CF1428"/>
      <c r="CG1428"/>
      <c r="CH1428"/>
      <c r="CI1428"/>
      <c r="CJ1428"/>
      <c r="CK1428"/>
      <c r="CL1428"/>
      <c r="CM1428"/>
      <c r="CN1428"/>
      <c r="CO1428"/>
      <c r="CP1428"/>
      <c r="CQ1428"/>
      <c r="CR1428"/>
      <c r="CS1428"/>
      <c r="CT1428"/>
      <c r="CU1428"/>
      <c r="CV1428"/>
      <c r="CW1428"/>
      <c r="CX1428"/>
      <c r="CY1428"/>
    </row>
    <row r="1429" spans="50:103" ht="20.100000000000001" customHeight="1" x14ac:dyDescent="0.25">
      <c r="AX1429"/>
      <c r="AY1429"/>
      <c r="AZ1429"/>
      <c r="BA1429"/>
      <c r="BB1429"/>
      <c r="BC1429"/>
      <c r="BD1429"/>
      <c r="BE1429"/>
      <c r="BF1429"/>
      <c r="BG1429"/>
      <c r="BH1429"/>
      <c r="BI1429"/>
      <c r="BJ1429"/>
      <c r="BK1429"/>
      <c r="BL1429"/>
      <c r="BM1429"/>
      <c r="BN1429"/>
      <c r="BO1429"/>
      <c r="BP1429"/>
      <c r="BQ1429"/>
      <c r="BR1429"/>
      <c r="BY1429"/>
      <c r="BZ1429"/>
      <c r="CA1429"/>
      <c r="CB1429"/>
      <c r="CC1429"/>
      <c r="CD1429"/>
      <c r="CE1429"/>
      <c r="CF1429"/>
      <c r="CG1429"/>
      <c r="CH1429"/>
      <c r="CI1429"/>
      <c r="CJ1429"/>
      <c r="CK1429"/>
      <c r="CL1429"/>
      <c r="CM1429"/>
      <c r="CN1429"/>
      <c r="CO1429"/>
      <c r="CP1429"/>
      <c r="CQ1429"/>
      <c r="CR1429"/>
      <c r="CS1429"/>
      <c r="CT1429"/>
      <c r="CU1429"/>
      <c r="CV1429"/>
      <c r="CW1429"/>
      <c r="CX1429"/>
      <c r="CY1429"/>
    </row>
    <row r="1430" spans="50:103" ht="20.100000000000001" customHeight="1" x14ac:dyDescent="0.25">
      <c r="AX1430"/>
      <c r="AY1430"/>
      <c r="AZ1430"/>
      <c r="BA1430"/>
      <c r="BB1430"/>
      <c r="BC1430"/>
      <c r="BD1430"/>
      <c r="BE1430"/>
      <c r="BF1430"/>
      <c r="BG1430"/>
      <c r="BH1430"/>
      <c r="BI1430"/>
      <c r="BJ1430"/>
      <c r="BK1430"/>
      <c r="BL1430"/>
      <c r="BM1430"/>
      <c r="BN1430"/>
      <c r="BO1430"/>
      <c r="BP1430"/>
      <c r="BQ1430"/>
      <c r="BR1430"/>
      <c r="BY1430"/>
      <c r="BZ1430"/>
      <c r="CA1430"/>
      <c r="CB1430"/>
      <c r="CC1430"/>
      <c r="CD1430"/>
      <c r="CE1430"/>
      <c r="CF1430"/>
      <c r="CG1430"/>
      <c r="CH1430"/>
      <c r="CI1430"/>
      <c r="CJ1430"/>
      <c r="CK1430"/>
      <c r="CL1430"/>
      <c r="CM1430"/>
      <c r="CN1430"/>
      <c r="CO1430"/>
      <c r="CP1430"/>
      <c r="CQ1430"/>
      <c r="CR1430"/>
      <c r="CS1430"/>
      <c r="CT1430"/>
      <c r="CU1430"/>
      <c r="CV1430"/>
      <c r="CW1430"/>
      <c r="CX1430"/>
      <c r="CY1430"/>
    </row>
    <row r="1431" spans="50:103" ht="20.100000000000001" customHeight="1" x14ac:dyDescent="0.25">
      <c r="AX1431"/>
      <c r="AY1431"/>
      <c r="AZ1431"/>
      <c r="BA1431"/>
      <c r="BB1431"/>
      <c r="BC1431"/>
      <c r="BD1431"/>
      <c r="BE1431"/>
      <c r="BF1431"/>
      <c r="BG1431"/>
      <c r="BH1431"/>
      <c r="BI1431"/>
      <c r="BJ1431"/>
      <c r="BK1431"/>
      <c r="BL1431"/>
      <c r="BM1431"/>
      <c r="BN1431"/>
      <c r="BO1431"/>
      <c r="BP1431"/>
      <c r="BQ1431"/>
      <c r="BR1431"/>
      <c r="BY1431"/>
      <c r="BZ1431"/>
      <c r="CA1431"/>
      <c r="CB1431"/>
      <c r="CC1431"/>
      <c r="CD1431"/>
      <c r="CE1431"/>
      <c r="CF1431"/>
      <c r="CG1431"/>
      <c r="CH1431"/>
      <c r="CI1431"/>
      <c r="CJ1431"/>
      <c r="CK1431"/>
      <c r="CL1431"/>
      <c r="CM1431"/>
      <c r="CN1431"/>
      <c r="CO1431"/>
      <c r="CP1431"/>
      <c r="CQ1431"/>
      <c r="CR1431"/>
      <c r="CS1431"/>
      <c r="CT1431"/>
      <c r="CU1431"/>
      <c r="CV1431"/>
      <c r="CW1431"/>
      <c r="CX1431"/>
      <c r="CY1431"/>
    </row>
    <row r="1432" spans="50:103" ht="20.100000000000001" customHeight="1" x14ac:dyDescent="0.25">
      <c r="AX1432"/>
      <c r="AY1432"/>
      <c r="AZ1432"/>
      <c r="BA1432"/>
      <c r="BB1432"/>
      <c r="BC1432"/>
      <c r="BD1432"/>
      <c r="BE1432"/>
      <c r="BF1432"/>
      <c r="BG1432"/>
      <c r="BH1432"/>
      <c r="BI1432"/>
      <c r="BJ1432"/>
      <c r="BK1432"/>
      <c r="BL1432"/>
      <c r="BM1432"/>
      <c r="BN1432"/>
      <c r="BO1432"/>
      <c r="BP1432"/>
      <c r="BQ1432"/>
      <c r="BR1432"/>
      <c r="BY1432"/>
      <c r="BZ1432"/>
      <c r="CA1432"/>
      <c r="CB1432"/>
      <c r="CC1432"/>
      <c r="CD1432"/>
      <c r="CE1432"/>
      <c r="CF1432"/>
      <c r="CG1432"/>
      <c r="CH1432"/>
      <c r="CI1432"/>
      <c r="CJ1432"/>
      <c r="CK1432"/>
      <c r="CL1432"/>
      <c r="CM1432"/>
      <c r="CN1432"/>
      <c r="CO1432"/>
      <c r="CP1432"/>
      <c r="CQ1432"/>
      <c r="CR1432"/>
      <c r="CS1432"/>
      <c r="CT1432"/>
      <c r="CU1432"/>
      <c r="CV1432"/>
      <c r="CW1432"/>
      <c r="CX1432"/>
      <c r="CY1432"/>
    </row>
    <row r="1433" spans="50:103" ht="20.100000000000001" customHeight="1" x14ac:dyDescent="0.25">
      <c r="AX1433"/>
      <c r="AY1433"/>
      <c r="AZ1433"/>
      <c r="BA1433"/>
      <c r="BB1433"/>
      <c r="BC1433"/>
      <c r="BD1433"/>
      <c r="BE1433"/>
      <c r="BF1433"/>
      <c r="BG1433"/>
      <c r="BH1433"/>
      <c r="BI1433"/>
      <c r="BJ1433"/>
      <c r="BK1433"/>
      <c r="BL1433"/>
      <c r="BM1433"/>
      <c r="BN1433"/>
      <c r="BO1433"/>
      <c r="BP1433"/>
      <c r="BQ1433"/>
      <c r="BR1433"/>
      <c r="BY1433"/>
      <c r="BZ1433"/>
      <c r="CA1433"/>
      <c r="CB1433"/>
      <c r="CC1433"/>
      <c r="CD1433"/>
      <c r="CE1433"/>
      <c r="CF1433"/>
      <c r="CG1433"/>
      <c r="CH1433"/>
      <c r="CI1433"/>
      <c r="CJ1433"/>
      <c r="CK1433"/>
      <c r="CL1433"/>
      <c r="CM1433"/>
      <c r="CN1433"/>
      <c r="CO1433"/>
      <c r="CP1433"/>
      <c r="CQ1433"/>
      <c r="CR1433"/>
      <c r="CS1433"/>
      <c r="CT1433"/>
      <c r="CU1433"/>
      <c r="CV1433"/>
      <c r="CW1433"/>
      <c r="CX1433"/>
      <c r="CY1433"/>
    </row>
    <row r="1434" spans="50:103" ht="20.100000000000001" customHeight="1" x14ac:dyDescent="0.25">
      <c r="AX1434"/>
      <c r="AY1434"/>
      <c r="AZ1434"/>
      <c r="BA1434"/>
      <c r="BB1434"/>
      <c r="BC1434"/>
      <c r="BD1434"/>
      <c r="BE1434"/>
      <c r="BF1434"/>
      <c r="BG1434"/>
      <c r="BH1434"/>
      <c r="BI1434"/>
      <c r="BJ1434"/>
      <c r="BK1434"/>
      <c r="BL1434"/>
      <c r="BM1434"/>
      <c r="BN1434"/>
      <c r="BO1434"/>
      <c r="BP1434"/>
      <c r="BQ1434"/>
      <c r="BR1434"/>
      <c r="BY1434"/>
      <c r="BZ1434"/>
      <c r="CA1434"/>
      <c r="CB1434"/>
      <c r="CC1434"/>
      <c r="CD1434"/>
      <c r="CE1434"/>
      <c r="CF1434"/>
      <c r="CG1434"/>
      <c r="CH1434"/>
      <c r="CI1434"/>
      <c r="CJ1434"/>
      <c r="CK1434"/>
      <c r="CL1434"/>
      <c r="CM1434"/>
      <c r="CN1434"/>
      <c r="CO1434"/>
      <c r="CP1434"/>
      <c r="CQ1434"/>
      <c r="CR1434"/>
      <c r="CS1434"/>
      <c r="CT1434"/>
      <c r="CU1434"/>
      <c r="CV1434"/>
      <c r="CW1434"/>
      <c r="CX1434"/>
      <c r="CY1434"/>
    </row>
    <row r="1435" spans="50:103" ht="20.100000000000001" customHeight="1" x14ac:dyDescent="0.25">
      <c r="AX1435"/>
      <c r="AY1435"/>
      <c r="AZ1435"/>
      <c r="BA1435"/>
      <c r="BB1435"/>
      <c r="BC1435"/>
      <c r="BD1435"/>
      <c r="BE1435"/>
      <c r="BF1435"/>
      <c r="BG1435"/>
      <c r="BH1435"/>
      <c r="BI1435"/>
      <c r="BJ1435"/>
      <c r="BK1435"/>
      <c r="BL1435"/>
      <c r="BM1435"/>
      <c r="BN1435"/>
      <c r="BO1435"/>
      <c r="BP1435"/>
      <c r="BQ1435"/>
      <c r="BR1435"/>
      <c r="BY1435"/>
      <c r="BZ1435"/>
      <c r="CA1435"/>
      <c r="CB1435"/>
      <c r="CC1435"/>
      <c r="CD1435"/>
      <c r="CE1435"/>
      <c r="CF1435"/>
      <c r="CG1435"/>
      <c r="CH1435"/>
      <c r="CI1435"/>
      <c r="CJ1435"/>
      <c r="CK1435"/>
      <c r="CL1435"/>
      <c r="CM1435"/>
      <c r="CN1435"/>
      <c r="CO1435"/>
      <c r="CP1435"/>
      <c r="CQ1435"/>
      <c r="CR1435"/>
      <c r="CS1435"/>
      <c r="CT1435"/>
      <c r="CU1435"/>
      <c r="CV1435"/>
      <c r="CW1435"/>
      <c r="CX1435"/>
      <c r="CY1435"/>
    </row>
    <row r="1436" spans="50:103" ht="20.100000000000001" customHeight="1" x14ac:dyDescent="0.25">
      <c r="AX1436"/>
      <c r="AY1436"/>
      <c r="AZ1436"/>
      <c r="BA1436"/>
      <c r="BB1436"/>
      <c r="BC1436"/>
      <c r="BD1436"/>
      <c r="BE1436"/>
      <c r="BF1436"/>
      <c r="BG1436"/>
      <c r="BH1436"/>
      <c r="BI1436"/>
      <c r="BJ1436"/>
      <c r="BK1436"/>
      <c r="BL1436"/>
      <c r="BM1436"/>
      <c r="BN1436"/>
      <c r="BO1436"/>
      <c r="BP1436"/>
      <c r="BQ1436"/>
      <c r="BR1436"/>
      <c r="BY1436"/>
      <c r="BZ1436"/>
      <c r="CA1436"/>
      <c r="CB1436"/>
      <c r="CC1436"/>
      <c r="CD1436"/>
      <c r="CE1436"/>
      <c r="CF1436"/>
      <c r="CG1436"/>
      <c r="CH1436"/>
      <c r="CI1436"/>
      <c r="CJ1436"/>
      <c r="CK1436"/>
      <c r="CL1436"/>
      <c r="CM1436"/>
      <c r="CN1436"/>
      <c r="CO1436"/>
      <c r="CP1436"/>
      <c r="CQ1436"/>
      <c r="CR1436"/>
      <c r="CS1436"/>
      <c r="CT1436"/>
      <c r="CU1436"/>
      <c r="CV1436"/>
      <c r="CW1436"/>
      <c r="CX1436"/>
      <c r="CY1436"/>
    </row>
    <row r="1437" spans="50:103" ht="20.100000000000001" customHeight="1" x14ac:dyDescent="0.25">
      <c r="AX1437"/>
      <c r="AY1437"/>
      <c r="AZ1437"/>
      <c r="BA1437"/>
      <c r="BB1437"/>
      <c r="BC1437"/>
      <c r="BD1437"/>
      <c r="BE1437"/>
      <c r="BF1437"/>
      <c r="BG1437"/>
      <c r="BH1437"/>
      <c r="BI1437"/>
      <c r="BJ1437"/>
      <c r="BK1437"/>
      <c r="BL1437"/>
      <c r="BM1437"/>
      <c r="BN1437"/>
      <c r="BO1437"/>
      <c r="BP1437"/>
      <c r="BQ1437"/>
      <c r="BR1437"/>
      <c r="BY1437"/>
      <c r="BZ1437"/>
      <c r="CA1437"/>
      <c r="CB1437"/>
      <c r="CC1437"/>
      <c r="CD1437"/>
      <c r="CE1437"/>
      <c r="CF1437"/>
      <c r="CG1437"/>
      <c r="CH1437"/>
      <c r="CI1437"/>
      <c r="CJ1437"/>
      <c r="CK1437"/>
      <c r="CL1437"/>
      <c r="CM1437"/>
      <c r="CN1437"/>
      <c r="CO1437"/>
      <c r="CP1437"/>
      <c r="CQ1437"/>
      <c r="CR1437"/>
      <c r="CS1437"/>
      <c r="CT1437"/>
      <c r="CU1437"/>
      <c r="CV1437"/>
      <c r="CW1437"/>
      <c r="CX1437"/>
      <c r="CY1437"/>
    </row>
    <row r="1438" spans="50:103" ht="20.100000000000001" customHeight="1" x14ac:dyDescent="0.25">
      <c r="AX1438"/>
      <c r="AY1438"/>
      <c r="AZ1438"/>
      <c r="BA1438"/>
      <c r="BB1438"/>
      <c r="BC1438"/>
      <c r="BD1438"/>
      <c r="BE1438"/>
      <c r="BF1438"/>
      <c r="BG1438"/>
      <c r="BH1438"/>
      <c r="BI1438"/>
      <c r="BJ1438"/>
      <c r="BK1438"/>
      <c r="BL1438"/>
      <c r="BM1438"/>
      <c r="BN1438"/>
      <c r="BO1438"/>
      <c r="BP1438"/>
      <c r="BQ1438"/>
      <c r="BR1438"/>
      <c r="BY1438"/>
      <c r="BZ1438"/>
      <c r="CA1438"/>
      <c r="CB1438"/>
      <c r="CC1438"/>
      <c r="CD1438"/>
      <c r="CE1438"/>
      <c r="CF1438"/>
      <c r="CG1438"/>
      <c r="CH1438"/>
      <c r="CI1438"/>
      <c r="CJ1438"/>
      <c r="CK1438"/>
      <c r="CL1438"/>
      <c r="CM1438"/>
      <c r="CN1438"/>
      <c r="CO1438"/>
      <c r="CP1438"/>
      <c r="CQ1438"/>
      <c r="CR1438"/>
      <c r="CS1438"/>
      <c r="CT1438"/>
      <c r="CU1438"/>
      <c r="CV1438"/>
      <c r="CW1438"/>
      <c r="CX1438"/>
      <c r="CY1438"/>
    </row>
    <row r="1439" spans="50:103" ht="20.100000000000001" customHeight="1" x14ac:dyDescent="0.25">
      <c r="AX1439"/>
      <c r="AY1439"/>
      <c r="AZ1439"/>
      <c r="BA1439"/>
      <c r="BB1439"/>
      <c r="BC1439"/>
      <c r="BD1439"/>
      <c r="BE1439"/>
      <c r="BF1439"/>
      <c r="BG1439"/>
      <c r="BH1439"/>
      <c r="BI1439"/>
      <c r="BJ1439"/>
      <c r="BK1439"/>
      <c r="BL1439"/>
      <c r="BM1439"/>
      <c r="BN1439"/>
      <c r="BO1439"/>
      <c r="BP1439"/>
      <c r="BQ1439"/>
      <c r="BR1439"/>
      <c r="BY1439"/>
      <c r="BZ1439"/>
      <c r="CA1439"/>
      <c r="CB1439"/>
      <c r="CC1439"/>
      <c r="CD1439"/>
      <c r="CE1439"/>
      <c r="CF1439"/>
      <c r="CG1439"/>
      <c r="CH1439"/>
      <c r="CI1439"/>
      <c r="CJ1439"/>
      <c r="CK1439"/>
      <c r="CL1439"/>
      <c r="CM1439"/>
      <c r="CN1439"/>
      <c r="CO1439"/>
      <c r="CP1439"/>
      <c r="CQ1439"/>
      <c r="CR1439"/>
      <c r="CS1439"/>
      <c r="CT1439"/>
      <c r="CU1439"/>
      <c r="CV1439"/>
      <c r="CW1439"/>
      <c r="CX1439"/>
      <c r="CY1439"/>
    </row>
    <row r="1440" spans="50:103" ht="20.100000000000001" customHeight="1" x14ac:dyDescent="0.25">
      <c r="AX1440"/>
      <c r="AY1440"/>
      <c r="AZ1440"/>
      <c r="BA1440"/>
      <c r="BB1440"/>
      <c r="BC1440"/>
      <c r="BD1440"/>
      <c r="BE1440"/>
      <c r="BF1440"/>
      <c r="BG1440"/>
      <c r="BH1440"/>
      <c r="BI1440"/>
      <c r="BJ1440"/>
      <c r="BK1440"/>
      <c r="BL1440"/>
      <c r="BM1440"/>
      <c r="BN1440"/>
      <c r="BO1440"/>
      <c r="BP1440"/>
      <c r="BQ1440"/>
      <c r="BR1440"/>
      <c r="BY1440"/>
      <c r="BZ1440"/>
      <c r="CA1440"/>
      <c r="CB1440"/>
      <c r="CC1440"/>
      <c r="CD1440"/>
      <c r="CE1440"/>
      <c r="CF1440"/>
      <c r="CG1440"/>
      <c r="CH1440"/>
      <c r="CI1440"/>
      <c r="CJ1440"/>
      <c r="CK1440"/>
      <c r="CL1440"/>
      <c r="CM1440"/>
      <c r="CN1440"/>
      <c r="CO1440"/>
      <c r="CP1440"/>
      <c r="CQ1440"/>
      <c r="CR1440"/>
      <c r="CS1440"/>
      <c r="CT1440"/>
      <c r="CU1440"/>
      <c r="CV1440"/>
      <c r="CW1440"/>
      <c r="CX1440"/>
      <c r="CY1440"/>
    </row>
    <row r="1441" spans="50:103" ht="20.100000000000001" customHeight="1" x14ac:dyDescent="0.25">
      <c r="AX1441"/>
      <c r="AY1441"/>
      <c r="AZ1441"/>
      <c r="BA1441"/>
      <c r="BB1441"/>
      <c r="BC1441"/>
      <c r="BD1441"/>
      <c r="BE1441"/>
      <c r="BF1441"/>
      <c r="BG1441"/>
      <c r="BH1441"/>
      <c r="BI1441"/>
      <c r="BJ1441"/>
      <c r="BK1441"/>
      <c r="BL1441"/>
      <c r="BM1441"/>
      <c r="BN1441"/>
      <c r="BO1441"/>
      <c r="BP1441"/>
      <c r="BQ1441"/>
      <c r="BR1441"/>
      <c r="BY1441"/>
      <c r="BZ1441"/>
      <c r="CA1441"/>
      <c r="CB1441"/>
      <c r="CC1441"/>
      <c r="CD1441"/>
      <c r="CE1441"/>
      <c r="CF1441"/>
      <c r="CG1441"/>
      <c r="CH1441"/>
      <c r="CI1441"/>
      <c r="CJ1441"/>
      <c r="CK1441"/>
      <c r="CL1441"/>
      <c r="CM1441"/>
      <c r="CN1441"/>
      <c r="CO1441"/>
      <c r="CP1441"/>
      <c r="CQ1441"/>
      <c r="CR1441"/>
      <c r="CS1441"/>
      <c r="CT1441"/>
      <c r="CU1441"/>
      <c r="CV1441"/>
      <c r="CW1441"/>
      <c r="CX1441"/>
      <c r="CY1441"/>
    </row>
    <row r="1442" spans="50:103" ht="20.100000000000001" customHeight="1" x14ac:dyDescent="0.25">
      <c r="AX1442"/>
      <c r="AY1442"/>
      <c r="AZ1442"/>
      <c r="BA1442"/>
      <c r="BB1442"/>
      <c r="BC1442"/>
      <c r="BD1442"/>
      <c r="BE1442"/>
      <c r="BF1442"/>
      <c r="BG1442"/>
      <c r="BH1442"/>
      <c r="BI1442"/>
      <c r="BJ1442"/>
      <c r="BK1442"/>
      <c r="BL1442"/>
      <c r="BM1442"/>
      <c r="BN1442"/>
      <c r="BO1442"/>
      <c r="BP1442"/>
      <c r="BQ1442"/>
      <c r="BR1442"/>
      <c r="BY1442"/>
      <c r="BZ1442"/>
      <c r="CA1442"/>
      <c r="CB1442"/>
      <c r="CC1442"/>
      <c r="CD1442"/>
      <c r="CE1442"/>
      <c r="CF1442"/>
      <c r="CG1442"/>
      <c r="CH1442"/>
      <c r="CI1442"/>
      <c r="CJ1442"/>
      <c r="CK1442"/>
      <c r="CL1442"/>
      <c r="CM1442"/>
      <c r="CN1442"/>
      <c r="CO1442"/>
      <c r="CP1442"/>
      <c r="CQ1442"/>
      <c r="CR1442"/>
      <c r="CS1442"/>
      <c r="CT1442"/>
      <c r="CU1442"/>
      <c r="CV1442"/>
      <c r="CW1442"/>
      <c r="CX1442"/>
      <c r="CY1442"/>
    </row>
    <row r="1443" spans="50:103" ht="20.100000000000001" customHeight="1" x14ac:dyDescent="0.25">
      <c r="AX1443"/>
      <c r="AY1443"/>
      <c r="AZ1443"/>
      <c r="BA1443"/>
      <c r="BB1443"/>
      <c r="BC1443"/>
      <c r="BD1443"/>
      <c r="BE1443"/>
      <c r="BF1443"/>
      <c r="BG1443"/>
      <c r="BH1443"/>
      <c r="BI1443"/>
      <c r="BJ1443"/>
      <c r="BK1443"/>
      <c r="BL1443"/>
      <c r="BM1443"/>
      <c r="BN1443"/>
      <c r="BO1443"/>
      <c r="BP1443"/>
      <c r="BQ1443"/>
      <c r="BR1443"/>
      <c r="BY1443"/>
      <c r="BZ1443"/>
      <c r="CA1443"/>
      <c r="CB1443"/>
      <c r="CC1443"/>
      <c r="CD1443"/>
      <c r="CE1443"/>
      <c r="CF1443"/>
      <c r="CG1443"/>
      <c r="CH1443"/>
      <c r="CI1443"/>
      <c r="CJ1443"/>
      <c r="CK1443"/>
      <c r="CL1443"/>
      <c r="CM1443"/>
      <c r="CN1443"/>
      <c r="CO1443"/>
      <c r="CP1443"/>
      <c r="CQ1443"/>
      <c r="CR1443"/>
      <c r="CS1443"/>
      <c r="CT1443"/>
      <c r="CU1443"/>
      <c r="CV1443"/>
      <c r="CW1443"/>
      <c r="CX1443"/>
      <c r="CY1443"/>
    </row>
    <row r="1444" spans="50:103" ht="20.100000000000001" customHeight="1" x14ac:dyDescent="0.25">
      <c r="AX1444"/>
      <c r="AY1444"/>
      <c r="AZ1444"/>
      <c r="BA1444"/>
      <c r="BB1444"/>
      <c r="BC1444"/>
      <c r="BD1444"/>
      <c r="BE1444"/>
      <c r="BF1444"/>
      <c r="BG1444"/>
      <c r="BH1444"/>
      <c r="BI1444"/>
      <c r="BJ1444"/>
      <c r="BK1444"/>
      <c r="BL1444"/>
      <c r="BM1444"/>
      <c r="BN1444"/>
      <c r="BO1444"/>
      <c r="BP1444"/>
      <c r="BQ1444"/>
      <c r="BR1444"/>
      <c r="BY1444"/>
      <c r="BZ1444"/>
      <c r="CA1444"/>
      <c r="CB1444"/>
      <c r="CC1444"/>
      <c r="CD1444"/>
      <c r="CE1444"/>
      <c r="CF1444"/>
      <c r="CG1444"/>
      <c r="CH1444"/>
      <c r="CI1444"/>
      <c r="CJ1444"/>
      <c r="CK1444"/>
      <c r="CL1444"/>
      <c r="CM1444"/>
      <c r="CN1444"/>
      <c r="CO1444"/>
      <c r="CP1444"/>
      <c r="CQ1444"/>
      <c r="CR1444"/>
      <c r="CS1444"/>
      <c r="CT1444"/>
      <c r="CU1444"/>
      <c r="CV1444"/>
      <c r="CW1444"/>
      <c r="CX1444"/>
      <c r="CY1444"/>
    </row>
    <row r="1445" spans="50:103" ht="20.100000000000001" customHeight="1" x14ac:dyDescent="0.25">
      <c r="AX1445"/>
      <c r="AY1445"/>
      <c r="AZ1445"/>
      <c r="BA1445"/>
      <c r="BB1445"/>
      <c r="BC1445"/>
      <c r="BD1445"/>
      <c r="BE1445"/>
      <c r="BF1445"/>
      <c r="BG1445"/>
      <c r="BH1445"/>
      <c r="BI1445"/>
      <c r="BJ1445"/>
      <c r="BK1445"/>
      <c r="BL1445"/>
      <c r="BM1445"/>
      <c r="BN1445"/>
      <c r="BO1445"/>
      <c r="BP1445"/>
      <c r="BQ1445"/>
      <c r="BR1445"/>
      <c r="BY1445"/>
      <c r="BZ1445"/>
      <c r="CA1445"/>
      <c r="CB1445"/>
      <c r="CC1445"/>
      <c r="CD1445"/>
      <c r="CE1445"/>
      <c r="CF1445"/>
      <c r="CG1445"/>
      <c r="CH1445"/>
      <c r="CI1445"/>
      <c r="CJ1445"/>
      <c r="CK1445"/>
      <c r="CL1445"/>
      <c r="CM1445"/>
      <c r="CN1445"/>
      <c r="CO1445"/>
      <c r="CP1445"/>
      <c r="CQ1445"/>
      <c r="CR1445"/>
      <c r="CS1445"/>
      <c r="CT1445"/>
      <c r="CU1445"/>
      <c r="CV1445"/>
      <c r="CW1445"/>
      <c r="CX1445"/>
      <c r="CY1445"/>
    </row>
    <row r="1446" spans="50:103" ht="20.100000000000001" customHeight="1" x14ac:dyDescent="0.25">
      <c r="AX1446"/>
      <c r="AY1446"/>
      <c r="AZ1446"/>
      <c r="BA1446"/>
      <c r="BB1446"/>
      <c r="BC1446"/>
      <c r="BD1446"/>
      <c r="BE1446"/>
      <c r="BF1446"/>
      <c r="BG1446"/>
      <c r="BH1446"/>
      <c r="BI1446"/>
      <c r="BJ1446"/>
      <c r="BK1446"/>
      <c r="BL1446"/>
      <c r="BM1446"/>
      <c r="BN1446"/>
      <c r="BO1446"/>
      <c r="BP1446"/>
      <c r="BQ1446"/>
      <c r="BR1446"/>
      <c r="BY1446"/>
      <c r="BZ1446"/>
      <c r="CA1446"/>
      <c r="CB1446"/>
      <c r="CC1446"/>
      <c r="CD1446"/>
      <c r="CE1446"/>
      <c r="CF1446"/>
      <c r="CG1446"/>
      <c r="CH1446"/>
      <c r="CI1446"/>
      <c r="CJ1446"/>
      <c r="CK1446"/>
      <c r="CL1446"/>
      <c r="CM1446"/>
      <c r="CN1446"/>
      <c r="CO1446"/>
      <c r="CP1446"/>
      <c r="CQ1446"/>
      <c r="CR1446"/>
      <c r="CS1446"/>
      <c r="CT1446"/>
      <c r="CU1446"/>
      <c r="CV1446"/>
      <c r="CW1446"/>
      <c r="CX1446"/>
      <c r="CY1446"/>
    </row>
    <row r="1447" spans="50:103" ht="20.100000000000001" customHeight="1" x14ac:dyDescent="0.25">
      <c r="AX1447"/>
      <c r="AY1447"/>
      <c r="AZ1447"/>
      <c r="BA1447"/>
      <c r="BB1447"/>
      <c r="BC1447"/>
      <c r="BD1447"/>
      <c r="BE1447"/>
      <c r="BF1447"/>
      <c r="BG1447"/>
      <c r="BH1447"/>
      <c r="BI1447"/>
      <c r="BJ1447"/>
      <c r="BK1447"/>
      <c r="BL1447"/>
      <c r="BM1447"/>
      <c r="BN1447"/>
      <c r="BO1447"/>
      <c r="BP1447"/>
      <c r="BQ1447"/>
      <c r="BR1447"/>
      <c r="BY1447"/>
      <c r="BZ1447"/>
      <c r="CA1447"/>
      <c r="CB1447"/>
      <c r="CC1447"/>
      <c r="CD1447"/>
      <c r="CE1447"/>
      <c r="CF1447"/>
      <c r="CG1447"/>
      <c r="CH1447"/>
      <c r="CI1447"/>
      <c r="CJ1447"/>
      <c r="CK1447"/>
      <c r="CL1447"/>
      <c r="CM1447"/>
      <c r="CN1447"/>
      <c r="CO1447"/>
      <c r="CP1447"/>
      <c r="CQ1447"/>
      <c r="CR1447"/>
      <c r="CS1447"/>
      <c r="CT1447"/>
      <c r="CU1447"/>
      <c r="CV1447"/>
      <c r="CW1447"/>
      <c r="CX1447"/>
      <c r="CY1447"/>
    </row>
    <row r="1448" spans="50:103" ht="20.100000000000001" customHeight="1" x14ac:dyDescent="0.25">
      <c r="AX1448"/>
      <c r="AY1448"/>
      <c r="AZ1448"/>
      <c r="BA1448"/>
      <c r="BB1448"/>
      <c r="BC1448"/>
      <c r="BD1448"/>
      <c r="BE1448"/>
      <c r="BF1448"/>
      <c r="BG1448"/>
      <c r="BH1448"/>
      <c r="BI1448"/>
      <c r="BJ1448"/>
      <c r="BK1448"/>
      <c r="BL1448"/>
      <c r="BM1448"/>
      <c r="BN1448"/>
      <c r="BO1448"/>
      <c r="BP1448"/>
      <c r="BQ1448"/>
      <c r="BR1448"/>
      <c r="BY1448"/>
      <c r="BZ1448"/>
      <c r="CA1448"/>
      <c r="CB1448"/>
      <c r="CC1448"/>
      <c r="CD1448"/>
      <c r="CE1448"/>
      <c r="CF1448"/>
      <c r="CG1448"/>
      <c r="CH1448"/>
      <c r="CI1448"/>
      <c r="CJ1448"/>
      <c r="CK1448"/>
      <c r="CL1448"/>
      <c r="CM1448"/>
      <c r="CN1448"/>
      <c r="CO1448"/>
      <c r="CP1448"/>
      <c r="CQ1448"/>
      <c r="CR1448"/>
      <c r="CS1448"/>
      <c r="CT1448"/>
      <c r="CU1448"/>
      <c r="CV1448"/>
      <c r="CW1448"/>
      <c r="CX1448"/>
      <c r="CY1448"/>
    </row>
    <row r="1449" spans="50:103" ht="20.100000000000001" customHeight="1" x14ac:dyDescent="0.25">
      <c r="AX1449"/>
      <c r="AY1449"/>
      <c r="AZ1449"/>
      <c r="BA1449"/>
      <c r="BB1449"/>
      <c r="BC1449"/>
      <c r="BD1449"/>
      <c r="BE1449"/>
      <c r="BF1449"/>
      <c r="BG1449"/>
      <c r="BH1449"/>
      <c r="BI1449"/>
      <c r="BJ1449"/>
      <c r="BK1449"/>
      <c r="BL1449"/>
      <c r="BM1449"/>
      <c r="BN1449"/>
      <c r="BO1449"/>
      <c r="BP1449"/>
      <c r="BQ1449"/>
      <c r="BR1449"/>
      <c r="BY1449"/>
      <c r="BZ1449"/>
      <c r="CA1449"/>
      <c r="CB1449"/>
      <c r="CC1449"/>
      <c r="CD1449"/>
      <c r="CE1449"/>
      <c r="CF1449"/>
      <c r="CG1449"/>
      <c r="CH1449"/>
      <c r="CI1449"/>
      <c r="CJ1449"/>
      <c r="CK1449"/>
      <c r="CL1449"/>
      <c r="CM1449"/>
      <c r="CN1449"/>
      <c r="CO1449"/>
      <c r="CP1449"/>
      <c r="CQ1449"/>
      <c r="CR1449"/>
      <c r="CS1449"/>
      <c r="CT1449"/>
      <c r="CU1449"/>
      <c r="CV1449"/>
      <c r="CW1449"/>
      <c r="CX1449"/>
      <c r="CY1449"/>
    </row>
    <row r="1450" spans="50:103" ht="20.100000000000001" customHeight="1" x14ac:dyDescent="0.25">
      <c r="AX1450"/>
      <c r="AY1450"/>
      <c r="AZ1450"/>
      <c r="BA1450"/>
      <c r="BB1450"/>
      <c r="BC1450"/>
      <c r="BD1450"/>
      <c r="BE1450"/>
      <c r="BF1450"/>
      <c r="BG1450"/>
      <c r="BH1450"/>
      <c r="BI1450"/>
      <c r="BJ1450"/>
      <c r="BK1450"/>
      <c r="BL1450"/>
      <c r="BM1450"/>
      <c r="BN1450"/>
      <c r="BO1450"/>
      <c r="BP1450"/>
      <c r="BQ1450"/>
      <c r="BR1450"/>
      <c r="BY1450"/>
      <c r="BZ1450"/>
      <c r="CA1450"/>
      <c r="CB1450"/>
      <c r="CC1450"/>
      <c r="CD1450"/>
      <c r="CE1450"/>
      <c r="CF1450"/>
      <c r="CG1450"/>
      <c r="CH1450"/>
      <c r="CI1450"/>
      <c r="CJ1450"/>
      <c r="CK1450"/>
      <c r="CL1450"/>
      <c r="CM1450"/>
      <c r="CN1450"/>
      <c r="CO1450"/>
      <c r="CP1450"/>
      <c r="CQ1450"/>
      <c r="CR1450"/>
      <c r="CS1450"/>
      <c r="CT1450"/>
      <c r="CU1450"/>
      <c r="CV1450"/>
      <c r="CW1450"/>
      <c r="CX1450"/>
      <c r="CY1450"/>
    </row>
    <row r="1451" spans="50:103" ht="20.100000000000001" customHeight="1" x14ac:dyDescent="0.25">
      <c r="AX1451"/>
      <c r="AY1451"/>
      <c r="AZ1451"/>
      <c r="BA1451"/>
      <c r="BB1451"/>
      <c r="BC1451"/>
      <c r="BD1451"/>
      <c r="BE1451"/>
      <c r="BF1451"/>
      <c r="BG1451"/>
      <c r="BH1451"/>
      <c r="BI1451"/>
      <c r="BJ1451"/>
      <c r="BK1451"/>
      <c r="BL1451"/>
      <c r="BM1451"/>
      <c r="BN1451"/>
      <c r="BO1451"/>
      <c r="BP1451"/>
      <c r="BQ1451"/>
      <c r="BR1451"/>
      <c r="BY1451"/>
      <c r="BZ1451"/>
      <c r="CA1451"/>
      <c r="CB1451"/>
      <c r="CC1451"/>
      <c r="CD1451"/>
      <c r="CE1451"/>
      <c r="CF1451"/>
      <c r="CG1451"/>
      <c r="CH1451"/>
      <c r="CI1451"/>
      <c r="CJ1451"/>
      <c r="CK1451"/>
      <c r="CL1451"/>
      <c r="CM1451"/>
      <c r="CN1451"/>
      <c r="CO1451"/>
      <c r="CP1451"/>
      <c r="CQ1451"/>
      <c r="CR1451"/>
      <c r="CS1451"/>
      <c r="CT1451"/>
      <c r="CU1451"/>
      <c r="CV1451"/>
      <c r="CW1451"/>
      <c r="CX1451"/>
      <c r="CY1451"/>
    </row>
    <row r="1452" spans="50:103" ht="20.100000000000001" customHeight="1" x14ac:dyDescent="0.25">
      <c r="AX1452"/>
      <c r="AY1452"/>
      <c r="AZ1452"/>
      <c r="BA1452"/>
      <c r="BB1452"/>
      <c r="BC1452"/>
      <c r="BD1452"/>
      <c r="BE1452"/>
      <c r="BF1452"/>
      <c r="BG1452"/>
      <c r="BH1452"/>
      <c r="BI1452"/>
      <c r="BJ1452"/>
      <c r="BK1452"/>
      <c r="BL1452"/>
      <c r="BM1452"/>
      <c r="BN1452"/>
      <c r="BO1452"/>
      <c r="BP1452"/>
      <c r="BQ1452"/>
      <c r="BR1452"/>
      <c r="BY1452"/>
      <c r="BZ1452"/>
      <c r="CA1452"/>
      <c r="CB1452"/>
      <c r="CC1452"/>
      <c r="CD1452"/>
      <c r="CE1452"/>
      <c r="CF1452"/>
      <c r="CG1452"/>
      <c r="CH1452"/>
      <c r="CI1452"/>
      <c r="CJ1452"/>
      <c r="CK1452"/>
      <c r="CL1452"/>
      <c r="CM1452"/>
      <c r="CN1452"/>
      <c r="CO1452"/>
      <c r="CP1452"/>
      <c r="CQ1452"/>
      <c r="CR1452"/>
      <c r="CS1452"/>
      <c r="CT1452"/>
      <c r="CU1452"/>
      <c r="CV1452"/>
      <c r="CW1452"/>
      <c r="CX1452"/>
      <c r="CY1452"/>
    </row>
    <row r="1453" spans="50:103" ht="20.100000000000001" customHeight="1" x14ac:dyDescent="0.25">
      <c r="AX1453"/>
      <c r="AY1453"/>
      <c r="AZ1453"/>
      <c r="BA1453"/>
      <c r="BB1453"/>
      <c r="BC1453"/>
      <c r="BD1453"/>
      <c r="BE1453"/>
      <c r="BF1453"/>
      <c r="BG1453"/>
      <c r="BH1453"/>
      <c r="BI1453"/>
      <c r="BJ1453"/>
      <c r="BK1453"/>
      <c r="BL1453"/>
      <c r="BM1453"/>
      <c r="BN1453"/>
      <c r="BO1453"/>
      <c r="BP1453"/>
      <c r="BQ1453"/>
      <c r="BR1453"/>
      <c r="BY1453"/>
      <c r="BZ1453"/>
      <c r="CA1453"/>
      <c r="CB1453"/>
      <c r="CC1453"/>
      <c r="CD1453"/>
      <c r="CE1453"/>
      <c r="CF1453"/>
      <c r="CG1453"/>
      <c r="CH1453"/>
      <c r="CI1453"/>
      <c r="CJ1453"/>
      <c r="CK1453"/>
      <c r="CL1453"/>
      <c r="CM1453"/>
      <c r="CN1453"/>
      <c r="CO1453"/>
      <c r="CP1453"/>
      <c r="CQ1453"/>
      <c r="CR1453"/>
      <c r="CS1453"/>
      <c r="CT1453"/>
      <c r="CU1453"/>
      <c r="CV1453"/>
      <c r="CW1453"/>
      <c r="CX1453"/>
      <c r="CY1453"/>
    </row>
    <row r="1454" spans="50:103" ht="20.100000000000001" customHeight="1" x14ac:dyDescent="0.25">
      <c r="AX1454"/>
      <c r="AY1454"/>
      <c r="AZ1454"/>
      <c r="BA1454"/>
      <c r="BB1454"/>
      <c r="BC1454"/>
      <c r="BD1454"/>
      <c r="BE1454"/>
      <c r="BF1454"/>
      <c r="BG1454"/>
      <c r="BH1454"/>
      <c r="BI1454"/>
      <c r="BJ1454"/>
      <c r="BK1454"/>
      <c r="BL1454"/>
      <c r="BM1454"/>
      <c r="BN1454"/>
      <c r="BO1454"/>
      <c r="BP1454"/>
      <c r="BQ1454"/>
      <c r="BR1454"/>
      <c r="BY1454"/>
      <c r="BZ1454"/>
      <c r="CA1454"/>
      <c r="CB1454"/>
      <c r="CC1454"/>
      <c r="CD1454"/>
      <c r="CE1454"/>
      <c r="CF1454"/>
      <c r="CG1454"/>
      <c r="CH1454"/>
      <c r="CI1454"/>
      <c r="CJ1454"/>
      <c r="CK1454"/>
      <c r="CL1454"/>
      <c r="CM1454"/>
      <c r="CN1454"/>
      <c r="CO1454"/>
      <c r="CP1454"/>
      <c r="CQ1454"/>
      <c r="CR1454"/>
      <c r="CS1454"/>
      <c r="CT1454"/>
      <c r="CU1454"/>
      <c r="CV1454"/>
      <c r="CW1454"/>
      <c r="CX1454"/>
      <c r="CY1454"/>
    </row>
    <row r="1455" spans="50:103" ht="20.100000000000001" customHeight="1" x14ac:dyDescent="0.25">
      <c r="AX1455"/>
      <c r="AY1455"/>
      <c r="AZ1455"/>
      <c r="BA1455"/>
      <c r="BB1455"/>
      <c r="BC1455"/>
      <c r="BD1455"/>
      <c r="BE1455"/>
      <c r="BF1455"/>
      <c r="BG1455"/>
      <c r="BH1455"/>
      <c r="BI1455"/>
      <c r="BJ1455"/>
      <c r="BK1455"/>
      <c r="BL1455"/>
      <c r="BM1455"/>
      <c r="BN1455"/>
      <c r="BO1455"/>
      <c r="BP1455"/>
      <c r="BQ1455"/>
      <c r="BR1455"/>
      <c r="BY1455"/>
      <c r="BZ1455"/>
      <c r="CA1455"/>
      <c r="CB1455"/>
      <c r="CC1455"/>
      <c r="CD1455"/>
      <c r="CE1455"/>
      <c r="CF1455"/>
      <c r="CG1455"/>
      <c r="CH1455"/>
      <c r="CI1455"/>
      <c r="CJ1455"/>
      <c r="CK1455"/>
      <c r="CL1455"/>
      <c r="CM1455"/>
      <c r="CN1455"/>
      <c r="CO1455"/>
      <c r="CP1455"/>
      <c r="CQ1455"/>
      <c r="CR1455"/>
      <c r="CS1455"/>
      <c r="CT1455"/>
      <c r="CU1455"/>
      <c r="CV1455"/>
      <c r="CW1455"/>
      <c r="CX1455"/>
      <c r="CY1455"/>
    </row>
    <row r="1456" spans="50:103" ht="20.100000000000001" customHeight="1" x14ac:dyDescent="0.25">
      <c r="AX1456"/>
      <c r="AY1456"/>
      <c r="AZ1456"/>
      <c r="BA1456"/>
      <c r="BB1456"/>
      <c r="BC1456"/>
      <c r="BD1456"/>
      <c r="BE1456"/>
      <c r="BF1456"/>
      <c r="BG1456"/>
      <c r="BH1456"/>
      <c r="BI1456"/>
      <c r="BJ1456"/>
      <c r="BK1456"/>
      <c r="BL1456"/>
      <c r="BM1456"/>
      <c r="BN1456"/>
      <c r="BO1456"/>
      <c r="BP1456"/>
      <c r="BQ1456"/>
      <c r="BR1456"/>
      <c r="BY1456"/>
      <c r="BZ1456"/>
      <c r="CA1456"/>
      <c r="CB1456"/>
      <c r="CC1456"/>
      <c r="CD1456"/>
      <c r="CE1456"/>
      <c r="CF1456"/>
      <c r="CG1456"/>
      <c r="CH1456"/>
      <c r="CI1456"/>
      <c r="CJ1456"/>
      <c r="CK1456"/>
      <c r="CL1456"/>
      <c r="CM1456"/>
      <c r="CN1456"/>
      <c r="CO1456"/>
      <c r="CP1456"/>
      <c r="CQ1456"/>
      <c r="CR1456"/>
      <c r="CS1456"/>
      <c r="CT1456"/>
      <c r="CU1456"/>
      <c r="CV1456"/>
      <c r="CW1456"/>
      <c r="CX1456"/>
      <c r="CY1456"/>
    </row>
    <row r="1457" spans="50:103" ht="20.100000000000001" customHeight="1" x14ac:dyDescent="0.25">
      <c r="AX1457"/>
      <c r="AY1457"/>
      <c r="AZ1457"/>
      <c r="BA1457"/>
      <c r="BB1457"/>
      <c r="BC1457"/>
      <c r="BD1457"/>
      <c r="BE1457"/>
      <c r="BF1457"/>
      <c r="BG1457"/>
      <c r="BH1457"/>
      <c r="BI1457"/>
      <c r="BJ1457"/>
      <c r="BK1457"/>
      <c r="BL1457"/>
      <c r="BM1457"/>
      <c r="BN1457"/>
      <c r="BO1457"/>
      <c r="BP1457"/>
      <c r="BQ1457"/>
      <c r="BR1457"/>
      <c r="BY1457"/>
      <c r="BZ1457"/>
      <c r="CA1457"/>
      <c r="CB1457"/>
      <c r="CC1457"/>
      <c r="CD1457"/>
      <c r="CE1457"/>
      <c r="CF1457"/>
      <c r="CG1457"/>
      <c r="CH1457"/>
      <c r="CI1457"/>
      <c r="CJ1457"/>
      <c r="CK1457"/>
      <c r="CL1457"/>
      <c r="CM1457"/>
      <c r="CN1457"/>
      <c r="CO1457"/>
      <c r="CP1457"/>
      <c r="CQ1457"/>
      <c r="CR1457"/>
      <c r="CS1457"/>
      <c r="CT1457"/>
      <c r="CU1457"/>
      <c r="CV1457"/>
      <c r="CW1457"/>
      <c r="CX1457"/>
      <c r="CY1457"/>
    </row>
    <row r="1458" spans="50:103" ht="20.100000000000001" customHeight="1" x14ac:dyDescent="0.25">
      <c r="AX1458"/>
      <c r="AY1458"/>
      <c r="AZ1458"/>
      <c r="BA1458"/>
      <c r="BB1458"/>
      <c r="BC1458"/>
      <c r="BD1458"/>
      <c r="BE1458"/>
      <c r="BF1458"/>
      <c r="BG1458"/>
      <c r="BH1458"/>
      <c r="BI1458"/>
      <c r="BJ1458"/>
      <c r="BK1458"/>
      <c r="BL1458"/>
      <c r="BM1458"/>
      <c r="BN1458"/>
      <c r="BO1458"/>
      <c r="BP1458"/>
      <c r="BQ1458"/>
      <c r="BR1458"/>
      <c r="BY1458"/>
      <c r="BZ1458"/>
      <c r="CA1458"/>
      <c r="CB1458"/>
      <c r="CC1458"/>
      <c r="CD1458"/>
      <c r="CE1458"/>
      <c r="CF1458"/>
      <c r="CG1458"/>
      <c r="CH1458"/>
      <c r="CI1458"/>
      <c r="CJ1458"/>
      <c r="CK1458"/>
      <c r="CL1458"/>
      <c r="CM1458"/>
      <c r="CN1458"/>
      <c r="CO1458"/>
      <c r="CP1458"/>
      <c r="CQ1458"/>
      <c r="CR1458"/>
      <c r="CS1458"/>
      <c r="CT1458"/>
      <c r="CU1458"/>
      <c r="CV1458"/>
      <c r="CW1458"/>
      <c r="CX1458"/>
      <c r="CY1458"/>
    </row>
    <row r="1459" spans="50:103" ht="20.100000000000001" customHeight="1" x14ac:dyDescent="0.25">
      <c r="AX1459"/>
      <c r="AY1459"/>
      <c r="AZ1459"/>
      <c r="BA1459"/>
      <c r="BB1459"/>
      <c r="BC1459"/>
      <c r="BD1459"/>
      <c r="BE1459"/>
      <c r="BF1459"/>
      <c r="BG1459"/>
      <c r="BH1459"/>
      <c r="BI1459"/>
      <c r="BJ1459"/>
      <c r="BK1459"/>
      <c r="BL1459"/>
      <c r="BM1459"/>
      <c r="BN1459"/>
      <c r="BO1459"/>
      <c r="BP1459"/>
      <c r="BQ1459"/>
      <c r="BR1459"/>
      <c r="BY1459"/>
      <c r="BZ1459"/>
      <c r="CA1459"/>
      <c r="CB1459"/>
      <c r="CC1459"/>
      <c r="CD1459"/>
      <c r="CE1459"/>
      <c r="CF1459"/>
      <c r="CG1459"/>
      <c r="CH1459"/>
      <c r="CI1459"/>
      <c r="CJ1459"/>
      <c r="CK1459"/>
      <c r="CL1459"/>
      <c r="CM1459"/>
      <c r="CN1459"/>
      <c r="CO1459"/>
      <c r="CP1459"/>
      <c r="CQ1459"/>
      <c r="CR1459"/>
      <c r="CS1459"/>
      <c r="CT1459"/>
      <c r="CU1459"/>
      <c r="CV1459"/>
      <c r="CW1459"/>
      <c r="CX1459"/>
      <c r="CY1459"/>
    </row>
    <row r="1460" spans="50:103" ht="20.100000000000001" customHeight="1" x14ac:dyDescent="0.25">
      <c r="AX1460"/>
      <c r="AY1460"/>
      <c r="AZ1460"/>
      <c r="BA1460"/>
      <c r="BB1460"/>
      <c r="BC1460"/>
      <c r="BD1460"/>
      <c r="BE1460"/>
      <c r="BF1460"/>
      <c r="BG1460"/>
      <c r="BH1460"/>
      <c r="BI1460"/>
      <c r="BJ1460"/>
      <c r="BK1460"/>
      <c r="BL1460"/>
      <c r="BM1460"/>
      <c r="BN1460"/>
      <c r="BO1460"/>
      <c r="BP1460"/>
      <c r="BQ1460"/>
      <c r="BR1460"/>
      <c r="BY1460"/>
      <c r="BZ1460"/>
      <c r="CA1460"/>
      <c r="CB1460"/>
      <c r="CC1460"/>
      <c r="CD1460"/>
      <c r="CE1460"/>
      <c r="CF1460"/>
      <c r="CG1460"/>
      <c r="CH1460"/>
      <c r="CI1460"/>
      <c r="CJ1460"/>
      <c r="CK1460"/>
      <c r="CL1460"/>
      <c r="CM1460"/>
      <c r="CN1460"/>
      <c r="CO1460"/>
      <c r="CP1460"/>
      <c r="CQ1460"/>
      <c r="CR1460"/>
      <c r="CS1460"/>
      <c r="CT1460"/>
      <c r="CU1460"/>
      <c r="CV1460"/>
      <c r="CW1460"/>
      <c r="CX1460"/>
      <c r="CY1460"/>
    </row>
    <row r="1461" spans="50:103" ht="20.100000000000001" customHeight="1" x14ac:dyDescent="0.25">
      <c r="AX1461"/>
      <c r="AY1461"/>
      <c r="AZ1461"/>
      <c r="BA1461"/>
      <c r="BB1461"/>
      <c r="BC1461"/>
      <c r="BD1461"/>
      <c r="BE1461"/>
      <c r="BF1461"/>
      <c r="BG1461"/>
      <c r="BH1461"/>
      <c r="BI1461"/>
      <c r="BJ1461"/>
      <c r="BK1461"/>
      <c r="BL1461"/>
      <c r="BM1461"/>
      <c r="BN1461"/>
      <c r="BO1461"/>
      <c r="BP1461"/>
      <c r="BQ1461"/>
      <c r="BR1461"/>
      <c r="BY1461"/>
      <c r="BZ1461"/>
      <c r="CA1461"/>
      <c r="CB1461"/>
      <c r="CC1461"/>
      <c r="CD1461"/>
      <c r="CE1461"/>
      <c r="CF1461"/>
      <c r="CG1461"/>
      <c r="CH1461"/>
      <c r="CI1461"/>
      <c r="CJ1461"/>
      <c r="CK1461"/>
      <c r="CL1461"/>
      <c r="CM1461"/>
      <c r="CN1461"/>
      <c r="CO1461"/>
      <c r="CP1461"/>
      <c r="CQ1461"/>
      <c r="CR1461"/>
      <c r="CS1461"/>
      <c r="CT1461"/>
      <c r="CU1461"/>
      <c r="CV1461"/>
      <c r="CW1461"/>
      <c r="CX1461"/>
      <c r="CY1461"/>
    </row>
    <row r="1462" spans="50:103" ht="20.100000000000001" customHeight="1" x14ac:dyDescent="0.25">
      <c r="AX1462"/>
      <c r="AY1462"/>
      <c r="AZ1462"/>
      <c r="BA1462"/>
      <c r="BB1462"/>
      <c r="BC1462"/>
      <c r="BD1462"/>
      <c r="BE1462"/>
      <c r="BF1462"/>
      <c r="BG1462"/>
      <c r="BH1462"/>
      <c r="BI1462"/>
      <c r="BJ1462"/>
      <c r="BK1462"/>
      <c r="BL1462"/>
      <c r="BM1462"/>
      <c r="BN1462"/>
      <c r="BO1462"/>
      <c r="BP1462"/>
      <c r="BQ1462"/>
      <c r="BR1462"/>
      <c r="BY1462"/>
      <c r="BZ1462"/>
      <c r="CA1462"/>
      <c r="CB1462"/>
      <c r="CC1462"/>
      <c r="CD1462"/>
      <c r="CE1462"/>
      <c r="CF1462"/>
      <c r="CG1462"/>
      <c r="CH1462"/>
      <c r="CI1462"/>
      <c r="CJ1462"/>
      <c r="CK1462"/>
      <c r="CL1462"/>
      <c r="CM1462"/>
      <c r="CN1462"/>
      <c r="CO1462"/>
      <c r="CP1462"/>
      <c r="CQ1462"/>
      <c r="CR1462"/>
      <c r="CS1462"/>
      <c r="CT1462"/>
      <c r="CU1462"/>
      <c r="CV1462"/>
      <c r="CW1462"/>
      <c r="CX1462"/>
      <c r="CY1462"/>
    </row>
    <row r="1463" spans="50:103" ht="20.100000000000001" customHeight="1" x14ac:dyDescent="0.25">
      <c r="AX1463"/>
      <c r="AY1463"/>
      <c r="AZ1463"/>
      <c r="BA1463"/>
      <c r="BB1463"/>
      <c r="BC1463"/>
      <c r="BD1463"/>
      <c r="BE1463"/>
      <c r="BF1463"/>
      <c r="BG1463"/>
      <c r="BH1463"/>
      <c r="BI1463"/>
      <c r="BJ1463"/>
      <c r="BK1463"/>
      <c r="BL1463"/>
      <c r="BM1463"/>
      <c r="BN1463"/>
      <c r="BO1463"/>
      <c r="BP1463"/>
      <c r="BQ1463"/>
      <c r="BR1463"/>
      <c r="BY1463"/>
      <c r="BZ1463"/>
      <c r="CA1463"/>
      <c r="CB1463"/>
      <c r="CC1463"/>
      <c r="CD1463"/>
      <c r="CE1463"/>
      <c r="CF1463"/>
      <c r="CG1463"/>
      <c r="CH1463"/>
      <c r="CI1463"/>
      <c r="CJ1463"/>
      <c r="CK1463"/>
      <c r="CL1463"/>
      <c r="CM1463"/>
      <c r="CN1463"/>
      <c r="CO1463"/>
      <c r="CP1463"/>
      <c r="CQ1463"/>
      <c r="CR1463"/>
      <c r="CS1463"/>
      <c r="CT1463"/>
      <c r="CU1463"/>
      <c r="CV1463"/>
      <c r="CW1463"/>
      <c r="CX1463"/>
      <c r="CY1463"/>
    </row>
    <row r="1464" spans="50:103" ht="20.100000000000001" customHeight="1" x14ac:dyDescent="0.25">
      <c r="AX1464"/>
      <c r="AY1464"/>
      <c r="AZ1464"/>
      <c r="BA1464"/>
      <c r="BB1464"/>
      <c r="BC1464"/>
      <c r="BD1464"/>
      <c r="BE1464"/>
      <c r="BF1464"/>
      <c r="BG1464"/>
      <c r="BH1464"/>
      <c r="BI1464"/>
      <c r="BJ1464"/>
      <c r="BK1464"/>
      <c r="BL1464"/>
      <c r="BM1464"/>
      <c r="BN1464"/>
      <c r="BO1464"/>
      <c r="BP1464"/>
      <c r="BQ1464"/>
      <c r="BR1464"/>
      <c r="BY1464"/>
      <c r="BZ1464"/>
      <c r="CA1464"/>
      <c r="CB1464"/>
      <c r="CC1464"/>
      <c r="CD1464"/>
      <c r="CE1464"/>
      <c r="CF1464"/>
      <c r="CG1464"/>
      <c r="CH1464"/>
      <c r="CI1464"/>
      <c r="CJ1464"/>
      <c r="CK1464"/>
      <c r="CL1464"/>
      <c r="CM1464"/>
      <c r="CN1464"/>
      <c r="CO1464"/>
      <c r="CP1464"/>
      <c r="CQ1464"/>
      <c r="CR1464"/>
      <c r="CS1464"/>
      <c r="CT1464"/>
      <c r="CU1464"/>
      <c r="CV1464"/>
      <c r="CW1464"/>
      <c r="CX1464"/>
      <c r="CY1464"/>
    </row>
    <row r="1465" spans="50:103" ht="20.100000000000001" customHeight="1" x14ac:dyDescent="0.25">
      <c r="AX1465"/>
      <c r="AY1465"/>
      <c r="AZ1465"/>
      <c r="BA1465"/>
      <c r="BB1465"/>
      <c r="BC1465"/>
      <c r="BD1465"/>
      <c r="BE1465"/>
      <c r="BF1465"/>
      <c r="BG1465"/>
      <c r="BH1465"/>
      <c r="BI1465"/>
      <c r="BJ1465"/>
      <c r="BK1465"/>
      <c r="BL1465"/>
      <c r="BM1465"/>
      <c r="BN1465"/>
      <c r="BO1465"/>
      <c r="BP1465"/>
      <c r="BQ1465"/>
      <c r="BR1465"/>
      <c r="BY1465"/>
      <c r="BZ1465"/>
      <c r="CA1465"/>
      <c r="CB1465"/>
      <c r="CC1465"/>
      <c r="CD1465"/>
      <c r="CE1465"/>
      <c r="CF1465"/>
      <c r="CG1465"/>
      <c r="CH1465"/>
      <c r="CI1465"/>
      <c r="CJ1465"/>
      <c r="CK1465"/>
      <c r="CL1465"/>
      <c r="CM1465"/>
      <c r="CN1465"/>
      <c r="CO1465"/>
      <c r="CP1465"/>
      <c r="CQ1465"/>
      <c r="CR1465"/>
      <c r="CS1465"/>
      <c r="CT1465"/>
      <c r="CU1465"/>
      <c r="CV1465"/>
      <c r="CW1465"/>
      <c r="CX1465"/>
      <c r="CY1465"/>
    </row>
    <row r="1466" spans="50:103" ht="20.100000000000001" customHeight="1" x14ac:dyDescent="0.25">
      <c r="AX1466"/>
      <c r="AY1466"/>
      <c r="AZ1466"/>
      <c r="BA1466"/>
      <c r="BB1466"/>
      <c r="BC1466"/>
      <c r="BD1466"/>
      <c r="BE1466"/>
      <c r="BF1466"/>
      <c r="BG1466"/>
      <c r="BH1466"/>
      <c r="BI1466"/>
      <c r="BJ1466"/>
      <c r="BK1466"/>
      <c r="BL1466"/>
      <c r="BM1466"/>
      <c r="BN1466"/>
      <c r="BO1466"/>
      <c r="BP1466"/>
      <c r="BQ1466"/>
      <c r="BR1466"/>
      <c r="BY1466"/>
      <c r="BZ1466"/>
      <c r="CA1466"/>
      <c r="CB1466"/>
      <c r="CC1466"/>
      <c r="CD1466"/>
      <c r="CE1466"/>
      <c r="CF1466"/>
      <c r="CG1466"/>
      <c r="CH1466"/>
      <c r="CI1466"/>
      <c r="CJ1466"/>
      <c r="CK1466"/>
      <c r="CL1466"/>
      <c r="CM1466"/>
      <c r="CN1466"/>
      <c r="CO1466"/>
      <c r="CP1466"/>
      <c r="CQ1466"/>
      <c r="CR1466"/>
      <c r="CS1466"/>
      <c r="CT1466"/>
      <c r="CU1466"/>
      <c r="CV1466"/>
      <c r="CW1466"/>
      <c r="CX1466"/>
      <c r="CY1466"/>
    </row>
    <row r="1467" spans="50:103" ht="20.100000000000001" customHeight="1" x14ac:dyDescent="0.25">
      <c r="AX1467"/>
      <c r="AY1467"/>
      <c r="AZ1467"/>
      <c r="BA1467"/>
      <c r="BB1467"/>
      <c r="BC1467"/>
      <c r="BD1467"/>
      <c r="BE1467"/>
      <c r="BF1467"/>
      <c r="BG1467"/>
      <c r="BH1467"/>
      <c r="BI1467"/>
      <c r="BJ1467"/>
      <c r="BK1467"/>
      <c r="BL1467"/>
      <c r="BM1467"/>
      <c r="BN1467"/>
      <c r="BO1467"/>
      <c r="BP1467"/>
      <c r="BQ1467"/>
      <c r="BR1467"/>
      <c r="BY1467"/>
      <c r="BZ1467"/>
      <c r="CA1467"/>
      <c r="CB1467"/>
      <c r="CC1467"/>
      <c r="CD1467"/>
      <c r="CE1467"/>
      <c r="CF1467"/>
      <c r="CG1467"/>
      <c r="CH1467"/>
      <c r="CI1467"/>
      <c r="CJ1467"/>
      <c r="CK1467"/>
      <c r="CL1467"/>
      <c r="CM1467"/>
      <c r="CN1467"/>
      <c r="CO1467"/>
      <c r="CP1467"/>
      <c r="CQ1467"/>
      <c r="CR1467"/>
      <c r="CS1467"/>
      <c r="CT1467"/>
      <c r="CU1467"/>
      <c r="CV1467"/>
      <c r="CW1467"/>
      <c r="CX1467"/>
      <c r="CY1467"/>
    </row>
    <row r="1468" spans="50:103" ht="20.100000000000001" customHeight="1" x14ac:dyDescent="0.25">
      <c r="AX1468"/>
      <c r="AY1468"/>
      <c r="AZ1468"/>
      <c r="BA1468"/>
      <c r="BB1468"/>
      <c r="BC1468"/>
      <c r="BD1468"/>
      <c r="BE1468"/>
      <c r="BF1468"/>
      <c r="BG1468"/>
      <c r="BH1468"/>
      <c r="BI1468"/>
      <c r="BJ1468"/>
      <c r="BK1468"/>
      <c r="BL1468"/>
      <c r="BM1468"/>
      <c r="BN1468"/>
      <c r="BO1468"/>
      <c r="BP1468"/>
      <c r="BQ1468"/>
      <c r="BR1468"/>
      <c r="BY1468"/>
      <c r="BZ1468"/>
      <c r="CA1468"/>
      <c r="CB1468"/>
      <c r="CC1468"/>
      <c r="CD1468"/>
      <c r="CE1468"/>
      <c r="CF1468"/>
      <c r="CG1468"/>
      <c r="CH1468"/>
      <c r="CI1468"/>
      <c r="CJ1468"/>
      <c r="CK1468"/>
      <c r="CL1468"/>
      <c r="CM1468"/>
      <c r="CN1468"/>
      <c r="CO1468"/>
      <c r="CP1468"/>
      <c r="CQ1468"/>
      <c r="CR1468"/>
      <c r="CS1468"/>
      <c r="CT1468"/>
      <c r="CU1468"/>
      <c r="CV1468"/>
      <c r="CW1468"/>
      <c r="CX1468"/>
      <c r="CY1468"/>
    </row>
    <row r="1469" spans="50:103" ht="20.100000000000001" customHeight="1" x14ac:dyDescent="0.25">
      <c r="AX1469"/>
      <c r="AY1469"/>
      <c r="AZ1469"/>
      <c r="BA1469"/>
      <c r="BB1469"/>
      <c r="BC1469"/>
      <c r="BD1469"/>
      <c r="BE1469"/>
      <c r="BF1469"/>
      <c r="BG1469"/>
      <c r="BH1469"/>
      <c r="BI1469"/>
      <c r="BJ1469"/>
      <c r="BK1469"/>
      <c r="BL1469"/>
      <c r="BM1469"/>
      <c r="BN1469"/>
      <c r="BO1469"/>
      <c r="BP1469"/>
      <c r="BQ1469"/>
      <c r="BR1469"/>
      <c r="BY1469"/>
      <c r="BZ1469"/>
      <c r="CA1469"/>
      <c r="CB1469"/>
      <c r="CC1469"/>
      <c r="CD1469"/>
      <c r="CE1469"/>
      <c r="CF1469"/>
      <c r="CG1469"/>
      <c r="CH1469"/>
      <c r="CI1469"/>
      <c r="CJ1469"/>
      <c r="CK1469"/>
      <c r="CL1469"/>
      <c r="CM1469"/>
      <c r="CN1469"/>
      <c r="CO1469"/>
      <c r="CP1469"/>
      <c r="CQ1469"/>
      <c r="CR1469"/>
      <c r="CS1469"/>
      <c r="CT1469"/>
      <c r="CU1469"/>
      <c r="CV1469"/>
      <c r="CW1469"/>
      <c r="CX1469"/>
      <c r="CY1469"/>
    </row>
    <row r="1470" spans="50:103" ht="20.100000000000001" customHeight="1" x14ac:dyDescent="0.25">
      <c r="AX1470"/>
      <c r="AY1470"/>
      <c r="AZ1470"/>
      <c r="BA1470"/>
      <c r="BB1470"/>
      <c r="BC1470"/>
      <c r="BD1470"/>
      <c r="BE1470"/>
      <c r="BF1470"/>
      <c r="BG1470"/>
      <c r="BH1470"/>
      <c r="BI1470"/>
      <c r="BJ1470"/>
      <c r="BK1470"/>
      <c r="BL1470"/>
      <c r="BM1470"/>
      <c r="BN1470"/>
      <c r="BO1470"/>
      <c r="BP1470"/>
      <c r="BQ1470"/>
      <c r="BR1470"/>
      <c r="BY1470"/>
      <c r="BZ1470"/>
      <c r="CA1470"/>
      <c r="CB1470"/>
      <c r="CC1470"/>
      <c r="CD1470"/>
      <c r="CE1470"/>
      <c r="CF1470"/>
      <c r="CG1470"/>
      <c r="CH1470"/>
      <c r="CI1470"/>
      <c r="CJ1470"/>
      <c r="CK1470"/>
      <c r="CL1470"/>
      <c r="CM1470"/>
      <c r="CN1470"/>
      <c r="CO1470"/>
      <c r="CP1470"/>
      <c r="CQ1470"/>
      <c r="CR1470"/>
      <c r="CS1470"/>
      <c r="CT1470"/>
      <c r="CU1470"/>
      <c r="CV1470"/>
      <c r="CW1470"/>
      <c r="CX1470"/>
      <c r="CY1470"/>
    </row>
    <row r="1471" spans="50:103" ht="20.100000000000001" customHeight="1" x14ac:dyDescent="0.25">
      <c r="AX1471"/>
      <c r="AY1471"/>
      <c r="AZ1471"/>
      <c r="BA1471"/>
      <c r="BB1471"/>
      <c r="BC1471"/>
      <c r="BD1471"/>
      <c r="BE1471"/>
      <c r="BF1471"/>
      <c r="BG1471"/>
      <c r="BH1471"/>
      <c r="BI1471"/>
      <c r="BJ1471"/>
      <c r="BK1471"/>
      <c r="BL1471"/>
      <c r="BM1471"/>
      <c r="BN1471"/>
      <c r="BO1471"/>
      <c r="BP1471"/>
      <c r="BQ1471"/>
      <c r="BR1471"/>
      <c r="BY1471"/>
      <c r="BZ1471"/>
      <c r="CA1471"/>
      <c r="CB1471"/>
      <c r="CC1471"/>
      <c r="CD1471"/>
      <c r="CE1471"/>
      <c r="CF1471"/>
      <c r="CG1471"/>
      <c r="CH1471"/>
      <c r="CI1471"/>
      <c r="CJ1471"/>
      <c r="CK1471"/>
      <c r="CL1471"/>
      <c r="CM1471"/>
      <c r="CN1471"/>
      <c r="CO1471"/>
      <c r="CP1471"/>
      <c r="CQ1471"/>
      <c r="CR1471"/>
      <c r="CS1471"/>
      <c r="CT1471"/>
      <c r="CU1471"/>
      <c r="CV1471"/>
      <c r="CW1471"/>
      <c r="CX1471"/>
      <c r="CY1471"/>
    </row>
    <row r="1472" spans="50:103" ht="20.100000000000001" customHeight="1" x14ac:dyDescent="0.25">
      <c r="AX1472"/>
      <c r="AY1472"/>
      <c r="AZ1472"/>
      <c r="BA1472"/>
      <c r="BB1472"/>
      <c r="BC1472"/>
      <c r="BD1472"/>
      <c r="BE1472"/>
      <c r="BF1472"/>
      <c r="BG1472"/>
      <c r="BH1472"/>
      <c r="BI1472"/>
      <c r="BJ1472"/>
      <c r="BK1472"/>
      <c r="BL1472"/>
      <c r="BM1472"/>
      <c r="BN1472"/>
      <c r="BO1472"/>
      <c r="BP1472"/>
      <c r="BQ1472"/>
      <c r="BR1472"/>
      <c r="BY1472"/>
      <c r="BZ1472"/>
      <c r="CA1472"/>
      <c r="CB1472"/>
      <c r="CC1472"/>
      <c r="CD1472"/>
      <c r="CE1472"/>
      <c r="CF1472"/>
      <c r="CG1472"/>
      <c r="CH1472"/>
      <c r="CI1472"/>
      <c r="CJ1472"/>
      <c r="CK1472"/>
      <c r="CL1472"/>
      <c r="CM1472"/>
      <c r="CN1472"/>
      <c r="CO1472"/>
      <c r="CP1472"/>
      <c r="CQ1472"/>
      <c r="CR1472"/>
      <c r="CS1472"/>
      <c r="CT1472"/>
      <c r="CU1472"/>
      <c r="CV1472"/>
      <c r="CW1472"/>
      <c r="CX1472"/>
      <c r="CY1472"/>
    </row>
    <row r="1473" spans="50:103" ht="20.100000000000001" customHeight="1" x14ac:dyDescent="0.25">
      <c r="AX1473"/>
      <c r="AY1473"/>
      <c r="AZ1473"/>
      <c r="BA1473"/>
      <c r="BB1473"/>
      <c r="BC1473"/>
      <c r="BD1473"/>
      <c r="BE1473"/>
      <c r="BF1473"/>
      <c r="BG1473"/>
      <c r="BH1473"/>
      <c r="BI1473"/>
      <c r="BJ1473"/>
      <c r="BK1473"/>
      <c r="BL1473"/>
      <c r="BM1473"/>
      <c r="BN1473"/>
      <c r="BO1473"/>
      <c r="BP1473"/>
      <c r="BQ1473"/>
      <c r="BR1473"/>
      <c r="BY1473"/>
      <c r="BZ1473"/>
      <c r="CA1473"/>
      <c r="CB1473"/>
      <c r="CC1473"/>
      <c r="CD1473"/>
      <c r="CE1473"/>
      <c r="CF1473"/>
      <c r="CG1473"/>
      <c r="CH1473"/>
      <c r="CI1473"/>
      <c r="CJ1473"/>
      <c r="CK1473"/>
      <c r="CL1473"/>
      <c r="CM1473"/>
      <c r="CN1473"/>
      <c r="CO1473"/>
      <c r="CP1473"/>
      <c r="CQ1473"/>
      <c r="CR1473"/>
      <c r="CS1473"/>
      <c r="CT1473"/>
      <c r="CU1473"/>
      <c r="CV1473"/>
      <c r="CW1473"/>
      <c r="CX1473"/>
      <c r="CY1473"/>
    </row>
    <row r="1474" spans="50:103" ht="20.100000000000001" customHeight="1" x14ac:dyDescent="0.25">
      <c r="AX1474"/>
      <c r="AY1474"/>
      <c r="AZ1474"/>
      <c r="BA1474"/>
      <c r="BB1474"/>
      <c r="BC1474"/>
      <c r="BD1474"/>
      <c r="BE1474"/>
      <c r="BF1474"/>
      <c r="BG1474"/>
      <c r="BH1474"/>
      <c r="BI1474"/>
      <c r="BJ1474"/>
      <c r="BK1474"/>
      <c r="BL1474"/>
      <c r="BM1474"/>
      <c r="BN1474"/>
      <c r="BO1474"/>
      <c r="BP1474"/>
      <c r="BQ1474"/>
      <c r="BR1474"/>
      <c r="BY1474"/>
      <c r="BZ1474"/>
      <c r="CA1474"/>
      <c r="CB1474"/>
      <c r="CC1474"/>
      <c r="CD1474"/>
      <c r="CE1474"/>
      <c r="CF1474"/>
      <c r="CG1474"/>
      <c r="CH1474"/>
      <c r="CI1474"/>
      <c r="CJ1474"/>
      <c r="CK1474"/>
      <c r="CL1474"/>
      <c r="CM1474"/>
      <c r="CN1474"/>
      <c r="CO1474"/>
      <c r="CP1474"/>
      <c r="CQ1474"/>
      <c r="CR1474"/>
      <c r="CS1474"/>
      <c r="CT1474"/>
      <c r="CU1474"/>
      <c r="CV1474"/>
      <c r="CW1474"/>
      <c r="CX1474"/>
      <c r="CY1474"/>
    </row>
    <row r="1475" spans="50:103" ht="20.100000000000001" customHeight="1" x14ac:dyDescent="0.25">
      <c r="AX1475"/>
      <c r="AY1475"/>
      <c r="AZ1475"/>
      <c r="BA1475"/>
      <c r="BB1475"/>
      <c r="BC1475"/>
      <c r="BD1475"/>
      <c r="BE1475"/>
      <c r="BF1475"/>
      <c r="BG1475"/>
      <c r="BH1475"/>
      <c r="BI1475"/>
      <c r="BJ1475"/>
      <c r="BK1475"/>
      <c r="BL1475"/>
      <c r="BM1475"/>
      <c r="BN1475"/>
      <c r="BO1475"/>
      <c r="BP1475"/>
      <c r="BQ1475"/>
      <c r="BR1475"/>
      <c r="BY1475"/>
      <c r="BZ1475"/>
      <c r="CA1475"/>
      <c r="CB1475"/>
      <c r="CC1475"/>
      <c r="CD1475"/>
      <c r="CE1475"/>
      <c r="CF1475"/>
      <c r="CG1475"/>
      <c r="CH1475"/>
      <c r="CI1475"/>
      <c r="CJ1475"/>
      <c r="CK1475"/>
      <c r="CL1475"/>
      <c r="CM1475"/>
      <c r="CN1475"/>
      <c r="CO1475"/>
      <c r="CP1475"/>
      <c r="CQ1475"/>
      <c r="CR1475"/>
      <c r="CS1475"/>
      <c r="CT1475"/>
      <c r="CU1475"/>
      <c r="CV1475"/>
      <c r="CW1475"/>
      <c r="CX1475"/>
      <c r="CY1475"/>
    </row>
    <row r="1476" spans="50:103" ht="20.100000000000001" customHeight="1" x14ac:dyDescent="0.25">
      <c r="AX1476"/>
      <c r="AY1476"/>
      <c r="AZ1476"/>
      <c r="BA1476"/>
      <c r="BB1476"/>
      <c r="BC1476"/>
      <c r="BD1476"/>
      <c r="BE1476"/>
      <c r="BF1476"/>
      <c r="BG1476"/>
      <c r="BH1476"/>
      <c r="BI1476"/>
      <c r="BJ1476"/>
      <c r="BK1476"/>
      <c r="BL1476"/>
      <c r="BM1476"/>
      <c r="BN1476"/>
      <c r="BO1476"/>
      <c r="BP1476"/>
      <c r="BQ1476"/>
      <c r="BR1476"/>
      <c r="BY1476"/>
      <c r="BZ1476"/>
      <c r="CA1476"/>
      <c r="CB1476"/>
      <c r="CC1476"/>
      <c r="CD1476"/>
      <c r="CE1476"/>
      <c r="CF1476"/>
      <c r="CG1476"/>
      <c r="CH1476"/>
      <c r="CI1476"/>
      <c r="CJ1476"/>
      <c r="CK1476"/>
      <c r="CL1476"/>
      <c r="CM1476"/>
      <c r="CN1476"/>
      <c r="CO1476"/>
      <c r="CP1476"/>
      <c r="CQ1476"/>
      <c r="CR1476"/>
      <c r="CS1476"/>
      <c r="CT1476"/>
      <c r="CU1476"/>
      <c r="CV1476"/>
      <c r="CW1476"/>
      <c r="CX1476"/>
      <c r="CY1476"/>
    </row>
    <row r="1477" spans="50:103" ht="20.100000000000001" customHeight="1" x14ac:dyDescent="0.25">
      <c r="AX1477"/>
      <c r="AY1477"/>
      <c r="AZ1477"/>
      <c r="BA1477"/>
      <c r="BB1477"/>
      <c r="BC1477"/>
      <c r="BD1477"/>
      <c r="BE1477"/>
      <c r="BF1477"/>
      <c r="BG1477"/>
      <c r="BH1477"/>
      <c r="BI1477"/>
      <c r="BJ1477"/>
      <c r="BK1477"/>
      <c r="BL1477"/>
      <c r="BM1477"/>
      <c r="BN1477"/>
      <c r="BO1477"/>
      <c r="BP1477"/>
      <c r="BQ1477"/>
      <c r="BR1477"/>
      <c r="BY1477"/>
      <c r="BZ1477"/>
      <c r="CA1477"/>
      <c r="CB1477"/>
      <c r="CC1477"/>
      <c r="CD1477"/>
      <c r="CE1477"/>
      <c r="CF1477"/>
      <c r="CG1477"/>
      <c r="CH1477"/>
      <c r="CI1477"/>
      <c r="CJ1477"/>
      <c r="CK1477"/>
      <c r="CL1477"/>
      <c r="CM1477"/>
      <c r="CN1477"/>
      <c r="CO1477"/>
      <c r="CP1477"/>
      <c r="CQ1477"/>
      <c r="CR1477"/>
      <c r="CS1477"/>
      <c r="CT1477"/>
      <c r="CU1477"/>
      <c r="CV1477"/>
      <c r="CW1477"/>
      <c r="CX1477"/>
      <c r="CY1477"/>
    </row>
    <row r="1478" spans="50:103" ht="20.100000000000001" customHeight="1" x14ac:dyDescent="0.25">
      <c r="AX1478"/>
      <c r="AY1478"/>
      <c r="AZ1478"/>
      <c r="BA1478"/>
      <c r="BB1478"/>
      <c r="BC1478"/>
      <c r="BD1478"/>
      <c r="BE1478"/>
      <c r="BF1478"/>
      <c r="BG1478"/>
      <c r="BH1478"/>
      <c r="BI1478"/>
      <c r="BJ1478"/>
      <c r="BK1478"/>
      <c r="BL1478"/>
      <c r="BM1478"/>
      <c r="BN1478"/>
      <c r="BO1478"/>
      <c r="BP1478"/>
      <c r="BQ1478"/>
      <c r="BR1478"/>
      <c r="BY1478"/>
      <c r="BZ1478"/>
      <c r="CA1478"/>
      <c r="CB1478"/>
      <c r="CC1478"/>
      <c r="CD1478"/>
      <c r="CE1478"/>
      <c r="CF1478"/>
      <c r="CG1478"/>
      <c r="CH1478"/>
      <c r="CI1478"/>
      <c r="CJ1478"/>
      <c r="CK1478"/>
      <c r="CL1478"/>
      <c r="CM1478"/>
      <c r="CN1478"/>
      <c r="CO1478"/>
      <c r="CP1478"/>
      <c r="CQ1478"/>
      <c r="CR1478"/>
      <c r="CS1478"/>
      <c r="CT1478"/>
      <c r="CU1478"/>
      <c r="CV1478"/>
      <c r="CW1478"/>
      <c r="CX1478"/>
      <c r="CY1478"/>
    </row>
    <row r="1479" spans="50:103" ht="20.100000000000001" customHeight="1" x14ac:dyDescent="0.25">
      <c r="AX1479"/>
      <c r="AY1479"/>
      <c r="AZ1479"/>
      <c r="BA1479"/>
      <c r="BB1479"/>
      <c r="BC1479"/>
      <c r="BD1479"/>
      <c r="BE1479"/>
      <c r="BF1479"/>
      <c r="BG1479"/>
      <c r="BH1479"/>
      <c r="BI1479"/>
      <c r="BJ1479"/>
      <c r="BK1479"/>
      <c r="BL1479"/>
      <c r="BM1479"/>
      <c r="BN1479"/>
      <c r="BO1479"/>
      <c r="BP1479"/>
      <c r="BQ1479"/>
      <c r="BR1479"/>
      <c r="BY1479"/>
      <c r="BZ1479"/>
      <c r="CA1479"/>
      <c r="CB1479"/>
      <c r="CC1479"/>
      <c r="CD1479"/>
      <c r="CE1479"/>
      <c r="CF1479"/>
      <c r="CG1479"/>
      <c r="CH1479"/>
      <c r="CI1479"/>
      <c r="CJ1479"/>
      <c r="CK1479"/>
      <c r="CL1479"/>
      <c r="CM1479"/>
      <c r="CN1479"/>
      <c r="CO1479"/>
      <c r="CP1479"/>
      <c r="CQ1479"/>
      <c r="CR1479"/>
      <c r="CS1479"/>
      <c r="CT1479"/>
      <c r="CU1479"/>
      <c r="CV1479"/>
      <c r="CW1479"/>
      <c r="CX1479"/>
      <c r="CY1479"/>
    </row>
    <row r="1480" spans="50:103" ht="20.100000000000001" customHeight="1" x14ac:dyDescent="0.25">
      <c r="AX1480"/>
      <c r="AY1480"/>
      <c r="AZ1480"/>
      <c r="BA1480"/>
      <c r="BB1480"/>
      <c r="BC1480"/>
      <c r="BD1480"/>
      <c r="BE1480"/>
      <c r="BF1480"/>
      <c r="BG1480"/>
      <c r="BH1480"/>
      <c r="BI1480"/>
      <c r="BJ1480"/>
      <c r="BK1480"/>
      <c r="BL1480"/>
      <c r="BM1480"/>
      <c r="BN1480"/>
      <c r="BO1480"/>
      <c r="BP1480"/>
      <c r="BQ1480"/>
      <c r="BR1480"/>
      <c r="BY1480"/>
      <c r="BZ1480"/>
      <c r="CA1480"/>
      <c r="CB1480"/>
      <c r="CC1480"/>
      <c r="CD1480"/>
      <c r="CE1480"/>
      <c r="CF1480"/>
      <c r="CG1480"/>
      <c r="CH1480"/>
      <c r="CI1480"/>
      <c r="CJ1480"/>
      <c r="CK1480"/>
      <c r="CL1480"/>
      <c r="CM1480"/>
      <c r="CN1480"/>
      <c r="CO1480"/>
      <c r="CP1480"/>
      <c r="CQ1480"/>
      <c r="CR1480"/>
      <c r="CS1480"/>
      <c r="CT1480"/>
      <c r="CU1480"/>
      <c r="CV1480"/>
      <c r="CW1480"/>
      <c r="CX1480"/>
      <c r="CY1480"/>
    </row>
    <row r="1481" spans="50:103" ht="20.100000000000001" customHeight="1" x14ac:dyDescent="0.25">
      <c r="AX1481"/>
      <c r="AY1481"/>
      <c r="AZ1481"/>
      <c r="BA1481"/>
      <c r="BB1481"/>
      <c r="BC1481"/>
      <c r="BD1481"/>
      <c r="BE1481"/>
      <c r="BF1481"/>
      <c r="BG1481"/>
      <c r="BH1481"/>
      <c r="BI1481"/>
      <c r="BJ1481"/>
      <c r="BK1481"/>
      <c r="BL1481"/>
      <c r="BM1481"/>
      <c r="BN1481"/>
      <c r="BO1481"/>
      <c r="BP1481"/>
      <c r="BQ1481"/>
      <c r="BR1481"/>
      <c r="BY1481"/>
      <c r="BZ1481"/>
      <c r="CA1481"/>
      <c r="CB1481"/>
      <c r="CC1481"/>
      <c r="CD1481"/>
      <c r="CE1481"/>
      <c r="CF1481"/>
      <c r="CG1481"/>
      <c r="CH1481"/>
      <c r="CI1481"/>
      <c r="CJ1481"/>
      <c r="CK1481"/>
      <c r="CL1481"/>
      <c r="CM1481"/>
      <c r="CN1481"/>
      <c r="CO1481"/>
      <c r="CP1481"/>
      <c r="CQ1481"/>
      <c r="CR1481"/>
      <c r="CS1481"/>
      <c r="CT1481"/>
      <c r="CU1481"/>
      <c r="CV1481"/>
      <c r="CW1481"/>
      <c r="CX1481"/>
      <c r="CY1481"/>
    </row>
    <row r="1482" spans="50:103" ht="20.100000000000001" customHeight="1" x14ac:dyDescent="0.25">
      <c r="AX1482"/>
      <c r="AY1482"/>
      <c r="AZ1482"/>
      <c r="BA1482"/>
      <c r="BB1482"/>
      <c r="BC1482"/>
      <c r="BD1482"/>
      <c r="BE1482"/>
      <c r="BF1482"/>
      <c r="BG1482"/>
      <c r="BH1482"/>
      <c r="BI1482"/>
      <c r="BJ1482"/>
      <c r="BK1482"/>
      <c r="BL1482"/>
      <c r="BM1482"/>
      <c r="BN1482"/>
      <c r="BO1482"/>
      <c r="BP1482"/>
      <c r="BQ1482"/>
      <c r="BR1482"/>
      <c r="BY1482"/>
      <c r="BZ1482"/>
      <c r="CA1482"/>
      <c r="CB1482"/>
      <c r="CC1482"/>
      <c r="CD1482"/>
      <c r="CE1482"/>
      <c r="CF1482"/>
      <c r="CG1482"/>
      <c r="CH1482"/>
      <c r="CI1482"/>
      <c r="CJ1482"/>
      <c r="CK1482"/>
      <c r="CL1482"/>
      <c r="CM1482"/>
      <c r="CN1482"/>
      <c r="CO1482"/>
      <c r="CP1482"/>
      <c r="CQ1482"/>
      <c r="CR1482"/>
      <c r="CS1482"/>
      <c r="CT1482"/>
      <c r="CU1482"/>
      <c r="CV1482"/>
      <c r="CW1482"/>
      <c r="CX1482"/>
      <c r="CY1482"/>
    </row>
    <row r="1483" spans="50:103" ht="20.100000000000001" customHeight="1" x14ac:dyDescent="0.25">
      <c r="AX1483"/>
      <c r="AY1483"/>
      <c r="AZ1483"/>
      <c r="BA1483"/>
      <c r="BB1483"/>
      <c r="BC1483"/>
      <c r="BD1483"/>
      <c r="BE1483"/>
      <c r="BF1483"/>
      <c r="BG1483"/>
      <c r="BH1483"/>
      <c r="BI1483"/>
      <c r="BJ1483"/>
      <c r="BK1483"/>
      <c r="BL1483"/>
      <c r="BM1483"/>
      <c r="BN1483"/>
      <c r="BO1483"/>
      <c r="BP1483"/>
      <c r="BQ1483"/>
      <c r="BR1483"/>
      <c r="BY1483"/>
      <c r="BZ1483"/>
      <c r="CA1483"/>
      <c r="CB1483"/>
      <c r="CC1483"/>
      <c r="CD1483"/>
      <c r="CE1483"/>
      <c r="CF1483"/>
      <c r="CG1483"/>
      <c r="CH1483"/>
      <c r="CI1483"/>
      <c r="CJ1483"/>
      <c r="CK1483"/>
      <c r="CL1483"/>
      <c r="CM1483"/>
      <c r="CN1483"/>
      <c r="CO1483"/>
      <c r="CP1483"/>
      <c r="CQ1483"/>
      <c r="CR1483"/>
      <c r="CS1483"/>
      <c r="CT1483"/>
      <c r="CU1483"/>
      <c r="CV1483"/>
      <c r="CW1483"/>
      <c r="CX1483"/>
      <c r="CY1483"/>
    </row>
    <row r="1484" spans="50:103" ht="20.100000000000001" customHeight="1" x14ac:dyDescent="0.25">
      <c r="AX1484"/>
      <c r="AY1484"/>
      <c r="AZ1484"/>
      <c r="BA1484"/>
      <c r="BB1484"/>
      <c r="BC1484"/>
      <c r="BD1484"/>
      <c r="BE1484"/>
      <c r="BF1484"/>
      <c r="BG1484"/>
      <c r="BH1484"/>
      <c r="BI1484"/>
      <c r="BJ1484"/>
      <c r="BK1484"/>
      <c r="BL1484"/>
      <c r="BM1484"/>
      <c r="BN1484"/>
      <c r="BO1484"/>
      <c r="BP1484"/>
      <c r="BQ1484"/>
      <c r="BR1484"/>
      <c r="BY1484"/>
      <c r="BZ1484"/>
      <c r="CA1484"/>
      <c r="CB1484"/>
      <c r="CC1484"/>
      <c r="CD1484"/>
      <c r="CE1484"/>
      <c r="CF1484"/>
      <c r="CG1484"/>
      <c r="CH1484"/>
      <c r="CI1484"/>
      <c r="CJ1484"/>
      <c r="CK1484"/>
      <c r="CL1484"/>
      <c r="CM1484"/>
      <c r="CN1484"/>
      <c r="CO1484"/>
      <c r="CP1484"/>
      <c r="CQ1484"/>
      <c r="CR1484"/>
      <c r="CS1484"/>
      <c r="CT1484"/>
      <c r="CU1484"/>
      <c r="CV1484"/>
      <c r="CW1484"/>
      <c r="CX1484"/>
      <c r="CY1484"/>
    </row>
    <row r="1485" spans="50:103" ht="20.100000000000001" customHeight="1" x14ac:dyDescent="0.25">
      <c r="AX1485"/>
      <c r="AY1485"/>
      <c r="AZ1485"/>
      <c r="BA1485"/>
      <c r="BB1485"/>
      <c r="BC1485"/>
      <c r="BD1485"/>
      <c r="BE1485"/>
      <c r="BF1485"/>
      <c r="BG1485"/>
      <c r="BH1485"/>
      <c r="BI1485"/>
      <c r="BJ1485"/>
      <c r="BK1485"/>
      <c r="BL1485"/>
      <c r="BM1485"/>
      <c r="BN1485"/>
      <c r="BO1485"/>
      <c r="BP1485"/>
      <c r="BQ1485"/>
      <c r="BR1485"/>
      <c r="BY1485"/>
      <c r="BZ1485"/>
      <c r="CA1485"/>
      <c r="CB1485"/>
      <c r="CC1485"/>
      <c r="CD1485"/>
      <c r="CE1485"/>
      <c r="CF1485"/>
      <c r="CG1485"/>
      <c r="CH1485"/>
      <c r="CI1485"/>
      <c r="CJ1485"/>
      <c r="CK1485"/>
      <c r="CL1485"/>
      <c r="CM1485"/>
      <c r="CN1485"/>
      <c r="CO1485"/>
      <c r="CP1485"/>
      <c r="CQ1485"/>
      <c r="CR1485"/>
      <c r="CS1485"/>
      <c r="CT1485"/>
      <c r="CU1485"/>
      <c r="CV1485"/>
      <c r="CW1485"/>
      <c r="CX1485"/>
      <c r="CY1485"/>
    </row>
    <row r="1486" spans="50:103" ht="20.100000000000001" customHeight="1" x14ac:dyDescent="0.25">
      <c r="AX1486"/>
      <c r="AY1486"/>
      <c r="AZ1486"/>
      <c r="BA1486"/>
      <c r="BB1486"/>
      <c r="BC1486"/>
      <c r="BD1486"/>
      <c r="BE1486"/>
      <c r="BF1486"/>
      <c r="BG1486"/>
      <c r="BH1486"/>
      <c r="BI1486"/>
      <c r="BJ1486"/>
      <c r="BK1486"/>
      <c r="BL1486"/>
      <c r="BM1486"/>
      <c r="BN1486"/>
      <c r="BO1486"/>
      <c r="BP1486"/>
      <c r="BQ1486"/>
      <c r="BR1486"/>
      <c r="BY1486"/>
      <c r="BZ1486"/>
      <c r="CA1486"/>
      <c r="CB1486"/>
      <c r="CC1486"/>
      <c r="CD1486"/>
      <c r="CE1486"/>
      <c r="CF1486"/>
      <c r="CG1486"/>
      <c r="CH1486"/>
      <c r="CI1486"/>
      <c r="CJ1486"/>
      <c r="CK1486"/>
      <c r="CL1486"/>
      <c r="CM1486"/>
      <c r="CN1486"/>
      <c r="CO1486"/>
      <c r="CP1486"/>
      <c r="CQ1486"/>
      <c r="CR1486"/>
      <c r="CS1486"/>
      <c r="CT1486"/>
      <c r="CU1486"/>
      <c r="CV1486"/>
      <c r="CW1486"/>
      <c r="CX1486"/>
      <c r="CY1486"/>
    </row>
    <row r="1487" spans="50:103" ht="20.100000000000001" customHeight="1" x14ac:dyDescent="0.25">
      <c r="AX1487"/>
      <c r="AY1487"/>
      <c r="AZ1487"/>
      <c r="BA1487"/>
      <c r="BB1487"/>
      <c r="BC1487"/>
      <c r="BD1487"/>
      <c r="BE1487"/>
      <c r="BF1487"/>
      <c r="BG1487"/>
      <c r="BH1487"/>
      <c r="BI1487"/>
      <c r="BJ1487"/>
      <c r="BK1487"/>
      <c r="BL1487"/>
      <c r="BM1487"/>
      <c r="BN1487"/>
      <c r="BO1487"/>
      <c r="BP1487"/>
      <c r="BQ1487"/>
      <c r="BR1487"/>
      <c r="BY1487"/>
      <c r="BZ1487"/>
      <c r="CA1487"/>
      <c r="CB1487"/>
      <c r="CC1487"/>
      <c r="CD1487"/>
      <c r="CE1487"/>
      <c r="CF1487"/>
      <c r="CG1487"/>
      <c r="CH1487"/>
      <c r="CI1487"/>
      <c r="CJ1487"/>
      <c r="CK1487"/>
      <c r="CL1487"/>
      <c r="CM1487"/>
      <c r="CN1487"/>
      <c r="CO1487"/>
      <c r="CP1487"/>
      <c r="CQ1487"/>
      <c r="CR1487"/>
      <c r="CS1487"/>
      <c r="CT1487"/>
      <c r="CU1487"/>
      <c r="CV1487"/>
      <c r="CW1487"/>
      <c r="CX1487"/>
      <c r="CY1487"/>
    </row>
    <row r="1488" spans="50:103" ht="20.100000000000001" customHeight="1" x14ac:dyDescent="0.25">
      <c r="AX1488"/>
      <c r="AY1488"/>
      <c r="AZ1488"/>
      <c r="BA1488"/>
      <c r="BB1488"/>
      <c r="BC1488"/>
      <c r="BD1488"/>
      <c r="BE1488"/>
      <c r="BF1488"/>
      <c r="BG1488"/>
      <c r="BH1488"/>
      <c r="BI1488"/>
      <c r="BJ1488"/>
      <c r="BK1488"/>
      <c r="BL1488"/>
      <c r="BM1488"/>
      <c r="BN1488"/>
      <c r="BO1488"/>
      <c r="BP1488"/>
      <c r="BQ1488"/>
      <c r="BR1488"/>
      <c r="BY1488"/>
      <c r="BZ1488"/>
      <c r="CA1488"/>
      <c r="CB1488"/>
      <c r="CC1488"/>
      <c r="CD1488"/>
      <c r="CE1488"/>
      <c r="CF1488"/>
      <c r="CG1488"/>
      <c r="CH1488"/>
      <c r="CI1488"/>
      <c r="CJ1488"/>
      <c r="CK1488"/>
      <c r="CL1488"/>
      <c r="CM1488"/>
      <c r="CN1488"/>
      <c r="CO1488"/>
      <c r="CP1488"/>
      <c r="CQ1488"/>
      <c r="CR1488"/>
      <c r="CS1488"/>
      <c r="CT1488"/>
      <c r="CU1488"/>
      <c r="CV1488"/>
      <c r="CW1488"/>
      <c r="CX1488"/>
      <c r="CY1488"/>
    </row>
    <row r="1489" spans="50:103" ht="20.100000000000001" customHeight="1" x14ac:dyDescent="0.25">
      <c r="AX1489"/>
      <c r="AY1489"/>
      <c r="AZ1489"/>
      <c r="BA1489"/>
      <c r="BB1489"/>
      <c r="BC1489"/>
      <c r="BD1489"/>
      <c r="BE1489"/>
      <c r="BF1489"/>
      <c r="BG1489"/>
      <c r="BH1489"/>
      <c r="BI1489"/>
      <c r="BJ1489"/>
      <c r="BK1489"/>
      <c r="BL1489"/>
      <c r="BM1489"/>
      <c r="BN1489"/>
      <c r="BO1489"/>
      <c r="BP1489"/>
      <c r="BQ1489"/>
      <c r="BR1489"/>
      <c r="BY1489"/>
      <c r="BZ1489"/>
      <c r="CA1489"/>
      <c r="CB1489"/>
      <c r="CC1489"/>
      <c r="CD1489"/>
      <c r="CE1489"/>
      <c r="CF1489"/>
      <c r="CG1489"/>
      <c r="CH1489"/>
      <c r="CI1489"/>
      <c r="CJ1489"/>
      <c r="CK1489"/>
      <c r="CL1489"/>
      <c r="CM1489"/>
      <c r="CN1489"/>
      <c r="CO1489"/>
      <c r="CP1489"/>
      <c r="CQ1489"/>
      <c r="CR1489"/>
      <c r="CS1489"/>
      <c r="CT1489"/>
      <c r="CU1489"/>
      <c r="CV1489"/>
      <c r="CW1489"/>
      <c r="CX1489"/>
      <c r="CY1489"/>
    </row>
    <row r="1490" spans="50:103" ht="20.100000000000001" customHeight="1" x14ac:dyDescent="0.25">
      <c r="AX1490"/>
      <c r="AY1490"/>
      <c r="AZ1490"/>
      <c r="BA1490"/>
      <c r="BB1490"/>
      <c r="BC1490"/>
      <c r="BD1490"/>
      <c r="BE1490"/>
      <c r="BF1490"/>
      <c r="BG1490"/>
      <c r="BH1490"/>
      <c r="BI1490"/>
      <c r="BJ1490"/>
      <c r="BK1490"/>
      <c r="BL1490"/>
      <c r="BM1490"/>
      <c r="BN1490"/>
      <c r="BO1490"/>
      <c r="BP1490"/>
      <c r="BQ1490"/>
      <c r="BR1490"/>
      <c r="BY1490"/>
      <c r="BZ1490"/>
      <c r="CA1490"/>
      <c r="CB1490"/>
      <c r="CC1490"/>
      <c r="CD1490"/>
      <c r="CE1490"/>
      <c r="CF1490"/>
      <c r="CG1490"/>
      <c r="CH1490"/>
      <c r="CI1490"/>
      <c r="CJ1490"/>
      <c r="CK1490"/>
      <c r="CL1490"/>
      <c r="CM1490"/>
      <c r="CN1490"/>
      <c r="CO1490"/>
      <c r="CP1490"/>
      <c r="CQ1490"/>
      <c r="CR1490"/>
      <c r="CS1490"/>
      <c r="CT1490"/>
      <c r="CU1490"/>
      <c r="CV1490"/>
      <c r="CW1490"/>
      <c r="CX1490"/>
      <c r="CY1490"/>
    </row>
    <row r="1491" spans="50:103" ht="20.100000000000001" customHeight="1" x14ac:dyDescent="0.25">
      <c r="AX1491"/>
      <c r="AY1491"/>
      <c r="AZ1491"/>
      <c r="BA1491"/>
      <c r="BB1491"/>
      <c r="BC1491"/>
      <c r="BD1491"/>
      <c r="BE1491"/>
      <c r="BF1491"/>
      <c r="BG1491"/>
      <c r="BH1491"/>
      <c r="BI1491"/>
      <c r="BJ1491"/>
      <c r="BK1491"/>
      <c r="BL1491"/>
      <c r="BM1491"/>
      <c r="BN1491"/>
      <c r="BO1491"/>
      <c r="BP1491"/>
      <c r="BQ1491"/>
      <c r="BR1491"/>
      <c r="BY1491"/>
      <c r="BZ1491"/>
      <c r="CA1491"/>
      <c r="CB1491"/>
      <c r="CC1491"/>
      <c r="CD1491"/>
      <c r="CE1491"/>
      <c r="CF1491"/>
      <c r="CG1491"/>
      <c r="CH1491"/>
      <c r="CI1491"/>
      <c r="CJ1491"/>
      <c r="CK1491"/>
      <c r="CL1491"/>
      <c r="CM1491"/>
      <c r="CN1491"/>
      <c r="CO1491"/>
      <c r="CP1491"/>
      <c r="CQ1491"/>
      <c r="CR1491"/>
      <c r="CS1491"/>
      <c r="CT1491"/>
      <c r="CU1491"/>
      <c r="CV1491"/>
      <c r="CW1491"/>
      <c r="CX1491"/>
      <c r="CY1491"/>
    </row>
    <row r="1492" spans="50:103" ht="20.100000000000001" customHeight="1" x14ac:dyDescent="0.25">
      <c r="AX1492"/>
      <c r="AY1492"/>
      <c r="AZ1492"/>
      <c r="BA1492"/>
      <c r="BB1492"/>
      <c r="BC1492"/>
      <c r="BD1492"/>
      <c r="BE1492"/>
      <c r="BF1492"/>
      <c r="BG1492"/>
      <c r="BH1492"/>
      <c r="BI1492"/>
      <c r="BJ1492"/>
      <c r="BK1492"/>
      <c r="BL1492"/>
      <c r="BM1492"/>
      <c r="BN1492"/>
      <c r="BO1492"/>
      <c r="BP1492"/>
      <c r="BQ1492"/>
      <c r="BR1492"/>
      <c r="BY1492"/>
      <c r="BZ1492"/>
      <c r="CA1492"/>
      <c r="CB1492"/>
      <c r="CC1492"/>
      <c r="CD1492"/>
      <c r="CE1492"/>
      <c r="CF1492"/>
      <c r="CG1492"/>
      <c r="CH1492"/>
      <c r="CI1492"/>
      <c r="CJ1492"/>
      <c r="CK1492"/>
      <c r="CL1492"/>
      <c r="CM1492"/>
      <c r="CN1492"/>
      <c r="CO1492"/>
      <c r="CP1492"/>
      <c r="CQ1492"/>
      <c r="CR1492"/>
      <c r="CS1492"/>
      <c r="CT1492"/>
      <c r="CU1492"/>
      <c r="CV1492"/>
      <c r="CW1492"/>
      <c r="CX1492"/>
      <c r="CY1492"/>
    </row>
    <row r="1493" spans="50:103" ht="20.100000000000001" customHeight="1" x14ac:dyDescent="0.25">
      <c r="AX1493"/>
      <c r="AY1493"/>
      <c r="AZ1493"/>
      <c r="BA1493"/>
      <c r="BB1493"/>
      <c r="BC1493"/>
      <c r="BD1493"/>
      <c r="BE1493"/>
      <c r="BF1493"/>
      <c r="BG1493"/>
      <c r="BH1493"/>
      <c r="BI1493"/>
      <c r="BJ1493"/>
      <c r="BK1493"/>
      <c r="BL1493"/>
      <c r="BM1493"/>
      <c r="BN1493"/>
      <c r="BO1493"/>
      <c r="BP1493"/>
      <c r="BQ1493"/>
      <c r="BR1493"/>
      <c r="BY1493"/>
      <c r="BZ1493"/>
      <c r="CA1493"/>
      <c r="CB1493"/>
      <c r="CC1493"/>
      <c r="CD1493"/>
      <c r="CE1493"/>
      <c r="CF1493"/>
      <c r="CG1493"/>
      <c r="CH1493"/>
      <c r="CI1493"/>
      <c r="CJ1493"/>
      <c r="CK1493"/>
      <c r="CL1493"/>
      <c r="CM1493"/>
      <c r="CN1493"/>
      <c r="CO1493"/>
      <c r="CP1493"/>
      <c r="CQ1493"/>
      <c r="CR1493"/>
      <c r="CS1493"/>
      <c r="CT1493"/>
      <c r="CU1493"/>
      <c r="CV1493"/>
      <c r="CW1493"/>
      <c r="CX1493"/>
      <c r="CY1493"/>
    </row>
    <row r="1494" spans="50:103" ht="20.100000000000001" customHeight="1" x14ac:dyDescent="0.25">
      <c r="AX1494"/>
      <c r="AY1494"/>
      <c r="AZ1494"/>
      <c r="BA1494"/>
      <c r="BB1494"/>
      <c r="BC1494"/>
      <c r="BD1494"/>
      <c r="BE1494"/>
      <c r="BF1494"/>
      <c r="BG1494"/>
      <c r="BH1494"/>
      <c r="BI1494"/>
      <c r="BJ1494"/>
      <c r="BK1494"/>
      <c r="BL1494"/>
      <c r="BM1494"/>
      <c r="BN1494"/>
      <c r="BO1494"/>
      <c r="BP1494"/>
      <c r="BQ1494"/>
      <c r="BR1494"/>
      <c r="BY1494"/>
      <c r="BZ1494"/>
      <c r="CA1494"/>
      <c r="CB1494"/>
      <c r="CC1494"/>
      <c r="CD1494"/>
      <c r="CE1494"/>
      <c r="CF1494"/>
      <c r="CG1494"/>
      <c r="CH1494"/>
      <c r="CI1494"/>
      <c r="CJ1494"/>
      <c r="CK1494"/>
      <c r="CL1494"/>
      <c r="CM1494"/>
      <c r="CN1494"/>
      <c r="CO1494"/>
      <c r="CP1494"/>
      <c r="CQ1494"/>
      <c r="CR1494"/>
      <c r="CS1494"/>
      <c r="CT1494"/>
      <c r="CU1494"/>
      <c r="CV1494"/>
      <c r="CW1494"/>
      <c r="CX1494"/>
      <c r="CY1494"/>
    </row>
    <row r="1495" spans="50:103" ht="20.100000000000001" customHeight="1" x14ac:dyDescent="0.25">
      <c r="AX1495"/>
      <c r="AY1495"/>
      <c r="AZ1495"/>
      <c r="BA1495"/>
      <c r="BB1495"/>
      <c r="BC1495"/>
      <c r="BD1495"/>
      <c r="BE1495"/>
      <c r="BF1495"/>
      <c r="BG1495"/>
      <c r="BH1495"/>
      <c r="BI1495"/>
      <c r="BJ1495"/>
      <c r="BK1495"/>
      <c r="BL1495"/>
      <c r="BM1495"/>
      <c r="BN1495"/>
      <c r="BO1495"/>
      <c r="BP1495"/>
      <c r="BQ1495"/>
      <c r="BR1495"/>
      <c r="BY1495"/>
      <c r="BZ1495"/>
      <c r="CA1495"/>
      <c r="CB1495"/>
      <c r="CC1495"/>
      <c r="CD1495"/>
      <c r="CE1495"/>
      <c r="CF1495"/>
      <c r="CG1495"/>
      <c r="CH1495"/>
      <c r="CI1495"/>
      <c r="CJ1495"/>
      <c r="CK1495"/>
      <c r="CL1495"/>
      <c r="CM1495"/>
      <c r="CN1495"/>
      <c r="CO1495"/>
      <c r="CP1495"/>
      <c r="CQ1495"/>
      <c r="CR1495"/>
      <c r="CS1495"/>
      <c r="CT1495"/>
      <c r="CU1495"/>
      <c r="CV1495"/>
      <c r="CW1495"/>
      <c r="CX1495"/>
      <c r="CY1495"/>
    </row>
    <row r="1496" spans="50:103" ht="20.100000000000001" customHeight="1" x14ac:dyDescent="0.25">
      <c r="AX1496"/>
      <c r="AY1496"/>
      <c r="AZ1496"/>
      <c r="BA1496"/>
      <c r="BB1496"/>
      <c r="BC1496"/>
      <c r="BD1496"/>
      <c r="BE1496"/>
      <c r="BF1496"/>
      <c r="BG1496"/>
      <c r="BH1496"/>
      <c r="BI1496"/>
      <c r="BJ1496"/>
      <c r="BK1496"/>
      <c r="BL1496"/>
      <c r="BM1496"/>
      <c r="BN1496"/>
      <c r="BO1496"/>
      <c r="BP1496"/>
      <c r="BQ1496"/>
      <c r="BR1496"/>
      <c r="BY1496"/>
      <c r="BZ1496"/>
      <c r="CA1496"/>
      <c r="CB1496"/>
      <c r="CC1496"/>
      <c r="CD1496"/>
      <c r="CE1496"/>
      <c r="CF1496"/>
      <c r="CG1496"/>
      <c r="CH1496"/>
      <c r="CI1496"/>
      <c r="CJ1496"/>
      <c r="CK1496"/>
      <c r="CL1496"/>
      <c r="CM1496"/>
      <c r="CN1496"/>
      <c r="CO1496"/>
      <c r="CP1496"/>
      <c r="CQ1496"/>
      <c r="CR1496"/>
      <c r="CS1496"/>
      <c r="CT1496"/>
      <c r="CU1496"/>
      <c r="CV1496"/>
      <c r="CW1496"/>
      <c r="CX1496"/>
      <c r="CY1496"/>
    </row>
    <row r="1497" spans="50:103" ht="20.100000000000001" customHeight="1" x14ac:dyDescent="0.25">
      <c r="AX1497"/>
      <c r="AY1497"/>
      <c r="AZ1497"/>
      <c r="BA1497"/>
      <c r="BB1497"/>
      <c r="BC1497"/>
      <c r="BD1497"/>
      <c r="BE1497"/>
      <c r="BF1497"/>
      <c r="BG1497"/>
      <c r="BH1497"/>
      <c r="BI1497"/>
      <c r="BJ1497"/>
      <c r="BK1497"/>
      <c r="BL1497"/>
      <c r="BM1497"/>
      <c r="BN1497"/>
      <c r="BO1497"/>
      <c r="BP1497"/>
      <c r="BQ1497"/>
      <c r="BR1497"/>
      <c r="BY1497"/>
      <c r="BZ1497"/>
      <c r="CA1497"/>
      <c r="CB1497"/>
      <c r="CC1497"/>
      <c r="CD1497"/>
      <c r="CE1497"/>
      <c r="CF1497"/>
      <c r="CG1497"/>
      <c r="CH1497"/>
      <c r="CI1497"/>
      <c r="CJ1497"/>
      <c r="CK1497"/>
      <c r="CL1497"/>
      <c r="CM1497"/>
      <c r="CN1497"/>
      <c r="CO1497"/>
      <c r="CP1497"/>
      <c r="CQ1497"/>
      <c r="CR1497"/>
      <c r="CS1497"/>
      <c r="CT1497"/>
      <c r="CU1497"/>
      <c r="CV1497"/>
      <c r="CW1497"/>
      <c r="CX1497"/>
      <c r="CY1497"/>
    </row>
    <row r="1498" spans="50:103" ht="20.100000000000001" customHeight="1" x14ac:dyDescent="0.25">
      <c r="AX1498"/>
      <c r="AY1498"/>
      <c r="AZ1498"/>
      <c r="BA1498"/>
      <c r="BB1498"/>
      <c r="BC1498"/>
      <c r="BD1498"/>
      <c r="BE1498"/>
      <c r="BF1498"/>
      <c r="BG1498"/>
      <c r="BH1498"/>
      <c r="BI1498"/>
      <c r="BJ1498"/>
      <c r="BK1498"/>
      <c r="BL1498"/>
      <c r="BM1498"/>
      <c r="BN1498"/>
      <c r="BO1498"/>
      <c r="BP1498"/>
      <c r="BQ1498"/>
      <c r="BR1498"/>
      <c r="BY1498"/>
      <c r="BZ1498"/>
      <c r="CA1498"/>
      <c r="CB1498"/>
      <c r="CC1498"/>
      <c r="CD1498"/>
      <c r="CE1498"/>
      <c r="CF1498"/>
      <c r="CG1498"/>
      <c r="CH1498"/>
      <c r="CI1498"/>
      <c r="CJ1498"/>
      <c r="CK1498"/>
      <c r="CL1498"/>
      <c r="CM1498"/>
      <c r="CN1498"/>
      <c r="CO1498"/>
      <c r="CP1498"/>
      <c r="CQ1498"/>
      <c r="CR1498"/>
      <c r="CS1498"/>
      <c r="CT1498"/>
      <c r="CU1498"/>
      <c r="CV1498"/>
      <c r="CW1498"/>
      <c r="CX1498"/>
      <c r="CY1498"/>
    </row>
    <row r="1499" spans="50:103" ht="20.100000000000001" customHeight="1" x14ac:dyDescent="0.25">
      <c r="AX1499"/>
      <c r="AY1499"/>
      <c r="AZ1499"/>
      <c r="BA1499"/>
      <c r="BB1499"/>
      <c r="BC1499"/>
      <c r="BD1499"/>
      <c r="BE1499"/>
      <c r="BF1499"/>
      <c r="BG1499"/>
      <c r="BH1499"/>
      <c r="BI1499"/>
      <c r="BJ1499"/>
      <c r="BK1499"/>
      <c r="BL1499"/>
      <c r="BM1499"/>
      <c r="BN1499"/>
      <c r="BO1499"/>
      <c r="BP1499"/>
      <c r="BQ1499"/>
      <c r="BR1499"/>
      <c r="BY1499"/>
      <c r="BZ1499"/>
      <c r="CA1499"/>
      <c r="CB1499"/>
      <c r="CC1499"/>
      <c r="CD1499"/>
      <c r="CE1499"/>
      <c r="CF1499"/>
      <c r="CG1499"/>
      <c r="CH1499"/>
      <c r="CI1499"/>
      <c r="CJ1499"/>
      <c r="CK1499"/>
      <c r="CL1499"/>
      <c r="CM1499"/>
      <c r="CN1499"/>
      <c r="CO1499"/>
      <c r="CP1499"/>
      <c r="CQ1499"/>
      <c r="CR1499"/>
      <c r="CS1499"/>
      <c r="CT1499"/>
      <c r="CU1499"/>
      <c r="CV1499"/>
      <c r="CW1499"/>
      <c r="CX1499"/>
      <c r="CY1499"/>
    </row>
    <row r="1500" spans="50:103" ht="20.100000000000001" customHeight="1" x14ac:dyDescent="0.25">
      <c r="AX1500"/>
      <c r="AY1500"/>
      <c r="AZ1500"/>
      <c r="BA1500"/>
      <c r="BB1500"/>
      <c r="BC1500"/>
      <c r="BD1500"/>
      <c r="BE1500"/>
      <c r="BF1500"/>
      <c r="BG1500"/>
      <c r="BH1500"/>
      <c r="BI1500"/>
      <c r="BJ1500"/>
      <c r="BK1500"/>
      <c r="BL1500"/>
      <c r="BM1500"/>
      <c r="BN1500"/>
      <c r="BO1500"/>
      <c r="BP1500"/>
      <c r="BQ1500"/>
      <c r="BR1500"/>
      <c r="BY1500"/>
      <c r="BZ1500"/>
      <c r="CA1500"/>
      <c r="CB1500"/>
      <c r="CC1500"/>
      <c r="CD1500"/>
      <c r="CE1500"/>
      <c r="CF1500"/>
      <c r="CG1500"/>
      <c r="CH1500"/>
      <c r="CI1500"/>
      <c r="CJ1500"/>
      <c r="CK1500"/>
      <c r="CL1500"/>
      <c r="CM1500"/>
      <c r="CN1500"/>
      <c r="CO1500"/>
      <c r="CP1500"/>
      <c r="CQ1500"/>
      <c r="CR1500"/>
      <c r="CS1500"/>
      <c r="CT1500"/>
      <c r="CU1500"/>
      <c r="CV1500"/>
      <c r="CW1500"/>
      <c r="CX1500"/>
      <c r="CY1500"/>
    </row>
  </sheetData>
  <protectedRanges>
    <protectedRange sqref="AN8 AE1:AX7 AB8:AL8 AP8:AV8 CO7 CY8:CY9 CM8:CW9" name="Filtrados"/>
    <protectedRange sqref="D4 H4 L4" name="Condiciones de Filtro_Nº Legajo y Conductor"/>
    <protectedRange sqref="W9:W271 B9:U771" name="Datos a ingresar"/>
    <protectedRange sqref="C5" name="Condiciones de Filtro_Fecha"/>
    <protectedRange sqref="AM8 CX8:CX9" name="Filtrados_2_2_1"/>
  </protectedRanges>
  <sortState ref="B9:AO1172">
    <sortCondition ref="E9:E1172"/>
  </sortState>
  <dataConsolidate>
    <dataRefs count="1">
      <dataRef ref="J9:J10" sheet="Conductor-Guarda-Azafata"/>
    </dataRefs>
  </dataConsolidate>
  <mergeCells count="6">
    <mergeCell ref="V7:AN7"/>
    <mergeCell ref="E3:G3"/>
    <mergeCell ref="E4:G4"/>
    <mergeCell ref="M3:O3"/>
    <mergeCell ref="M4:O4"/>
    <mergeCell ref="J7:U7"/>
  </mergeCells>
  <conditionalFormatting sqref="L1:P1 Q1:Q6 L5:P6 P2:P4 L8:Q271 AG9:AM64307 Z1:AE64307">
    <cfRule type="cellIs" dxfId="25" priority="208" operator="equal">
      <formula>"NO"</formula>
    </cfRule>
  </conditionalFormatting>
  <conditionalFormatting sqref="S1:T6 S8:T271 AF9:AF64307">
    <cfRule type="cellIs" dxfId="24" priority="207" operator="equal">
      <formula>"SI"</formula>
    </cfRule>
  </conditionalFormatting>
  <conditionalFormatting sqref="Z8">
    <cfRule type="cellIs" dxfId="23" priority="85" operator="equal">
      <formula>"NO"</formula>
    </cfRule>
  </conditionalFormatting>
  <conditionalFormatting sqref="AG8">
    <cfRule type="cellIs" dxfId="22" priority="83" operator="equal">
      <formula>"NO"</formula>
    </cfRule>
  </conditionalFormatting>
  <conditionalFormatting sqref="AH8">
    <cfRule type="cellIs" dxfId="21" priority="82" operator="equal">
      <formula>"NO"</formula>
    </cfRule>
  </conditionalFormatting>
  <conditionalFormatting sqref="AI8">
    <cfRule type="cellIs" dxfId="20" priority="81" operator="equal">
      <formula>"NO"</formula>
    </cfRule>
  </conditionalFormatting>
  <conditionalFormatting sqref="AJ8">
    <cfRule type="cellIs" dxfId="19" priority="80" operator="equal">
      <formula>"NO"</formula>
    </cfRule>
  </conditionalFormatting>
  <conditionalFormatting sqref="AK8">
    <cfRule type="cellIs" dxfId="18" priority="79" operator="equal">
      <formula>"NO"</formula>
    </cfRule>
  </conditionalFormatting>
  <conditionalFormatting sqref="AL8">
    <cfRule type="cellIs" dxfId="17" priority="78" operator="equal">
      <formula>"NO"</formula>
    </cfRule>
  </conditionalFormatting>
  <conditionalFormatting sqref="AF8">
    <cfRule type="cellIs" dxfId="16" priority="76" operator="equal">
      <formula>"SI"</formula>
    </cfRule>
  </conditionalFormatting>
  <conditionalFormatting sqref="AG1:AM7 AG8:AL8">
    <cfRule type="cellIs" dxfId="15" priority="75" operator="equal">
      <formula>"NO"</formula>
    </cfRule>
  </conditionalFormatting>
  <conditionalFormatting sqref="AF1:AF8">
    <cfRule type="cellIs" dxfId="14" priority="74" operator="equal">
      <formula>"SI"</formula>
    </cfRule>
  </conditionalFormatting>
  <conditionalFormatting sqref="AM8">
    <cfRule type="cellIs" dxfId="13" priority="36" operator="equal">
      <formula>"NO"</formula>
    </cfRule>
  </conditionalFormatting>
  <conditionalFormatting sqref="AM8">
    <cfRule type="cellIs" dxfId="12" priority="35" operator="equal">
      <formula>"NO"</formula>
    </cfRule>
  </conditionalFormatting>
  <conditionalFormatting sqref="BG8:BL8">
    <cfRule type="cellIs" dxfId="11" priority="34" operator="equal">
      <formula>"NO"</formula>
    </cfRule>
  </conditionalFormatting>
  <conditionalFormatting sqref="BN8:BO8">
    <cfRule type="cellIs" dxfId="10" priority="33" operator="equal">
      <formula>"SI"</formula>
    </cfRule>
  </conditionalFormatting>
  <conditionalFormatting sqref="CN8">
    <cfRule type="cellIs" dxfId="9" priority="19" operator="equal">
      <formula>"NO"</formula>
    </cfRule>
  </conditionalFormatting>
  <conditionalFormatting sqref="CV8">
    <cfRule type="cellIs" dxfId="8" priority="17" operator="equal">
      <formula>"NO"</formula>
    </cfRule>
  </conditionalFormatting>
  <conditionalFormatting sqref="CV8">
    <cfRule type="cellIs" dxfId="7" priority="16" operator="equal">
      <formula>"NO"</formula>
    </cfRule>
  </conditionalFormatting>
  <conditionalFormatting sqref="CX8">
    <cfRule type="cellIs" dxfId="6" priority="15" operator="equal">
      <formula>"NO"</formula>
    </cfRule>
  </conditionalFormatting>
  <conditionalFormatting sqref="CX8">
    <cfRule type="cellIs" dxfId="5" priority="14" operator="equal">
      <formula>"NO"</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dimension ref="B1:CA107"/>
  <sheetViews>
    <sheetView showGridLines="0" topLeftCell="A3" workbookViewId="0">
      <pane ySplit="6" topLeftCell="A87" activePane="bottomLeft" state="frozen"/>
      <selection activeCell="E3" sqref="E3"/>
      <selection pane="bottomLeft" activeCell="J118" sqref="J118"/>
    </sheetView>
  </sheetViews>
  <sheetFormatPr baseColWidth="10" defaultRowHeight="15" x14ac:dyDescent="0.25"/>
  <cols>
    <col min="1" max="1" width="3.7109375" customWidth="1"/>
    <col min="2" max="2" width="7.140625" customWidth="1"/>
    <col min="3" max="3" width="8.7109375" customWidth="1"/>
    <col min="4" max="4" width="11.5703125" style="135" customWidth="1"/>
    <col min="5" max="5" width="7.140625" customWidth="1"/>
    <col min="6" max="6" width="8.5703125" customWidth="1"/>
    <col min="7" max="8" width="7.85546875" bestFit="1" customWidth="1"/>
    <col min="9" max="9" width="8.5703125" customWidth="1"/>
    <col min="10" max="10" width="24.7109375" customWidth="1"/>
    <col min="11" max="11" width="9.140625" customWidth="1"/>
    <col min="12" max="12" width="24.7109375" customWidth="1"/>
    <col min="13" max="13" width="9.140625" customWidth="1"/>
    <col min="14" max="14" width="7.28515625" customWidth="1"/>
    <col min="15" max="15" width="6.7109375" customWidth="1"/>
    <col min="16" max="16" width="7.42578125" customWidth="1"/>
    <col min="17" max="17" width="8.42578125" customWidth="1"/>
    <col min="18" max="18" width="7.28515625" customWidth="1"/>
    <col min="19" max="19" width="5.5703125" customWidth="1"/>
    <col min="20" max="20" width="7" customWidth="1"/>
    <col min="21" max="21" width="7.28515625" customWidth="1"/>
    <col min="22" max="22" width="6.42578125" customWidth="1"/>
    <col min="23" max="23" width="40.28515625" customWidth="1"/>
    <col min="36" max="36" width="7.7109375" customWidth="1"/>
    <col min="37" max="37" width="8.5703125" customWidth="1"/>
    <col min="38" max="38" width="9.85546875" customWidth="1"/>
    <col min="39" max="39" width="7" customWidth="1"/>
    <col min="40" max="40" width="8.5703125" customWidth="1"/>
    <col min="41" max="41" width="9.28515625" customWidth="1"/>
    <col min="42" max="42" width="9.140625" customWidth="1"/>
    <col min="43" max="43" width="9" customWidth="1"/>
    <col min="44" max="44" width="21.5703125" customWidth="1"/>
    <col min="45" max="45" width="9.28515625" customWidth="1"/>
    <col min="46" max="46" width="20.7109375" customWidth="1"/>
    <col min="47" max="47" width="9.28515625" customWidth="1"/>
    <col min="48" max="48" width="7.85546875" customWidth="1"/>
    <col min="49" max="49" width="7.28515625" customWidth="1"/>
    <col min="50" max="50" width="6.28515625" customWidth="1"/>
    <col min="51" max="51" width="8.7109375" customWidth="1"/>
    <col min="52" max="54" width="7" customWidth="1"/>
    <col min="55" max="55" width="7.85546875" customWidth="1"/>
    <col min="56" max="56" width="6.7109375" customWidth="1"/>
  </cols>
  <sheetData>
    <row r="1" spans="2:79" x14ac:dyDescent="0.25">
      <c r="D1"/>
    </row>
    <row r="2" spans="2:79" x14ac:dyDescent="0.25">
      <c r="B2" s="9" t="s">
        <v>15</v>
      </c>
      <c r="C2" s="9"/>
      <c r="D2" s="9"/>
    </row>
    <row r="3" spans="2:79" ht="35.1" customHeight="1" x14ac:dyDescent="0.25">
      <c r="B3" s="14" t="s">
        <v>2</v>
      </c>
      <c r="C3" s="15" t="s">
        <v>2</v>
      </c>
      <c r="D3" s="36" t="s">
        <v>187</v>
      </c>
      <c r="E3" s="156" t="s">
        <v>219</v>
      </c>
      <c r="F3" s="157"/>
    </row>
    <row r="4" spans="2:79" x14ac:dyDescent="0.25">
      <c r="B4" s="38" t="str">
        <f>IF(B5="","&gt;=1","&gt;="&amp;B5)</f>
        <v>&gt;=1</v>
      </c>
      <c r="C4" s="39" t="str">
        <f>IF(C5="","&lt;=70000","&lt;="&amp;C5)</f>
        <v>&lt;=70000</v>
      </c>
      <c r="D4" s="50">
        <v>1296</v>
      </c>
      <c r="E4" s="158"/>
      <c r="F4" s="159"/>
    </row>
    <row r="5" spans="2:79" x14ac:dyDescent="0.25">
      <c r="B5" s="41"/>
      <c r="C5" s="40"/>
      <c r="D5" s="17"/>
      <c r="E5" s="17"/>
      <c r="F5" s="17"/>
      <c r="G5" s="17"/>
      <c r="I5" s="17"/>
      <c r="J5" s="17"/>
      <c r="K5" s="17"/>
      <c r="L5" s="17"/>
    </row>
    <row r="6" spans="2:79" ht="15.75" thickBot="1" x14ac:dyDescent="0.3">
      <c r="D6"/>
    </row>
    <row r="7" spans="2:79" ht="24.75" customHeight="1" x14ac:dyDescent="0.25">
      <c r="D7"/>
      <c r="M7" s="149" t="s">
        <v>216</v>
      </c>
      <c r="N7" s="149"/>
      <c r="O7" s="149"/>
      <c r="P7" s="149"/>
      <c r="Q7" s="149"/>
      <c r="R7" s="149" t="s">
        <v>217</v>
      </c>
      <c r="S7" s="149"/>
      <c r="T7" s="149"/>
      <c r="U7" s="149"/>
      <c r="V7" s="149"/>
    </row>
    <row r="8" spans="2:79" s="48" customFormat="1" ht="50.1" customHeight="1" x14ac:dyDescent="0.25">
      <c r="B8" s="46" t="s">
        <v>16</v>
      </c>
      <c r="C8" s="46" t="s">
        <v>208</v>
      </c>
      <c r="D8" s="134" t="s">
        <v>2</v>
      </c>
      <c r="E8" s="46" t="s">
        <v>3</v>
      </c>
      <c r="F8" s="46" t="s">
        <v>4</v>
      </c>
      <c r="G8" s="46" t="s">
        <v>209</v>
      </c>
      <c r="H8" s="46" t="s">
        <v>210</v>
      </c>
      <c r="I8" s="28" t="s">
        <v>187</v>
      </c>
      <c r="J8" s="28" t="s">
        <v>189</v>
      </c>
      <c r="K8" s="28" t="s">
        <v>219</v>
      </c>
      <c r="L8" s="28" t="s">
        <v>190</v>
      </c>
      <c r="M8" s="47" t="s">
        <v>211</v>
      </c>
      <c r="N8" s="46" t="s">
        <v>212</v>
      </c>
      <c r="O8" s="46" t="s">
        <v>213</v>
      </c>
      <c r="P8" s="46" t="s">
        <v>214</v>
      </c>
      <c r="Q8" s="44" t="s">
        <v>215</v>
      </c>
      <c r="R8" s="46" t="s">
        <v>193</v>
      </c>
      <c r="S8" s="46" t="s">
        <v>204</v>
      </c>
      <c r="T8" s="46" t="s">
        <v>205</v>
      </c>
      <c r="U8" s="46" t="s">
        <v>206</v>
      </c>
      <c r="V8" s="44" t="s">
        <v>207</v>
      </c>
      <c r="W8" s="47" t="s">
        <v>218</v>
      </c>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row>
    <row r="9" spans="2:79" ht="20.100000000000001" customHeight="1" x14ac:dyDescent="0.25">
      <c r="B9" s="54" t="s">
        <v>267</v>
      </c>
      <c r="C9" s="71" t="s">
        <v>267</v>
      </c>
      <c r="D9" s="72" t="s">
        <v>267</v>
      </c>
      <c r="E9" s="73" t="s">
        <v>267</v>
      </c>
      <c r="F9" s="71" t="s">
        <v>267</v>
      </c>
      <c r="G9" s="74" t="s">
        <v>267</v>
      </c>
      <c r="H9" s="74" t="s">
        <v>267</v>
      </c>
      <c r="I9" s="71" t="s">
        <v>267</v>
      </c>
      <c r="J9" s="71" t="s">
        <v>267</v>
      </c>
      <c r="K9" s="71"/>
      <c r="L9" s="71" t="s">
        <v>267</v>
      </c>
      <c r="M9" s="55" t="s">
        <v>225</v>
      </c>
      <c r="N9" s="56" t="s">
        <v>225</v>
      </c>
      <c r="O9" s="56" t="s">
        <v>225</v>
      </c>
      <c r="P9" s="56" t="s">
        <v>226</v>
      </c>
      <c r="Q9" s="113"/>
      <c r="R9" s="56" t="s">
        <v>225</v>
      </c>
      <c r="S9" s="56" t="s">
        <v>225</v>
      </c>
      <c r="T9" s="56" t="s">
        <v>225</v>
      </c>
      <c r="U9" s="56" t="s">
        <v>225</v>
      </c>
      <c r="V9" s="58" t="s">
        <v>225</v>
      </c>
      <c r="W9" s="51"/>
    </row>
    <row r="10" spans="2:79" ht="20.100000000000001" customHeight="1" x14ac:dyDescent="0.25">
      <c r="B10" s="54" t="s">
        <v>267</v>
      </c>
      <c r="C10" s="71" t="s">
        <v>267</v>
      </c>
      <c r="D10" s="72" t="s">
        <v>267</v>
      </c>
      <c r="E10" s="73" t="s">
        <v>267</v>
      </c>
      <c r="F10" s="71" t="s">
        <v>267</v>
      </c>
      <c r="G10" s="74" t="s">
        <v>267</v>
      </c>
      <c r="H10" s="74" t="s">
        <v>267</v>
      </c>
      <c r="I10" s="71" t="s">
        <v>267</v>
      </c>
      <c r="J10" s="71" t="s">
        <v>267</v>
      </c>
      <c r="K10" s="71"/>
      <c r="L10" s="71" t="s">
        <v>267</v>
      </c>
      <c r="M10" s="55" t="s">
        <v>225</v>
      </c>
      <c r="N10" s="56" t="s">
        <v>225</v>
      </c>
      <c r="O10" s="56" t="s">
        <v>225</v>
      </c>
      <c r="P10" s="56" t="s">
        <v>226</v>
      </c>
      <c r="Q10" s="113"/>
      <c r="R10" s="56" t="s">
        <v>226</v>
      </c>
      <c r="S10" s="56" t="s">
        <v>225</v>
      </c>
      <c r="T10" s="56" t="s">
        <v>225</v>
      </c>
      <c r="U10" s="56" t="s">
        <v>225</v>
      </c>
      <c r="V10" s="58" t="s">
        <v>225</v>
      </c>
      <c r="W10" s="51"/>
    </row>
    <row r="11" spans="2:79" ht="20.100000000000001" customHeight="1" x14ac:dyDescent="0.25">
      <c r="B11" s="54" t="s">
        <v>267</v>
      </c>
      <c r="C11" s="71" t="s">
        <v>267</v>
      </c>
      <c r="D11" s="72" t="s">
        <v>267</v>
      </c>
      <c r="E11" s="73" t="s">
        <v>267</v>
      </c>
      <c r="F11" s="71" t="s">
        <v>267</v>
      </c>
      <c r="G11" s="74" t="s">
        <v>267</v>
      </c>
      <c r="H11" s="74" t="s">
        <v>267</v>
      </c>
      <c r="I11" s="71" t="s">
        <v>267</v>
      </c>
      <c r="J11" s="71" t="s">
        <v>267</v>
      </c>
      <c r="K11" s="71"/>
      <c r="L11" s="71" t="s">
        <v>267</v>
      </c>
      <c r="M11" s="55" t="s">
        <v>225</v>
      </c>
      <c r="N11" s="56" t="s">
        <v>225</v>
      </c>
      <c r="O11" s="56" t="s">
        <v>225</v>
      </c>
      <c r="P11" s="56" t="s">
        <v>226</v>
      </c>
      <c r="Q11" s="113"/>
      <c r="R11" s="56" t="s">
        <v>225</v>
      </c>
      <c r="S11" s="56" t="s">
        <v>225</v>
      </c>
      <c r="T11" s="56" t="s">
        <v>225</v>
      </c>
      <c r="U11" s="56" t="s">
        <v>225</v>
      </c>
      <c r="V11" s="58" t="s">
        <v>225</v>
      </c>
      <c r="W11" s="51"/>
    </row>
    <row r="12" spans="2:79" ht="20.100000000000001" customHeight="1" x14ac:dyDescent="0.25">
      <c r="B12" s="54" t="s">
        <v>267</v>
      </c>
      <c r="C12" s="71" t="s">
        <v>267</v>
      </c>
      <c r="D12" s="72" t="s">
        <v>267</v>
      </c>
      <c r="E12" s="73" t="s">
        <v>267</v>
      </c>
      <c r="F12" s="71" t="s">
        <v>267</v>
      </c>
      <c r="G12" s="74" t="s">
        <v>267</v>
      </c>
      <c r="H12" s="74" t="s">
        <v>267</v>
      </c>
      <c r="I12" s="71" t="s">
        <v>267</v>
      </c>
      <c r="J12" s="71" t="s">
        <v>267</v>
      </c>
      <c r="K12" s="71"/>
      <c r="L12" s="71" t="s">
        <v>267</v>
      </c>
      <c r="M12" s="55" t="s">
        <v>226</v>
      </c>
      <c r="N12" s="56" t="s">
        <v>225</v>
      </c>
      <c r="O12" s="56" t="s">
        <v>226</v>
      </c>
      <c r="P12" s="56" t="s">
        <v>225</v>
      </c>
      <c r="Q12" s="113">
        <v>1</v>
      </c>
      <c r="R12" s="56" t="s">
        <v>225</v>
      </c>
      <c r="S12" s="56" t="s">
        <v>225</v>
      </c>
      <c r="T12" s="56" t="s">
        <v>225</v>
      </c>
      <c r="U12" s="56" t="s">
        <v>225</v>
      </c>
      <c r="V12" s="58" t="s">
        <v>226</v>
      </c>
      <c r="W12" s="51" t="s">
        <v>235</v>
      </c>
    </row>
    <row r="13" spans="2:79" ht="20.100000000000001" customHeight="1" x14ac:dyDescent="0.25">
      <c r="B13" s="54" t="s">
        <v>267</v>
      </c>
      <c r="C13" s="71" t="s">
        <v>267</v>
      </c>
      <c r="D13" s="72" t="s">
        <v>267</v>
      </c>
      <c r="E13" s="73" t="s">
        <v>267</v>
      </c>
      <c r="F13" s="71" t="s">
        <v>267</v>
      </c>
      <c r="G13" s="74" t="s">
        <v>267</v>
      </c>
      <c r="H13" s="74" t="s">
        <v>267</v>
      </c>
      <c r="I13" s="71" t="s">
        <v>267</v>
      </c>
      <c r="J13" s="71" t="s">
        <v>267</v>
      </c>
      <c r="K13" s="71"/>
      <c r="L13" s="71" t="s">
        <v>267</v>
      </c>
      <c r="M13" s="55" t="s">
        <v>225</v>
      </c>
      <c r="N13" s="56" t="s">
        <v>225</v>
      </c>
      <c r="O13" s="56" t="s">
        <v>225</v>
      </c>
      <c r="P13" s="56" t="s">
        <v>226</v>
      </c>
      <c r="Q13" s="113"/>
      <c r="R13" s="56" t="s">
        <v>225</v>
      </c>
      <c r="S13" s="56" t="s">
        <v>225</v>
      </c>
      <c r="T13" s="56" t="s">
        <v>225</v>
      </c>
      <c r="U13" s="56" t="s">
        <v>225</v>
      </c>
      <c r="V13" s="58" t="s">
        <v>226</v>
      </c>
      <c r="W13" s="51" t="s">
        <v>236</v>
      </c>
    </row>
    <row r="14" spans="2:79" ht="20.100000000000001" customHeight="1" x14ac:dyDescent="0.25">
      <c r="B14" s="54" t="s">
        <v>267</v>
      </c>
      <c r="C14" s="71" t="s">
        <v>267</v>
      </c>
      <c r="D14" s="72" t="s">
        <v>267</v>
      </c>
      <c r="E14" s="73" t="s">
        <v>267</v>
      </c>
      <c r="F14" s="71" t="s">
        <v>267</v>
      </c>
      <c r="G14" s="74" t="s">
        <v>267</v>
      </c>
      <c r="H14" s="74" t="s">
        <v>267</v>
      </c>
      <c r="I14" s="71" t="s">
        <v>267</v>
      </c>
      <c r="J14" s="71" t="s">
        <v>267</v>
      </c>
      <c r="K14" s="71"/>
      <c r="L14" s="71" t="s">
        <v>267</v>
      </c>
      <c r="M14" s="55" t="s">
        <v>225</v>
      </c>
      <c r="N14" s="56" t="s">
        <v>226</v>
      </c>
      <c r="O14" s="56" t="s">
        <v>225</v>
      </c>
      <c r="P14" s="56" t="s">
        <v>226</v>
      </c>
      <c r="Q14" s="113"/>
      <c r="R14" s="56" t="s">
        <v>225</v>
      </c>
      <c r="S14" s="56" t="s">
        <v>225</v>
      </c>
      <c r="T14" s="56" t="s">
        <v>225</v>
      </c>
      <c r="U14" s="56" t="s">
        <v>225</v>
      </c>
      <c r="V14" s="58" t="s">
        <v>225</v>
      </c>
      <c r="W14" s="51"/>
    </row>
    <row r="15" spans="2:79" ht="20.100000000000001" customHeight="1" x14ac:dyDescent="0.25">
      <c r="B15" s="54" t="s">
        <v>267</v>
      </c>
      <c r="C15" s="71" t="s">
        <v>267</v>
      </c>
      <c r="D15" s="72" t="s">
        <v>267</v>
      </c>
      <c r="E15" s="73" t="s">
        <v>267</v>
      </c>
      <c r="F15" s="71" t="s">
        <v>267</v>
      </c>
      <c r="G15" s="74" t="s">
        <v>267</v>
      </c>
      <c r="H15" s="74" t="s">
        <v>267</v>
      </c>
      <c r="I15" s="71" t="s">
        <v>267</v>
      </c>
      <c r="J15" s="71" t="s">
        <v>267</v>
      </c>
      <c r="K15" s="71"/>
      <c r="L15" s="71" t="s">
        <v>267</v>
      </c>
      <c r="M15" s="55" t="s">
        <v>226</v>
      </c>
      <c r="N15" s="56" t="s">
        <v>225</v>
      </c>
      <c r="O15" s="56" t="s">
        <v>225</v>
      </c>
      <c r="P15" s="56" t="s">
        <v>225</v>
      </c>
      <c r="Q15" s="113">
        <v>2</v>
      </c>
      <c r="R15" s="56" t="s">
        <v>225</v>
      </c>
      <c r="S15" s="56" t="s">
        <v>225</v>
      </c>
      <c r="T15" s="56" t="s">
        <v>225</v>
      </c>
      <c r="U15" s="56" t="s">
        <v>225</v>
      </c>
      <c r="V15" s="58" t="s">
        <v>225</v>
      </c>
      <c r="W15" s="51"/>
    </row>
    <row r="16" spans="2:79" ht="20.100000000000001" customHeight="1" x14ac:dyDescent="0.25">
      <c r="B16" s="54" t="s">
        <v>267</v>
      </c>
      <c r="C16" s="71" t="s">
        <v>267</v>
      </c>
      <c r="D16" s="72" t="s">
        <v>267</v>
      </c>
      <c r="E16" s="73" t="s">
        <v>267</v>
      </c>
      <c r="F16" s="71" t="s">
        <v>267</v>
      </c>
      <c r="G16" s="74" t="s">
        <v>267</v>
      </c>
      <c r="H16" s="74" t="s">
        <v>267</v>
      </c>
      <c r="I16" s="71" t="s">
        <v>267</v>
      </c>
      <c r="J16" s="71" t="s">
        <v>267</v>
      </c>
      <c r="K16" s="71"/>
      <c r="L16" s="71" t="s">
        <v>267</v>
      </c>
      <c r="M16" s="55" t="s">
        <v>226</v>
      </c>
      <c r="N16" s="56" t="s">
        <v>225</v>
      </c>
      <c r="O16" s="56" t="s">
        <v>226</v>
      </c>
      <c r="P16" s="56" t="s">
        <v>225</v>
      </c>
      <c r="Q16" s="113">
        <v>4</v>
      </c>
      <c r="R16" s="56" t="s">
        <v>225</v>
      </c>
      <c r="S16" s="56" t="s">
        <v>225</v>
      </c>
      <c r="T16" s="56" t="s">
        <v>225</v>
      </c>
      <c r="U16" s="56" t="s">
        <v>225</v>
      </c>
      <c r="V16" s="58" t="s">
        <v>225</v>
      </c>
      <c r="W16" s="51"/>
    </row>
    <row r="17" spans="2:23" ht="20.100000000000001" customHeight="1" x14ac:dyDescent="0.25">
      <c r="B17" s="54" t="e">
        <f>IF('Conductor-Guarda-Azafata'!#REF!="","",'Conductor-Guarda-Azafata'!#REF!)</f>
        <v>#REF!</v>
      </c>
      <c r="C17" s="97" t="s">
        <v>250</v>
      </c>
      <c r="D17" s="72">
        <v>43104</v>
      </c>
      <c r="E17" s="98">
        <v>43</v>
      </c>
      <c r="F17" s="98" t="s">
        <v>257</v>
      </c>
      <c r="G17" s="99">
        <v>0.58333333333333337</v>
      </c>
      <c r="H17" s="100">
        <v>0.58472222222222225</v>
      </c>
      <c r="I17" s="71" t="e">
        <f>IF($B17="","",VLOOKUP($B17,'Conductor-Guarda-Azafata'!$B$8:$AN$271,9))</f>
        <v>#REF!</v>
      </c>
      <c r="J17" s="71" t="e">
        <f>IF($B17="","",VLOOKUP($B17,'Conductor-Guarda-Azafata'!$B$8:$AN$271,10))</f>
        <v>#REF!</v>
      </c>
      <c r="K17" s="71"/>
      <c r="L17" s="71" t="e">
        <f>IF($B17="","",VLOOKUP($B17,'Conductor-Guarda-Azafata'!$B$8:$AN$271,24))</f>
        <v>#REF!</v>
      </c>
      <c r="M17" s="115" t="s">
        <v>225</v>
      </c>
      <c r="N17" s="116" t="s">
        <v>225</v>
      </c>
      <c r="O17" s="116" t="s">
        <v>225</v>
      </c>
      <c r="P17" s="116" t="s">
        <v>226</v>
      </c>
      <c r="Q17" s="57"/>
      <c r="R17" s="116" t="s">
        <v>225</v>
      </c>
      <c r="S17" s="116" t="s">
        <v>225</v>
      </c>
      <c r="T17" s="116" t="s">
        <v>225</v>
      </c>
      <c r="U17" s="116" t="s">
        <v>225</v>
      </c>
      <c r="V17" s="117" t="s">
        <v>225</v>
      </c>
      <c r="W17" s="51"/>
    </row>
    <row r="18" spans="2:23" ht="20.100000000000001" customHeight="1" x14ac:dyDescent="0.25">
      <c r="B18" s="54" t="e">
        <f>IF('Conductor-Guarda-Azafata'!#REF!="","",'Conductor-Guarda-Azafata'!#REF!)</f>
        <v>#REF!</v>
      </c>
      <c r="C18" s="97" t="s">
        <v>250</v>
      </c>
      <c r="D18" s="72">
        <v>43104</v>
      </c>
      <c r="E18" s="98" t="s">
        <v>252</v>
      </c>
      <c r="F18" s="98" t="s">
        <v>247</v>
      </c>
      <c r="G18" s="99">
        <v>0.78472222222222221</v>
      </c>
      <c r="H18" s="100">
        <v>0.90277777777777779</v>
      </c>
      <c r="I18" s="71" t="e">
        <f>IF($B18="","",VLOOKUP($B18,'Conductor-Guarda-Azafata'!$B$8:$AN$271,9))</f>
        <v>#REF!</v>
      </c>
      <c r="J18" s="71" t="e">
        <f>IF($B18="","",VLOOKUP($B18,'Conductor-Guarda-Azafata'!$B$8:$AN$271,10))</f>
        <v>#REF!</v>
      </c>
      <c r="K18" s="71"/>
      <c r="L18" s="71" t="e">
        <f>IF($B18="","",VLOOKUP($B18,'Conductor-Guarda-Azafata'!$B$8:$AN$271,24))</f>
        <v>#REF!</v>
      </c>
      <c r="M18" s="115" t="s">
        <v>225</v>
      </c>
      <c r="N18" s="116" t="s">
        <v>225</v>
      </c>
      <c r="O18" s="116" t="s">
        <v>225</v>
      </c>
      <c r="P18" s="116" t="s">
        <v>226</v>
      </c>
      <c r="Q18" s="57"/>
      <c r="R18" s="116" t="s">
        <v>225</v>
      </c>
      <c r="S18" s="116" t="s">
        <v>225</v>
      </c>
      <c r="T18" s="116" t="s">
        <v>225</v>
      </c>
      <c r="U18" s="116" t="s">
        <v>225</v>
      </c>
      <c r="V18" s="117" t="s">
        <v>225</v>
      </c>
      <c r="W18" s="51"/>
    </row>
    <row r="19" spans="2:23" ht="20.100000000000001" customHeight="1" x14ac:dyDescent="0.25">
      <c r="B19" s="54" t="e">
        <f>IF('Conductor-Guarda-Azafata'!#REF!="","",'Conductor-Guarda-Azafata'!#REF!)</f>
        <v>#REF!</v>
      </c>
      <c r="C19" s="97" t="s">
        <v>250</v>
      </c>
      <c r="D19" s="72">
        <v>43105</v>
      </c>
      <c r="E19" s="98">
        <v>42</v>
      </c>
      <c r="F19" s="98" t="s">
        <v>224</v>
      </c>
      <c r="G19" s="99">
        <v>0.29166666666666669</v>
      </c>
      <c r="H19" s="100">
        <v>0.2951388888888889</v>
      </c>
      <c r="I19" s="71" t="e">
        <f>IF($B19="","",VLOOKUP($B19,'Conductor-Guarda-Azafata'!$B$8:$AN$271,9))</f>
        <v>#REF!</v>
      </c>
      <c r="J19" s="71" t="e">
        <f>IF($B19="","",VLOOKUP($B19,'Conductor-Guarda-Azafata'!$B$8:$AN$271,10))</f>
        <v>#REF!</v>
      </c>
      <c r="K19" s="71"/>
      <c r="L19" s="71" t="e">
        <f>IF($B19="","",VLOOKUP($B19,'Conductor-Guarda-Azafata'!$B$8:$AN$271,24))</f>
        <v>#REF!</v>
      </c>
      <c r="M19" s="115" t="s">
        <v>225</v>
      </c>
      <c r="N19" s="116" t="s">
        <v>225</v>
      </c>
      <c r="O19" s="116" t="s">
        <v>225</v>
      </c>
      <c r="P19" s="116" t="s">
        <v>226</v>
      </c>
      <c r="Q19" s="57"/>
      <c r="R19" s="116" t="s">
        <v>225</v>
      </c>
      <c r="S19" s="116" t="s">
        <v>225</v>
      </c>
      <c r="T19" s="116" t="s">
        <v>225</v>
      </c>
      <c r="U19" s="116" t="s">
        <v>225</v>
      </c>
      <c r="V19" s="117" t="s">
        <v>225</v>
      </c>
      <c r="W19" s="51"/>
    </row>
    <row r="20" spans="2:23" ht="20.100000000000001" customHeight="1" x14ac:dyDescent="0.25">
      <c r="B20" s="54" t="e">
        <f>IF('Conductor-Guarda-Azafata'!#REF!="","",'Conductor-Guarda-Azafata'!#REF!)</f>
        <v>#REF!</v>
      </c>
      <c r="C20" s="97" t="s">
        <v>250</v>
      </c>
      <c r="D20" s="72">
        <v>43105</v>
      </c>
      <c r="E20" s="98">
        <v>56</v>
      </c>
      <c r="F20" s="98" t="s">
        <v>227</v>
      </c>
      <c r="G20" s="99">
        <v>0.625</v>
      </c>
      <c r="H20" s="100">
        <v>0.62708333333333333</v>
      </c>
      <c r="I20" s="71" t="e">
        <f>IF($B20="","",VLOOKUP($B20,'Conductor-Guarda-Azafata'!$B$8:$AN$271,9))</f>
        <v>#REF!</v>
      </c>
      <c r="J20" s="71" t="e">
        <f>IF($B20="","",VLOOKUP($B20,'Conductor-Guarda-Azafata'!$B$8:$AN$271,10))</f>
        <v>#REF!</v>
      </c>
      <c r="K20" s="71"/>
      <c r="L20" s="71" t="e">
        <f>IF($B20="","",VLOOKUP($B20,'Conductor-Guarda-Azafata'!$B$8:$AN$271,24))</f>
        <v>#REF!</v>
      </c>
      <c r="M20" s="115" t="s">
        <v>225</v>
      </c>
      <c r="N20" s="116" t="s">
        <v>225</v>
      </c>
      <c r="O20" s="116" t="s">
        <v>225</v>
      </c>
      <c r="P20" s="116" t="s">
        <v>226</v>
      </c>
      <c r="Q20" s="57"/>
      <c r="R20" s="116" t="s">
        <v>225</v>
      </c>
      <c r="S20" s="116" t="s">
        <v>225</v>
      </c>
      <c r="T20" s="116" t="s">
        <v>225</v>
      </c>
      <c r="U20" s="116" t="s">
        <v>225</v>
      </c>
      <c r="V20" s="117" t="s">
        <v>225</v>
      </c>
      <c r="W20" s="51"/>
    </row>
    <row r="21" spans="2:23" ht="20.100000000000001" customHeight="1" x14ac:dyDescent="0.25">
      <c r="B21" s="54" t="e">
        <f>IF('Conductor-Guarda-Azafata'!#REF!="","",'Conductor-Guarda-Azafata'!#REF!)</f>
        <v>#REF!</v>
      </c>
      <c r="C21" s="97" t="s">
        <v>246</v>
      </c>
      <c r="D21" s="72">
        <v>43105</v>
      </c>
      <c r="E21" s="98">
        <v>56</v>
      </c>
      <c r="F21" s="98" t="s">
        <v>224</v>
      </c>
      <c r="G21" s="99">
        <v>0.41666666666666669</v>
      </c>
      <c r="H21" s="100">
        <v>0.41736111111111113</v>
      </c>
      <c r="I21" s="71" t="e">
        <f>IF($B21="","",VLOOKUP($B21,'Conductor-Guarda-Azafata'!$B$8:$AN$271,9))</f>
        <v>#REF!</v>
      </c>
      <c r="J21" s="71" t="e">
        <f>IF($B21="","",VLOOKUP($B21,'Conductor-Guarda-Azafata'!$B$8:$AN$271,10))</f>
        <v>#REF!</v>
      </c>
      <c r="K21" s="71"/>
      <c r="L21" s="71" t="e">
        <f>IF($B21="","",VLOOKUP($B21,'Conductor-Guarda-Azafata'!$B$8:$AN$271,24))</f>
        <v>#REF!</v>
      </c>
      <c r="M21" s="115" t="s">
        <v>225</v>
      </c>
      <c r="N21" s="116" t="s">
        <v>225</v>
      </c>
      <c r="O21" s="116" t="s">
        <v>225</v>
      </c>
      <c r="P21" s="116" t="s">
        <v>226</v>
      </c>
      <c r="Q21" s="57"/>
      <c r="R21" s="116" t="s">
        <v>225</v>
      </c>
      <c r="S21" s="116" t="s">
        <v>225</v>
      </c>
      <c r="T21" s="116" t="s">
        <v>225</v>
      </c>
      <c r="U21" s="116" t="s">
        <v>225</v>
      </c>
      <c r="V21" s="117" t="s">
        <v>225</v>
      </c>
      <c r="W21" s="51"/>
    </row>
    <row r="22" spans="2:23" ht="20.100000000000001" customHeight="1" x14ac:dyDescent="0.25">
      <c r="B22" s="54" t="e">
        <f>IF('Conductor-Guarda-Azafata'!#REF!="","",'Conductor-Guarda-Azafata'!#REF!)</f>
        <v>#REF!</v>
      </c>
      <c r="C22" s="97" t="s">
        <v>246</v>
      </c>
      <c r="D22" s="72">
        <v>43105</v>
      </c>
      <c r="E22" s="98">
        <v>61</v>
      </c>
      <c r="F22" s="98" t="s">
        <v>227</v>
      </c>
      <c r="G22" s="99">
        <v>0.75</v>
      </c>
      <c r="H22" s="100">
        <v>0.75208333333333333</v>
      </c>
      <c r="I22" s="71" t="e">
        <f>IF($B22="","",VLOOKUP($B22,'Conductor-Guarda-Azafata'!$B$8:$AN$271,9))</f>
        <v>#REF!</v>
      </c>
      <c r="J22" s="71" t="e">
        <f>IF($B22="","",VLOOKUP($B22,'Conductor-Guarda-Azafata'!$B$8:$AN$271,10))</f>
        <v>#REF!</v>
      </c>
      <c r="K22" s="71"/>
      <c r="L22" s="71" t="e">
        <f>IF($B22="","",VLOOKUP($B22,'Conductor-Guarda-Azafata'!$B$8:$AN$271,24))</f>
        <v>#REF!</v>
      </c>
      <c r="M22" s="115" t="s">
        <v>225</v>
      </c>
      <c r="N22" s="116" t="s">
        <v>225</v>
      </c>
      <c r="O22" s="116" t="s">
        <v>225</v>
      </c>
      <c r="P22" s="116" t="s">
        <v>226</v>
      </c>
      <c r="Q22" s="57"/>
      <c r="R22" s="116" t="s">
        <v>225</v>
      </c>
      <c r="S22" s="116" t="s">
        <v>225</v>
      </c>
      <c r="T22" s="116" t="s">
        <v>225</v>
      </c>
      <c r="U22" s="116" t="s">
        <v>225</v>
      </c>
      <c r="V22" s="117" t="s">
        <v>225</v>
      </c>
      <c r="W22" s="51"/>
    </row>
    <row r="23" spans="2:23" ht="20.100000000000001" customHeight="1" x14ac:dyDescent="0.25">
      <c r="B23" s="54" t="e">
        <f>IF('Conductor-Guarda-Azafata'!#REF!="","",'Conductor-Guarda-Azafata'!#REF!)</f>
        <v>#REF!</v>
      </c>
      <c r="C23" s="97" t="s">
        <v>246</v>
      </c>
      <c r="D23" s="72">
        <v>43108</v>
      </c>
      <c r="E23" s="98">
        <v>61</v>
      </c>
      <c r="F23" s="98" t="s">
        <v>224</v>
      </c>
      <c r="G23" s="99">
        <v>0.54166666666666663</v>
      </c>
      <c r="H23" s="100">
        <v>0.5625</v>
      </c>
      <c r="I23" s="71" t="e">
        <f>IF($B23="","",VLOOKUP($B23,'Conductor-Guarda-Azafata'!$B$8:$AN$271,9))</f>
        <v>#REF!</v>
      </c>
      <c r="J23" s="71" t="e">
        <f>IF($B23="","",VLOOKUP($B23,'Conductor-Guarda-Azafata'!$B$8:$AN$271,10))</f>
        <v>#REF!</v>
      </c>
      <c r="K23" s="71"/>
      <c r="L23" s="71" t="e">
        <f>IF($B23="","",VLOOKUP($B23,'Conductor-Guarda-Azafata'!$B$8:$AN$271,24))</f>
        <v>#REF!</v>
      </c>
      <c r="M23" s="115" t="s">
        <v>225</v>
      </c>
      <c r="N23" s="116" t="s">
        <v>225</v>
      </c>
      <c r="O23" s="116" t="s">
        <v>225</v>
      </c>
      <c r="P23" s="116" t="s">
        <v>226</v>
      </c>
      <c r="Q23" s="57"/>
      <c r="R23" s="116" t="s">
        <v>225</v>
      </c>
      <c r="S23" s="116" t="s">
        <v>225</v>
      </c>
      <c r="T23" s="116" t="s">
        <v>225</v>
      </c>
      <c r="U23" s="116" t="s">
        <v>225</v>
      </c>
      <c r="V23" s="117" t="s">
        <v>225</v>
      </c>
      <c r="W23" s="51"/>
    </row>
    <row r="24" spans="2:23" ht="20.100000000000001" customHeight="1" x14ac:dyDescent="0.25">
      <c r="B24" s="54" t="e">
        <f>IF('Conductor-Guarda-Azafata'!#REF!="","",'Conductor-Guarda-Azafata'!#REF!)</f>
        <v>#REF!</v>
      </c>
      <c r="C24" s="97" t="s">
        <v>246</v>
      </c>
      <c r="D24" s="72">
        <v>43108</v>
      </c>
      <c r="E24" s="98">
        <v>49</v>
      </c>
      <c r="F24" s="98" t="s">
        <v>227</v>
      </c>
      <c r="G24" s="99">
        <v>0.84375</v>
      </c>
      <c r="H24" s="100">
        <v>0.84513888888888899</v>
      </c>
      <c r="I24" s="71" t="e">
        <f>IF($B24="","",VLOOKUP($B24,'Conductor-Guarda-Azafata'!$B$8:$AN$271,9))</f>
        <v>#REF!</v>
      </c>
      <c r="J24" s="71" t="e">
        <f>IF($B24="","",VLOOKUP($B24,'Conductor-Guarda-Azafata'!$B$8:$AN$271,10))</f>
        <v>#REF!</v>
      </c>
      <c r="K24" s="71"/>
      <c r="L24" s="71" t="e">
        <f>IF($B24="","",VLOOKUP($B24,'Conductor-Guarda-Azafata'!$B$8:$AN$271,24))</f>
        <v>#REF!</v>
      </c>
      <c r="M24" s="115" t="s">
        <v>225</v>
      </c>
      <c r="N24" s="116" t="s">
        <v>225</v>
      </c>
      <c r="O24" s="116" t="s">
        <v>225</v>
      </c>
      <c r="P24" s="116" t="s">
        <v>226</v>
      </c>
      <c r="Q24" s="57"/>
      <c r="R24" s="116" t="s">
        <v>225</v>
      </c>
      <c r="S24" s="116" t="s">
        <v>225</v>
      </c>
      <c r="T24" s="116" t="s">
        <v>225</v>
      </c>
      <c r="U24" s="116" t="s">
        <v>225</v>
      </c>
      <c r="V24" s="117" t="s">
        <v>225</v>
      </c>
      <c r="W24" s="51"/>
    </row>
    <row r="25" spans="2:23" s="91" customFormat="1" ht="20.100000000000001" customHeight="1" x14ac:dyDescent="0.25">
      <c r="B25" s="54">
        <v>847</v>
      </c>
      <c r="C25" s="71" t="s">
        <v>259</v>
      </c>
      <c r="D25" s="72">
        <v>43150</v>
      </c>
      <c r="E25" s="73">
        <v>47</v>
      </c>
      <c r="F25" s="71" t="s">
        <v>224</v>
      </c>
      <c r="G25" s="74">
        <v>0.29166666666666669</v>
      </c>
      <c r="H25" s="74">
        <v>0.5625</v>
      </c>
      <c r="I25" s="71" t="e">
        <f>IF($B25="","",VLOOKUP($B25,'Conductor-Guarda-Azafata'!$B$8:$AN$271,9))</f>
        <v>#N/A</v>
      </c>
      <c r="J25" s="71"/>
      <c r="K25" s="71"/>
      <c r="L25" s="71"/>
      <c r="M25" s="115" t="s">
        <v>225</v>
      </c>
      <c r="N25" s="116" t="s">
        <v>225</v>
      </c>
      <c r="O25" s="116" t="s">
        <v>225</v>
      </c>
      <c r="P25" s="116" t="s">
        <v>226</v>
      </c>
      <c r="Q25" s="57"/>
      <c r="R25" s="116" t="s">
        <v>225</v>
      </c>
      <c r="S25" s="116" t="s">
        <v>225</v>
      </c>
      <c r="T25" s="116" t="s">
        <v>225</v>
      </c>
      <c r="U25" s="116" t="s">
        <v>225</v>
      </c>
      <c r="V25" s="117" t="s">
        <v>225</v>
      </c>
      <c r="W25" s="51"/>
    </row>
    <row r="26" spans="2:23" s="91" customFormat="1" ht="20.100000000000001" customHeight="1" x14ac:dyDescent="0.25">
      <c r="B26" s="54">
        <v>848</v>
      </c>
      <c r="C26" s="71" t="s">
        <v>259</v>
      </c>
      <c r="D26" s="72">
        <v>43150</v>
      </c>
      <c r="E26" s="73">
        <v>47</v>
      </c>
      <c r="F26" s="71" t="s">
        <v>227</v>
      </c>
      <c r="G26" s="74">
        <v>0.54166666666666663</v>
      </c>
      <c r="H26" s="74">
        <v>0.55208333333333337</v>
      </c>
      <c r="I26" s="71" t="e">
        <f>IF($B26="","",VLOOKUP($B26,'Conductor-Guarda-Azafata'!$B$8:$AN$271,9))</f>
        <v>#N/A</v>
      </c>
      <c r="J26" s="71"/>
      <c r="K26" s="71"/>
      <c r="L26" s="71"/>
      <c r="M26" s="115" t="s">
        <v>225</v>
      </c>
      <c r="N26" s="116" t="s">
        <v>225</v>
      </c>
      <c r="O26" s="116" t="s">
        <v>225</v>
      </c>
      <c r="P26" s="116" t="s">
        <v>226</v>
      </c>
      <c r="Q26" s="57"/>
      <c r="R26" s="116" t="s">
        <v>225</v>
      </c>
      <c r="S26" s="116" t="s">
        <v>225</v>
      </c>
      <c r="T26" s="116" t="s">
        <v>225</v>
      </c>
      <c r="U26" s="116" t="s">
        <v>225</v>
      </c>
      <c r="V26" s="117" t="s">
        <v>225</v>
      </c>
      <c r="W26" s="51"/>
    </row>
    <row r="27" spans="2:23" ht="20.100000000000001" customHeight="1" x14ac:dyDescent="0.25">
      <c r="B27" s="54">
        <v>900</v>
      </c>
      <c r="C27" s="71" t="s">
        <v>246</v>
      </c>
      <c r="D27" s="72">
        <v>43192</v>
      </c>
      <c r="E27" s="73">
        <v>61</v>
      </c>
      <c r="F27" s="71" t="s">
        <v>224</v>
      </c>
      <c r="G27" s="74">
        <v>0.29166666666666669</v>
      </c>
      <c r="H27" s="74">
        <v>0.29305555555555557</v>
      </c>
      <c r="I27" s="71" t="e">
        <f>IF($B27="","",VLOOKUP($B27,'Conductor-Guarda-Azafata'!$B$8:$AN$271,9))</f>
        <v>#N/A</v>
      </c>
      <c r="J27" s="71" t="e">
        <f>IF($B27="","",VLOOKUP($B27,'Conductor-Guarda-Azafata'!$B$8:$AN$271,10))</f>
        <v>#N/A</v>
      </c>
      <c r="K27" s="71"/>
      <c r="L27" s="71" t="e">
        <f>IF($B27="","",VLOOKUP($B27,'Conductor-Guarda-Azafata'!$B$8:$AN$271,24))</f>
        <v>#N/A</v>
      </c>
      <c r="M27" s="115" t="s">
        <v>225</v>
      </c>
      <c r="N27" s="116" t="s">
        <v>225</v>
      </c>
      <c r="O27" s="116" t="s">
        <v>225</v>
      </c>
      <c r="P27" s="116" t="s">
        <v>226</v>
      </c>
      <c r="Q27" s="57"/>
      <c r="R27" s="116" t="s">
        <v>225</v>
      </c>
      <c r="S27" s="116" t="s">
        <v>225</v>
      </c>
      <c r="T27" s="116" t="s">
        <v>225</v>
      </c>
      <c r="U27" s="116" t="s">
        <v>225</v>
      </c>
      <c r="V27" s="117" t="s">
        <v>225</v>
      </c>
      <c r="W27" s="51"/>
    </row>
    <row r="28" spans="2:23" ht="20.100000000000001" customHeight="1" x14ac:dyDescent="0.25">
      <c r="B28" s="54">
        <v>901</v>
      </c>
      <c r="C28" s="71" t="s">
        <v>246</v>
      </c>
      <c r="D28" s="72">
        <v>43192</v>
      </c>
      <c r="E28" s="73">
        <v>56</v>
      </c>
      <c r="F28" s="71" t="s">
        <v>227</v>
      </c>
      <c r="G28" s="74">
        <v>0.625</v>
      </c>
      <c r="H28" s="74">
        <v>0.62638888888888888</v>
      </c>
      <c r="I28" s="71" t="e">
        <f>IF($B28="","",VLOOKUP($B28,'Conductor-Guarda-Azafata'!$B$8:$AN$271,9))</f>
        <v>#N/A</v>
      </c>
      <c r="J28" s="71" t="e">
        <f>IF($B28="","",VLOOKUP($B28,'Conductor-Guarda-Azafata'!$B$8:$AN$271,10))</f>
        <v>#N/A</v>
      </c>
      <c r="K28" s="71"/>
      <c r="L28" s="71" t="e">
        <f>IF($B28="","",VLOOKUP($B28,'Conductor-Guarda-Azafata'!$B$8:$AN$271,24))</f>
        <v>#N/A</v>
      </c>
      <c r="M28" s="115" t="s">
        <v>225</v>
      </c>
      <c r="N28" s="116" t="s">
        <v>225</v>
      </c>
      <c r="O28" s="116" t="s">
        <v>225</v>
      </c>
      <c r="P28" s="116" t="s">
        <v>226</v>
      </c>
      <c r="Q28" s="57"/>
      <c r="R28" s="116" t="s">
        <v>225</v>
      </c>
      <c r="S28" s="116" t="s">
        <v>225</v>
      </c>
      <c r="T28" s="116" t="s">
        <v>225</v>
      </c>
      <c r="U28" s="116" t="s">
        <v>225</v>
      </c>
      <c r="V28" s="117" t="s">
        <v>225</v>
      </c>
      <c r="W28" s="51"/>
    </row>
    <row r="29" spans="2:23" ht="20.100000000000001" customHeight="1" x14ac:dyDescent="0.25">
      <c r="B29" s="54" t="e">
        <f>IF('Conductor-Guarda-Azafata'!#REF!="","",'Conductor-Guarda-Azafata'!#REF!)</f>
        <v>#REF!</v>
      </c>
      <c r="C29" s="71" t="e">
        <f>IF($B29="","",VLOOKUP($B29,'Conductor-Guarda-Azafata'!$B$8:$AN$271,2))</f>
        <v>#REF!</v>
      </c>
      <c r="D29" s="72">
        <v>43195</v>
      </c>
      <c r="E29" s="73" t="e">
        <f>IF($B29="","",VLOOKUP($B29,'Conductor-Guarda-Azafata'!$B$8:$AN$271,5))</f>
        <v>#REF!</v>
      </c>
      <c r="F29" s="71" t="e">
        <f>IF($B29="","",VLOOKUP($B29,'Conductor-Guarda-Azafata'!$B$8:$AN$271,6))</f>
        <v>#REF!</v>
      </c>
      <c r="G29" s="74" t="e">
        <f>IF($B29="","",VLOOKUP($B29,'Conductor-Guarda-Azafata'!$B$8:$AN$271,7))</f>
        <v>#REF!</v>
      </c>
      <c r="H29" s="74" t="e">
        <f>IF($B29="","",VLOOKUP($B29,'Conductor-Guarda-Azafata'!$B$8:$AN$271,8))</f>
        <v>#REF!</v>
      </c>
      <c r="I29" s="71" t="e">
        <f>IF($B29="","",VLOOKUP($B29,'Conductor-Guarda-Azafata'!$B$8:$AN$271,9))</f>
        <v>#REF!</v>
      </c>
      <c r="J29" s="71" t="e">
        <f>IF($B29="","",VLOOKUP($B29,'Conductor-Guarda-Azafata'!$B$8:$AN$271,10))</f>
        <v>#REF!</v>
      </c>
      <c r="K29" s="71"/>
      <c r="L29" s="71" t="e">
        <f>IF($B29="","",VLOOKUP($B29,'Conductor-Guarda-Azafata'!$B$8:$AN$271,24))</f>
        <v>#REF!</v>
      </c>
      <c r="M29" s="115" t="s">
        <v>225</v>
      </c>
      <c r="N29" s="116" t="s">
        <v>225</v>
      </c>
      <c r="O29" s="116" t="s">
        <v>225</v>
      </c>
      <c r="P29" s="116" t="s">
        <v>226</v>
      </c>
      <c r="Q29" s="57"/>
      <c r="R29" s="116" t="s">
        <v>225</v>
      </c>
      <c r="S29" s="116" t="s">
        <v>225</v>
      </c>
      <c r="T29" s="116" t="s">
        <v>225</v>
      </c>
      <c r="U29" s="116" t="s">
        <v>225</v>
      </c>
      <c r="V29" s="117" t="s">
        <v>225</v>
      </c>
      <c r="W29" s="51"/>
    </row>
    <row r="30" spans="2:23" ht="20.100000000000001" customHeight="1" x14ac:dyDescent="0.25">
      <c r="B30" s="54">
        <v>918</v>
      </c>
      <c r="C30" s="71" t="s">
        <v>264</v>
      </c>
      <c r="D30" s="72">
        <v>43203</v>
      </c>
      <c r="E30" s="73">
        <v>62</v>
      </c>
      <c r="F30" s="71" t="s">
        <v>224</v>
      </c>
      <c r="G30" s="74">
        <v>0.54166666666666663</v>
      </c>
      <c r="H30" s="74">
        <v>0.5493055555555556</v>
      </c>
      <c r="I30" s="71" t="e">
        <f>IF($B30="","",VLOOKUP($B30,'Conductor-Guarda-Azafata'!$B$8:$AN$271,9))</f>
        <v>#N/A</v>
      </c>
      <c r="J30" s="71" t="e">
        <f>IF($B30="","",VLOOKUP($B30,'Conductor-Guarda-Azafata'!$B$8:$AN$271,10))</f>
        <v>#N/A</v>
      </c>
      <c r="K30" s="71"/>
      <c r="L30" s="71" t="e">
        <f>IF($B30="","",VLOOKUP($B30,'Conductor-Guarda-Azafata'!$B$8:$AN$271,24))</f>
        <v>#N/A</v>
      </c>
      <c r="M30" s="115" t="s">
        <v>226</v>
      </c>
      <c r="N30" s="116" t="s">
        <v>225</v>
      </c>
      <c r="O30" s="116" t="s">
        <v>226</v>
      </c>
      <c r="P30" s="116" t="s">
        <v>226</v>
      </c>
      <c r="Q30" s="57"/>
      <c r="R30" s="116" t="s">
        <v>225</v>
      </c>
      <c r="S30" s="116" t="s">
        <v>225</v>
      </c>
      <c r="T30" s="116" t="s">
        <v>225</v>
      </c>
      <c r="U30" s="116" t="s">
        <v>225</v>
      </c>
      <c r="V30" s="117" t="s">
        <v>225</v>
      </c>
      <c r="W30" s="51"/>
    </row>
    <row r="31" spans="2:23" ht="20.100000000000001" customHeight="1" x14ac:dyDescent="0.25">
      <c r="B31" s="54">
        <v>1000</v>
      </c>
      <c r="C31" s="71" t="s">
        <v>265</v>
      </c>
      <c r="D31" s="72">
        <v>43222</v>
      </c>
      <c r="E31" s="73">
        <v>48</v>
      </c>
      <c r="F31" s="71" t="s">
        <v>224</v>
      </c>
      <c r="G31" s="74" t="e">
        <f>IF($B31="","",VLOOKUP($B31,'Conductor-Guarda-Azafata'!$B$8:$AN$271,7))</f>
        <v>#N/A</v>
      </c>
      <c r="H31" s="74" t="e">
        <f>IF($B31="","",VLOOKUP($B31,'Conductor-Guarda-Azafata'!$B$8:$AN$271,8))</f>
        <v>#N/A</v>
      </c>
      <c r="I31" s="71" t="e">
        <f>IF($B31="","",VLOOKUP($B31,'Conductor-Guarda-Azafata'!$B$8:$AN$271,9))</f>
        <v>#N/A</v>
      </c>
      <c r="J31" s="71" t="e">
        <f>IF($B31="","",VLOOKUP($B31,'Conductor-Guarda-Azafata'!$B$8:$AN$271,10))</f>
        <v>#N/A</v>
      </c>
      <c r="K31" s="71"/>
      <c r="L31" s="71" t="e">
        <f>IF($B31="","",VLOOKUP($B31,'Conductor-Guarda-Azafata'!$B$8:$AN$271,24))</f>
        <v>#N/A</v>
      </c>
      <c r="M31" s="115" t="s">
        <v>225</v>
      </c>
      <c r="N31" s="116" t="s">
        <v>225</v>
      </c>
      <c r="O31" s="116" t="s">
        <v>225</v>
      </c>
      <c r="P31" s="116" t="s">
        <v>226</v>
      </c>
      <c r="Q31" s="57"/>
      <c r="R31" s="116" t="s">
        <v>225</v>
      </c>
      <c r="S31" s="116" t="s">
        <v>225</v>
      </c>
      <c r="T31" s="116" t="s">
        <v>225</v>
      </c>
      <c r="U31" s="116" t="s">
        <v>225</v>
      </c>
      <c r="V31" s="117" t="s">
        <v>225</v>
      </c>
      <c r="W31" s="51"/>
    </row>
    <row r="32" spans="2:23" ht="20.100000000000001" customHeight="1" x14ac:dyDescent="0.25">
      <c r="B32" s="54">
        <v>1001</v>
      </c>
      <c r="C32" s="71" t="s">
        <v>265</v>
      </c>
      <c r="D32" s="72">
        <v>43222</v>
      </c>
      <c r="E32" s="73">
        <v>46</v>
      </c>
      <c r="F32" s="71" t="s">
        <v>227</v>
      </c>
      <c r="G32" s="74" t="e">
        <f>IF($B32="","",VLOOKUP($B32,'Conductor-Guarda-Azafata'!$B$8:$AN$271,7))</f>
        <v>#N/A</v>
      </c>
      <c r="H32" s="74" t="e">
        <f>IF($B32="","",VLOOKUP($B32,'Conductor-Guarda-Azafata'!$B$8:$AN$271,8))</f>
        <v>#N/A</v>
      </c>
      <c r="I32" s="71" t="e">
        <f>IF($B32="","",VLOOKUP($B32,'Conductor-Guarda-Azafata'!$B$8:$AN$271,9))</f>
        <v>#N/A</v>
      </c>
      <c r="J32" s="71" t="e">
        <f>IF($B32="","",VLOOKUP($B32,'Conductor-Guarda-Azafata'!$B$8:$AN$271,10))</f>
        <v>#N/A</v>
      </c>
      <c r="K32" s="71"/>
      <c r="L32" s="71" t="e">
        <f>IF($B32="","",VLOOKUP($B32,'Conductor-Guarda-Azafata'!$B$8:$AN$271,24))</f>
        <v>#N/A</v>
      </c>
      <c r="M32" s="115" t="s">
        <v>225</v>
      </c>
      <c r="N32" s="116" t="s">
        <v>225</v>
      </c>
      <c r="O32" s="116" t="s">
        <v>225</v>
      </c>
      <c r="P32" s="116" t="s">
        <v>226</v>
      </c>
      <c r="Q32" s="57"/>
      <c r="R32" s="116" t="s">
        <v>225</v>
      </c>
      <c r="S32" s="116" t="s">
        <v>225</v>
      </c>
      <c r="T32" s="116" t="s">
        <v>225</v>
      </c>
      <c r="U32" s="116" t="s">
        <v>225</v>
      </c>
      <c r="V32" s="117" t="s">
        <v>225</v>
      </c>
      <c r="W32" s="51"/>
    </row>
    <row r="33" spans="2:23" ht="20.100000000000001" customHeight="1" x14ac:dyDescent="0.25">
      <c r="B33" s="54">
        <v>1030</v>
      </c>
      <c r="C33" s="71" t="s">
        <v>265</v>
      </c>
      <c r="D33" s="72">
        <v>43241</v>
      </c>
      <c r="E33" s="73">
        <v>47</v>
      </c>
      <c r="F33" s="71" t="s">
        <v>224</v>
      </c>
      <c r="G33" s="74">
        <v>0.29166666666666669</v>
      </c>
      <c r="H33" s="74">
        <v>0.29375000000000001</v>
      </c>
      <c r="I33" s="71" t="e">
        <f>IF($B33="","",VLOOKUP($B33,'Conductor-Guarda-Azafata'!$B$8:$AN$271,9))</f>
        <v>#N/A</v>
      </c>
      <c r="J33" s="71" t="e">
        <f>IF($B33="","",VLOOKUP($B33,'Conductor-Guarda-Azafata'!$B$8:$AN$271,10))</f>
        <v>#N/A</v>
      </c>
      <c r="K33" s="71"/>
      <c r="L33" s="71" t="e">
        <f>IF($B33="","",VLOOKUP($B33,'Conductor-Guarda-Azafata'!$B$8:$AN$271,24))</f>
        <v>#N/A</v>
      </c>
      <c r="M33" s="55" t="s">
        <v>225</v>
      </c>
      <c r="N33" s="56" t="s">
        <v>225</v>
      </c>
      <c r="O33" s="56" t="s">
        <v>225</v>
      </c>
      <c r="P33" s="56" t="s">
        <v>226</v>
      </c>
      <c r="Q33" s="57"/>
      <c r="R33" s="56" t="s">
        <v>225</v>
      </c>
      <c r="S33" s="56" t="s">
        <v>225</v>
      </c>
      <c r="T33" s="56" t="s">
        <v>225</v>
      </c>
      <c r="U33" s="56" t="s">
        <v>225</v>
      </c>
      <c r="V33" s="58" t="s">
        <v>225</v>
      </c>
      <c r="W33" s="51"/>
    </row>
    <row r="34" spans="2:23" ht="20.100000000000001" customHeight="1" x14ac:dyDescent="0.25">
      <c r="B34" s="54">
        <v>1103</v>
      </c>
      <c r="C34" s="71" t="s">
        <v>264</v>
      </c>
      <c r="D34" s="72">
        <v>43280</v>
      </c>
      <c r="E34" s="73">
        <v>43</v>
      </c>
      <c r="F34" s="71" t="s">
        <v>227</v>
      </c>
      <c r="G34" s="74">
        <v>0.84375</v>
      </c>
      <c r="H34" s="74">
        <v>0.84444444444444444</v>
      </c>
      <c r="I34" s="71" t="e">
        <f>IF($B34="","",VLOOKUP($B34,'Conductor-Guarda-Azafata'!$B$8:$AN$271,9))</f>
        <v>#N/A</v>
      </c>
      <c r="J34" s="71" t="e">
        <f>IF($B34="","",VLOOKUP($B34,'Conductor-Guarda-Azafata'!$B$8:$AN$271,10))</f>
        <v>#N/A</v>
      </c>
      <c r="K34" s="71"/>
      <c r="L34" s="71" t="e">
        <f>IF($B34="","",VLOOKUP($B34,'Conductor-Guarda-Azafata'!$B$8:$AN$271,24))</f>
        <v>#N/A</v>
      </c>
      <c r="M34" s="115" t="s">
        <v>225</v>
      </c>
      <c r="N34" s="116" t="s">
        <v>225</v>
      </c>
      <c r="O34" s="116" t="s">
        <v>225</v>
      </c>
      <c r="P34" s="116" t="s">
        <v>226</v>
      </c>
      <c r="Q34" s="57"/>
      <c r="R34" s="116" t="s">
        <v>225</v>
      </c>
      <c r="S34" s="116" t="s">
        <v>225</v>
      </c>
      <c r="T34" s="116" t="s">
        <v>225</v>
      </c>
      <c r="U34" s="116" t="s">
        <v>225</v>
      </c>
      <c r="V34" s="117" t="s">
        <v>225</v>
      </c>
      <c r="W34" s="51"/>
    </row>
    <row r="35" spans="2:23" ht="20.100000000000001" customHeight="1" x14ac:dyDescent="0.25">
      <c r="B35" s="54">
        <v>1105</v>
      </c>
      <c r="C35" s="71" t="s">
        <v>246</v>
      </c>
      <c r="D35" s="72">
        <v>43280</v>
      </c>
      <c r="E35" s="73">
        <v>47</v>
      </c>
      <c r="F35" s="71" t="s">
        <v>227</v>
      </c>
      <c r="G35" s="74">
        <v>0.625</v>
      </c>
      <c r="H35" s="74">
        <v>0.62569444444444444</v>
      </c>
      <c r="I35" s="71" t="e">
        <f>IF($B35="","",VLOOKUP($B35,'Conductor-Guarda-Azafata'!$B$8:$AN$271,9))</f>
        <v>#N/A</v>
      </c>
      <c r="J35" s="71" t="e">
        <f>IF($B35="","",VLOOKUP($B35,'Conductor-Guarda-Azafata'!$B$8:$AN$271,10))</f>
        <v>#N/A</v>
      </c>
      <c r="K35" s="71"/>
      <c r="L35" s="71" t="e">
        <f>IF($B35="","",VLOOKUP($B35,'Conductor-Guarda-Azafata'!$B$8:$AN$271,24))</f>
        <v>#N/A</v>
      </c>
      <c r="M35" s="115" t="s">
        <v>225</v>
      </c>
      <c r="N35" s="116" t="s">
        <v>225</v>
      </c>
      <c r="O35" s="116" t="s">
        <v>225</v>
      </c>
      <c r="P35" s="116" t="s">
        <v>226</v>
      </c>
      <c r="Q35" s="57"/>
      <c r="R35" s="116" t="s">
        <v>225</v>
      </c>
      <c r="S35" s="116" t="s">
        <v>225</v>
      </c>
      <c r="T35" s="116" t="s">
        <v>225</v>
      </c>
      <c r="U35" s="116" t="s">
        <v>225</v>
      </c>
      <c r="V35" s="117" t="s">
        <v>225</v>
      </c>
      <c r="W35" s="51"/>
    </row>
    <row r="36" spans="2:23" ht="20.100000000000001" customHeight="1" x14ac:dyDescent="0.25">
      <c r="B36" s="54">
        <v>1561</v>
      </c>
      <c r="C36" s="54" t="s">
        <v>246</v>
      </c>
      <c r="D36" s="136">
        <v>43308</v>
      </c>
      <c r="E36" s="73">
        <v>42</v>
      </c>
      <c r="F36" s="71" t="s">
        <v>227</v>
      </c>
      <c r="G36" s="74">
        <v>0.84375</v>
      </c>
      <c r="H36" s="74">
        <v>0.84583333333333333</v>
      </c>
      <c r="I36" s="71"/>
      <c r="J36" s="71" t="e">
        <f>IF($B36="","",VLOOKUP($B36,'Conductor-Guarda-Azafata'!$B$8:$AN$271,10))</f>
        <v>#N/A</v>
      </c>
      <c r="K36" s="71"/>
      <c r="L36" s="71" t="e">
        <f>IF($B36="","",VLOOKUP($B36,'Conductor-Guarda-Azafata'!$B$8:$AN$271,24))</f>
        <v>#N/A</v>
      </c>
      <c r="M36" s="115" t="s">
        <v>225</v>
      </c>
      <c r="N36" s="116" t="s">
        <v>225</v>
      </c>
      <c r="O36" s="116" t="s">
        <v>225</v>
      </c>
      <c r="P36" s="116" t="s">
        <v>226</v>
      </c>
      <c r="Q36" s="57"/>
      <c r="R36" s="116" t="s">
        <v>225</v>
      </c>
      <c r="S36" s="116" t="s">
        <v>225</v>
      </c>
      <c r="T36" s="116" t="s">
        <v>225</v>
      </c>
      <c r="U36" s="116" t="s">
        <v>225</v>
      </c>
      <c r="V36" s="117" t="s">
        <v>225</v>
      </c>
      <c r="W36" s="51"/>
    </row>
    <row r="37" spans="2:23" ht="20.100000000000001" customHeight="1" x14ac:dyDescent="0.25">
      <c r="B37" s="54">
        <v>1562</v>
      </c>
      <c r="C37" s="54" t="s">
        <v>264</v>
      </c>
      <c r="D37" s="136">
        <v>43309</v>
      </c>
      <c r="E37" s="73">
        <v>61</v>
      </c>
      <c r="F37" s="71" t="e">
        <f>IF($B37="","",VLOOKUP($B37,'Conductor-Guarda-Azafata'!$B$8:$AN$271,6))</f>
        <v>#N/A</v>
      </c>
      <c r="G37" s="74" t="e">
        <f>IF($B37="","",VLOOKUP($B37,'Conductor-Guarda-Azafata'!$B$8:$AN$271,7))</f>
        <v>#N/A</v>
      </c>
      <c r="H37" s="74" t="e">
        <f>IF($B37="","",VLOOKUP($B37,'Conductor-Guarda-Azafata'!$B$8:$AN$271,8))</f>
        <v>#N/A</v>
      </c>
      <c r="I37" s="71"/>
      <c r="J37" s="71" t="e">
        <f>IF($B37="","",VLOOKUP($B37,'Conductor-Guarda-Azafata'!$B$8:$AN$271,10))</f>
        <v>#N/A</v>
      </c>
      <c r="K37" s="71"/>
      <c r="L37" s="71"/>
      <c r="M37" s="115" t="s">
        <v>225</v>
      </c>
      <c r="N37" s="116" t="s">
        <v>225</v>
      </c>
      <c r="O37" s="116" t="s">
        <v>225</v>
      </c>
      <c r="P37" s="116" t="s">
        <v>226</v>
      </c>
      <c r="Q37" s="57"/>
      <c r="R37" s="116" t="s">
        <v>225</v>
      </c>
      <c r="S37" s="116" t="s">
        <v>225</v>
      </c>
      <c r="T37" s="116" t="s">
        <v>225</v>
      </c>
      <c r="U37" s="116" t="s">
        <v>225</v>
      </c>
      <c r="V37" s="117" t="s">
        <v>225</v>
      </c>
      <c r="W37" s="51"/>
    </row>
    <row r="38" spans="2:23" ht="20.100000000000001" customHeight="1" x14ac:dyDescent="0.25">
      <c r="B38" s="54">
        <f>'Conductor-Guarda-Azafata'!B9</f>
        <v>0</v>
      </c>
      <c r="C38" s="54">
        <f>'Conductor-Guarda-Azafata'!C9</f>
        <v>0</v>
      </c>
      <c r="D38" s="136">
        <f>'Conductor-Guarda-Azafata'!E9</f>
        <v>0</v>
      </c>
      <c r="E38" s="73">
        <f>'Conductor-Guarda-Azafata'!F9</f>
        <v>0</v>
      </c>
      <c r="F38" s="71" t="e">
        <f>IF($B38="","",VLOOKUP($B38,'Conductor-Guarda-Azafata'!$B$8:$AN$271,6))</f>
        <v>#N/A</v>
      </c>
      <c r="G38" s="74" t="e">
        <f>IF($B38="","",VLOOKUP($B38,'Conductor-Guarda-Azafata'!$B$8:$AN$271,7))</f>
        <v>#N/A</v>
      </c>
      <c r="H38" s="74" t="e">
        <f>IF($B38="","",VLOOKUP($B38,'Conductor-Guarda-Azafata'!$B$8:$AN$271,8))</f>
        <v>#N/A</v>
      </c>
      <c r="I38" s="71"/>
      <c r="J38" s="71" t="e">
        <f>IF($B38="","",VLOOKUP($B38,'Conductor-Guarda-Azafata'!$B$8:$AN$271,10))</f>
        <v>#N/A</v>
      </c>
      <c r="K38" s="71"/>
      <c r="L38" s="71" t="e">
        <f>IF($B38="","",VLOOKUP($B38,'Conductor-Guarda-Azafata'!$B$8:$AN$271,24))</f>
        <v>#N/A</v>
      </c>
      <c r="M38" s="115" t="s">
        <v>225</v>
      </c>
      <c r="N38" s="116" t="s">
        <v>225</v>
      </c>
      <c r="O38" s="116" t="s">
        <v>225</v>
      </c>
      <c r="P38" s="116" t="s">
        <v>226</v>
      </c>
      <c r="Q38" s="57"/>
      <c r="R38" s="116" t="s">
        <v>225</v>
      </c>
      <c r="S38" s="116" t="s">
        <v>225</v>
      </c>
      <c r="T38" s="116" t="s">
        <v>225</v>
      </c>
      <c r="U38" s="116" t="s">
        <v>225</v>
      </c>
      <c r="V38" s="117" t="s">
        <v>225</v>
      </c>
      <c r="W38" s="51"/>
    </row>
    <row r="39" spans="2:23" ht="20.100000000000001" customHeight="1" x14ac:dyDescent="0.25">
      <c r="B39" s="54">
        <f>'Conductor-Guarda-Azafata'!B10</f>
        <v>0</v>
      </c>
      <c r="C39" s="54">
        <f>'Conductor-Guarda-Azafata'!C10</f>
        <v>0</v>
      </c>
      <c r="D39" s="136">
        <f>'Conductor-Guarda-Azafata'!E10</f>
        <v>0</v>
      </c>
      <c r="E39" s="73">
        <f>'Conductor-Guarda-Azafata'!F10</f>
        <v>0</v>
      </c>
      <c r="F39" s="71" t="e">
        <f>IF($B39="","",VLOOKUP($B39,'Conductor-Guarda-Azafata'!$B$8:$AN$271,6))</f>
        <v>#N/A</v>
      </c>
      <c r="G39" s="74" t="e">
        <f>IF($B39="","",VLOOKUP($B39,'Conductor-Guarda-Azafata'!$B$8:$AN$271,7))</f>
        <v>#N/A</v>
      </c>
      <c r="H39" s="74" t="e">
        <f>IF($B39="","",VLOOKUP($B39,'Conductor-Guarda-Azafata'!$B$8:$AN$271,8))</f>
        <v>#N/A</v>
      </c>
      <c r="I39" s="71"/>
      <c r="J39" s="71" t="e">
        <f>IF($B39="","",VLOOKUP($B39,'Conductor-Guarda-Azafata'!$B$8:$AN$271,10))</f>
        <v>#N/A</v>
      </c>
      <c r="K39" s="71"/>
      <c r="L39" s="71" t="e">
        <f>IF($B39="","",VLOOKUP($B39,'Conductor-Guarda-Azafata'!$B$8:$AN$271,24))</f>
        <v>#N/A</v>
      </c>
      <c r="M39" s="115" t="s">
        <v>225</v>
      </c>
      <c r="N39" s="116" t="s">
        <v>225</v>
      </c>
      <c r="O39" s="116" t="s">
        <v>225</v>
      </c>
      <c r="P39" s="116" t="s">
        <v>226</v>
      </c>
      <c r="Q39" s="57"/>
      <c r="R39" s="116" t="s">
        <v>225</v>
      </c>
      <c r="S39" s="116" t="s">
        <v>225</v>
      </c>
      <c r="T39" s="116" t="s">
        <v>225</v>
      </c>
      <c r="U39" s="116" t="s">
        <v>225</v>
      </c>
      <c r="V39" s="117" t="s">
        <v>225</v>
      </c>
      <c r="W39" s="51"/>
    </row>
    <row r="40" spans="2:23" ht="20.100000000000001" customHeight="1" x14ac:dyDescent="0.25">
      <c r="B40" s="54">
        <f>'Conductor-Guarda-Azafata'!B11</f>
        <v>0</v>
      </c>
      <c r="C40" s="54">
        <f>'Conductor-Guarda-Azafata'!C11</f>
        <v>0</v>
      </c>
      <c r="D40" s="136">
        <f>'Conductor-Guarda-Azafata'!E11</f>
        <v>0</v>
      </c>
      <c r="E40" s="73">
        <f>'Conductor-Guarda-Azafata'!F11</f>
        <v>0</v>
      </c>
      <c r="F40" s="71" t="e">
        <f>IF($B40="","",VLOOKUP($B40,'Conductor-Guarda-Azafata'!$B$8:$AN$271,6))</f>
        <v>#N/A</v>
      </c>
      <c r="G40" s="74" t="e">
        <f>IF($B40="","",VLOOKUP($B40,'Conductor-Guarda-Azafata'!$B$8:$AN$271,7))</f>
        <v>#N/A</v>
      </c>
      <c r="H40" s="74" t="e">
        <f>IF($B40="","",VLOOKUP($B40,'Conductor-Guarda-Azafata'!$B$8:$AN$271,8))</f>
        <v>#N/A</v>
      </c>
      <c r="I40" s="71"/>
      <c r="J40" s="71" t="e">
        <f>IF($B40="","",VLOOKUP($B40,'Conductor-Guarda-Azafata'!$B$8:$AN$271,10))</f>
        <v>#N/A</v>
      </c>
      <c r="K40" s="71"/>
      <c r="L40" s="71" t="e">
        <f>IF($B40="","",VLOOKUP($B40,'Conductor-Guarda-Azafata'!$B$8:$AN$271,24))</f>
        <v>#N/A</v>
      </c>
      <c r="M40" s="115" t="s">
        <v>225</v>
      </c>
      <c r="N40" s="116" t="s">
        <v>225</v>
      </c>
      <c r="O40" s="116" t="s">
        <v>225</v>
      </c>
      <c r="P40" s="116" t="s">
        <v>225</v>
      </c>
      <c r="Q40" s="57">
        <v>3</v>
      </c>
      <c r="R40" s="116" t="s">
        <v>225</v>
      </c>
      <c r="S40" s="116" t="s">
        <v>225</v>
      </c>
      <c r="T40" s="116" t="s">
        <v>225</v>
      </c>
      <c r="U40" s="116" t="s">
        <v>225</v>
      </c>
      <c r="V40" s="117" t="s">
        <v>225</v>
      </c>
      <c r="W40" s="51"/>
    </row>
    <row r="41" spans="2:23" ht="20.100000000000001" customHeight="1" x14ac:dyDescent="0.25">
      <c r="B41" s="54">
        <f>'Conductor-Guarda-Azafata'!B12</f>
        <v>0</v>
      </c>
      <c r="C41" s="54">
        <f>'Conductor-Guarda-Azafata'!C12</f>
        <v>0</v>
      </c>
      <c r="D41" s="136">
        <f>'Conductor-Guarda-Azafata'!E12</f>
        <v>0</v>
      </c>
      <c r="E41" s="73">
        <f>'Conductor-Guarda-Azafata'!F12</f>
        <v>0</v>
      </c>
      <c r="F41" s="71" t="e">
        <f>IF($B41="","",VLOOKUP($B41,'Conductor-Guarda-Azafata'!$B$8:$AN$271,6))</f>
        <v>#N/A</v>
      </c>
      <c r="G41" s="74" t="e">
        <f>IF($B41="","",VLOOKUP($B41,'Conductor-Guarda-Azafata'!$B$8:$AN$271,7))</f>
        <v>#N/A</v>
      </c>
      <c r="H41" s="74" t="e">
        <f>IF($B41="","",VLOOKUP($B41,'Conductor-Guarda-Azafata'!$B$8:$AN$271,8))</f>
        <v>#N/A</v>
      </c>
      <c r="I41" s="71"/>
      <c r="J41" s="71" t="e">
        <f>IF($B41="","",VLOOKUP($B41,'Conductor-Guarda-Azafata'!$B$8:$AN$271,10))</f>
        <v>#N/A</v>
      </c>
      <c r="K41" s="71"/>
      <c r="L41" s="71" t="e">
        <f>IF($B41="","",VLOOKUP($B41,'Conductor-Guarda-Azafata'!$B$8:$AN$271,24))</f>
        <v>#N/A</v>
      </c>
      <c r="M41" s="115" t="s">
        <v>225</v>
      </c>
      <c r="N41" s="116" t="s">
        <v>225</v>
      </c>
      <c r="O41" s="116" t="s">
        <v>225</v>
      </c>
      <c r="P41" s="116" t="s">
        <v>226</v>
      </c>
      <c r="Q41" s="57"/>
      <c r="R41" s="116" t="s">
        <v>225</v>
      </c>
      <c r="S41" s="116" t="s">
        <v>225</v>
      </c>
      <c r="T41" s="116" t="s">
        <v>225</v>
      </c>
      <c r="U41" s="116" t="s">
        <v>225</v>
      </c>
      <c r="V41" s="117" t="s">
        <v>225</v>
      </c>
      <c r="W41" s="51"/>
    </row>
    <row r="42" spans="2:23" ht="20.100000000000001" customHeight="1" x14ac:dyDescent="0.25">
      <c r="B42" s="54">
        <f>'Conductor-Guarda-Azafata'!B13</f>
        <v>0</v>
      </c>
      <c r="C42" s="54">
        <f>'Conductor-Guarda-Azafata'!C13</f>
        <v>0</v>
      </c>
      <c r="D42" s="136">
        <f>'Conductor-Guarda-Azafata'!E13</f>
        <v>0</v>
      </c>
      <c r="E42" s="73">
        <f>'Conductor-Guarda-Azafata'!F13</f>
        <v>0</v>
      </c>
      <c r="F42" s="71" t="e">
        <f>IF($B42="","",VLOOKUP($B42,'Conductor-Guarda-Azafata'!$B$8:$AN$271,6))</f>
        <v>#N/A</v>
      </c>
      <c r="G42" s="74" t="e">
        <f>IF($B42="","",VLOOKUP($B42,'Conductor-Guarda-Azafata'!$B$8:$AN$271,7))</f>
        <v>#N/A</v>
      </c>
      <c r="H42" s="74" t="e">
        <f>IF($B42="","",VLOOKUP($B42,'Conductor-Guarda-Azafata'!$B$8:$AN$271,8))</f>
        <v>#N/A</v>
      </c>
      <c r="I42" s="71"/>
      <c r="J42" s="71" t="e">
        <f>IF($B42="","",VLOOKUP($B42,'Conductor-Guarda-Azafata'!$B$8:$AN$271,10))</f>
        <v>#N/A</v>
      </c>
      <c r="K42" s="71"/>
      <c r="L42" s="71" t="e">
        <f>IF($B42="","",VLOOKUP($B42,'Conductor-Guarda-Azafata'!$B$8:$AN$271,24))</f>
        <v>#N/A</v>
      </c>
      <c r="M42" s="115" t="s">
        <v>225</v>
      </c>
      <c r="N42" s="116" t="s">
        <v>225</v>
      </c>
      <c r="O42" s="116" t="s">
        <v>225</v>
      </c>
      <c r="P42" s="116" t="s">
        <v>226</v>
      </c>
      <c r="Q42" s="57"/>
      <c r="R42" s="116" t="s">
        <v>225</v>
      </c>
      <c r="S42" s="116" t="s">
        <v>225</v>
      </c>
      <c r="T42" s="116" t="s">
        <v>225</v>
      </c>
      <c r="U42" s="116" t="s">
        <v>225</v>
      </c>
      <c r="V42" s="117" t="s">
        <v>225</v>
      </c>
      <c r="W42" s="51"/>
    </row>
    <row r="43" spans="2:23" ht="20.100000000000001" customHeight="1" x14ac:dyDescent="0.25">
      <c r="B43" s="54">
        <f>'Conductor-Guarda-Azafata'!B14</f>
        <v>0</v>
      </c>
      <c r="C43" s="54">
        <f>'Conductor-Guarda-Azafata'!C14</f>
        <v>0</v>
      </c>
      <c r="D43" s="136">
        <f>'Conductor-Guarda-Azafata'!E14</f>
        <v>0</v>
      </c>
      <c r="E43" s="73">
        <f>'Conductor-Guarda-Azafata'!F14</f>
        <v>0</v>
      </c>
      <c r="F43" s="71" t="e">
        <f>IF($B43="","",VLOOKUP($B43,'Conductor-Guarda-Azafata'!$B$8:$AN$271,6))</f>
        <v>#N/A</v>
      </c>
      <c r="G43" s="74" t="e">
        <f>IF($B43="","",VLOOKUP($B43,'Conductor-Guarda-Azafata'!$B$8:$AN$271,7))</f>
        <v>#N/A</v>
      </c>
      <c r="H43" s="74" t="e">
        <f>IF($B43="","",VLOOKUP($B43,'Conductor-Guarda-Azafata'!$B$8:$AN$271,8))</f>
        <v>#N/A</v>
      </c>
      <c r="I43" s="71"/>
      <c r="J43" s="71" t="e">
        <f>IF($B43="","",VLOOKUP($B43,'Conductor-Guarda-Azafata'!$B$8:$AN$271,10))</f>
        <v>#N/A</v>
      </c>
      <c r="K43" s="71"/>
      <c r="L43" s="71" t="e">
        <f>IF($B43="","",VLOOKUP($B43,'Conductor-Guarda-Azafata'!$B$8:$AN$271,24))</f>
        <v>#N/A</v>
      </c>
      <c r="M43" s="115" t="s">
        <v>225</v>
      </c>
      <c r="N43" s="116" t="s">
        <v>225</v>
      </c>
      <c r="O43" s="116" t="s">
        <v>225</v>
      </c>
      <c r="P43" s="116" t="s">
        <v>226</v>
      </c>
      <c r="Q43" s="57"/>
      <c r="R43" s="116" t="s">
        <v>225</v>
      </c>
      <c r="S43" s="116" t="s">
        <v>225</v>
      </c>
      <c r="T43" s="116" t="s">
        <v>225</v>
      </c>
      <c r="U43" s="116" t="s">
        <v>225</v>
      </c>
      <c r="V43" s="117" t="s">
        <v>225</v>
      </c>
      <c r="W43" s="51"/>
    </row>
    <row r="44" spans="2:23" ht="20.100000000000001" customHeight="1" x14ac:dyDescent="0.25">
      <c r="B44" s="54">
        <f>'Conductor-Guarda-Azafata'!B15</f>
        <v>0</v>
      </c>
      <c r="C44" s="54">
        <f>'Conductor-Guarda-Azafata'!C15</f>
        <v>0</v>
      </c>
      <c r="D44" s="136">
        <f>'Conductor-Guarda-Azafata'!E15</f>
        <v>0</v>
      </c>
      <c r="E44" s="73">
        <f>'Conductor-Guarda-Azafata'!F15</f>
        <v>0</v>
      </c>
      <c r="F44" s="71" t="e">
        <f>IF($B44="","",VLOOKUP($B44,'Conductor-Guarda-Azafata'!$B$8:$AN$271,6))</f>
        <v>#N/A</v>
      </c>
      <c r="G44" s="74" t="e">
        <f>IF($B44="","",VLOOKUP($B44,'Conductor-Guarda-Azafata'!$B$8:$AN$271,7))</f>
        <v>#N/A</v>
      </c>
      <c r="H44" s="74" t="e">
        <f>IF($B44="","",VLOOKUP($B44,'Conductor-Guarda-Azafata'!$B$8:$AN$271,8))</f>
        <v>#N/A</v>
      </c>
      <c r="I44" s="71"/>
      <c r="J44" s="71" t="e">
        <f>IF($B44="","",VLOOKUP($B44,'Conductor-Guarda-Azafata'!$B$8:$AN$271,10))</f>
        <v>#N/A</v>
      </c>
      <c r="K44" s="71"/>
      <c r="L44" s="71" t="e">
        <f>IF($B44="","",VLOOKUP($B44,'Conductor-Guarda-Azafata'!$B$8:$AN$271,24))</f>
        <v>#N/A</v>
      </c>
      <c r="M44" s="115" t="s">
        <v>225</v>
      </c>
      <c r="N44" s="116" t="s">
        <v>225</v>
      </c>
      <c r="O44" s="116" t="s">
        <v>225</v>
      </c>
      <c r="P44" s="116" t="s">
        <v>226</v>
      </c>
      <c r="Q44" s="57"/>
      <c r="R44" s="116" t="s">
        <v>225</v>
      </c>
      <c r="S44" s="116" t="s">
        <v>225</v>
      </c>
      <c r="T44" s="116" t="s">
        <v>225</v>
      </c>
      <c r="U44" s="116" t="s">
        <v>225</v>
      </c>
      <c r="V44" s="117" t="s">
        <v>225</v>
      </c>
      <c r="W44" s="51"/>
    </row>
    <row r="45" spans="2:23" ht="20.100000000000001" customHeight="1" x14ac:dyDescent="0.25">
      <c r="B45" s="54">
        <f>'Conductor-Guarda-Azafata'!B16</f>
        <v>0</v>
      </c>
      <c r="C45" s="54">
        <f>'Conductor-Guarda-Azafata'!C16</f>
        <v>0</v>
      </c>
      <c r="D45" s="136">
        <f>'Conductor-Guarda-Azafata'!E16</f>
        <v>0</v>
      </c>
      <c r="E45" s="73">
        <f>'Conductor-Guarda-Azafata'!F16</f>
        <v>0</v>
      </c>
      <c r="F45" s="71" t="e">
        <f>IF($B45="","",VLOOKUP($B45,'Conductor-Guarda-Azafata'!$B$8:$AN$271,6))</f>
        <v>#N/A</v>
      </c>
      <c r="G45" s="74" t="e">
        <f>IF($B45="","",VLOOKUP($B45,'Conductor-Guarda-Azafata'!$B$8:$AN$271,7))</f>
        <v>#N/A</v>
      </c>
      <c r="H45" s="74" t="e">
        <f>IF($B45="","",VLOOKUP($B45,'Conductor-Guarda-Azafata'!$B$8:$AN$271,8))</f>
        <v>#N/A</v>
      </c>
      <c r="I45" s="71"/>
      <c r="J45" s="71" t="e">
        <f>IF($B45="","",VLOOKUP($B45,'Conductor-Guarda-Azafata'!$B$8:$AN$271,10))</f>
        <v>#N/A</v>
      </c>
      <c r="K45" s="71"/>
      <c r="L45" s="71" t="e">
        <f>IF($B45="","",VLOOKUP($B45,'Conductor-Guarda-Azafata'!$B$8:$AN$271,24))</f>
        <v>#N/A</v>
      </c>
      <c r="M45" s="55"/>
      <c r="N45" s="56"/>
      <c r="O45" s="56"/>
      <c r="P45" s="56"/>
      <c r="Q45" s="57"/>
      <c r="R45" s="56"/>
      <c r="S45" s="56"/>
      <c r="T45" s="56"/>
      <c r="U45" s="56"/>
      <c r="V45" s="58"/>
      <c r="W45" s="51"/>
    </row>
    <row r="46" spans="2:23" ht="20.100000000000001" customHeight="1" x14ac:dyDescent="0.25">
      <c r="B46" s="54">
        <f>'Conductor-Guarda-Azafata'!B17</f>
        <v>0</v>
      </c>
      <c r="C46" s="54">
        <f>'Conductor-Guarda-Azafata'!C17</f>
        <v>0</v>
      </c>
      <c r="D46" s="136">
        <f>'Conductor-Guarda-Azafata'!E17</f>
        <v>0</v>
      </c>
      <c r="E46" s="73">
        <f>'Conductor-Guarda-Azafata'!F17</f>
        <v>0</v>
      </c>
      <c r="F46" s="71" t="e">
        <f>IF($B46="","",VLOOKUP($B46,'Conductor-Guarda-Azafata'!$B$8:$AN$271,6))</f>
        <v>#N/A</v>
      </c>
      <c r="G46" s="74" t="e">
        <f>IF($B46="","",VLOOKUP($B46,'Conductor-Guarda-Azafata'!$B$8:$AN$271,7))</f>
        <v>#N/A</v>
      </c>
      <c r="H46" s="74" t="e">
        <f>IF($B46="","",VLOOKUP($B46,'Conductor-Guarda-Azafata'!$B$8:$AN$271,8))</f>
        <v>#N/A</v>
      </c>
      <c r="I46" s="71"/>
      <c r="J46" s="71" t="e">
        <f>IF($B46="","",VLOOKUP($B46,'Conductor-Guarda-Azafata'!$B$8:$AN$271,10))</f>
        <v>#N/A</v>
      </c>
      <c r="K46" s="71"/>
      <c r="L46" s="71" t="e">
        <f>IF($B46="","",VLOOKUP($B46,'Conductor-Guarda-Azafata'!$B$8:$AN$271,24))</f>
        <v>#N/A</v>
      </c>
      <c r="M46" s="115" t="s">
        <v>225</v>
      </c>
      <c r="N46" s="116" t="s">
        <v>225</v>
      </c>
      <c r="O46" s="116" t="s">
        <v>225</v>
      </c>
      <c r="P46" s="116" t="s">
        <v>226</v>
      </c>
      <c r="Q46" s="57"/>
      <c r="R46" s="116" t="s">
        <v>225</v>
      </c>
      <c r="S46" s="116" t="s">
        <v>225</v>
      </c>
      <c r="T46" s="116" t="s">
        <v>225</v>
      </c>
      <c r="U46" s="116" t="s">
        <v>225</v>
      </c>
      <c r="V46" s="117" t="s">
        <v>225</v>
      </c>
      <c r="W46" s="51"/>
    </row>
    <row r="47" spans="2:23" ht="20.100000000000001" customHeight="1" x14ac:dyDescent="0.25">
      <c r="B47" s="54">
        <f>'Conductor-Guarda-Azafata'!B18</f>
        <v>0</v>
      </c>
      <c r="C47" s="54">
        <f>'Conductor-Guarda-Azafata'!C18</f>
        <v>0</v>
      </c>
      <c r="D47" s="136">
        <f>'Conductor-Guarda-Azafata'!E18</f>
        <v>0</v>
      </c>
      <c r="E47" s="73">
        <f>'Conductor-Guarda-Azafata'!F18</f>
        <v>0</v>
      </c>
      <c r="F47" s="71" t="e">
        <f>IF($B47="","",VLOOKUP($B47,'Conductor-Guarda-Azafata'!$B$8:$AN$271,6))</f>
        <v>#N/A</v>
      </c>
      <c r="G47" s="74" t="e">
        <f>IF($B47="","",VLOOKUP($B47,'Conductor-Guarda-Azafata'!$B$8:$AN$271,7))</f>
        <v>#N/A</v>
      </c>
      <c r="H47" s="74" t="e">
        <f>IF($B47="","",VLOOKUP($B47,'Conductor-Guarda-Azafata'!$B$8:$AN$271,8))</f>
        <v>#N/A</v>
      </c>
      <c r="I47" s="71"/>
      <c r="J47" s="71" t="e">
        <f>IF($B47="","",VLOOKUP($B47,'Conductor-Guarda-Azafata'!$B$8:$AN$271,10))</f>
        <v>#N/A</v>
      </c>
      <c r="K47" s="71"/>
      <c r="L47" s="71" t="e">
        <f>IF($B47="","",VLOOKUP($B47,'Conductor-Guarda-Azafata'!$B$8:$AN$271,24))</f>
        <v>#N/A</v>
      </c>
      <c r="M47" s="115" t="s">
        <v>225</v>
      </c>
      <c r="N47" s="116" t="s">
        <v>225</v>
      </c>
      <c r="O47" s="116" t="s">
        <v>225</v>
      </c>
      <c r="P47" s="116" t="s">
        <v>226</v>
      </c>
      <c r="Q47" s="57"/>
      <c r="R47" s="116" t="s">
        <v>225</v>
      </c>
      <c r="S47" s="116" t="s">
        <v>225</v>
      </c>
      <c r="T47" s="116" t="s">
        <v>225</v>
      </c>
      <c r="U47" s="116" t="s">
        <v>225</v>
      </c>
      <c r="V47" s="117" t="s">
        <v>225</v>
      </c>
      <c r="W47" s="51"/>
    </row>
    <row r="48" spans="2:23" ht="20.100000000000001" customHeight="1" x14ac:dyDescent="0.25">
      <c r="B48" s="54">
        <f>'Conductor-Guarda-Azafata'!B19</f>
        <v>0</v>
      </c>
      <c r="C48" s="54">
        <f>'Conductor-Guarda-Azafata'!C19</f>
        <v>0</v>
      </c>
      <c r="D48" s="136">
        <f>'Conductor-Guarda-Azafata'!E19</f>
        <v>0</v>
      </c>
      <c r="E48" s="73">
        <f>'Conductor-Guarda-Azafata'!F19</f>
        <v>0</v>
      </c>
      <c r="F48" s="71" t="e">
        <f>IF($B48="","",VLOOKUP($B48,'Conductor-Guarda-Azafata'!$B$8:$AN$271,6))</f>
        <v>#N/A</v>
      </c>
      <c r="G48" s="74" t="e">
        <f>IF($B48="","",VLOOKUP($B48,'Conductor-Guarda-Azafata'!$B$8:$AN$271,7))</f>
        <v>#N/A</v>
      </c>
      <c r="H48" s="74" t="e">
        <f>IF($B48="","",VLOOKUP($B48,'Conductor-Guarda-Azafata'!$B$8:$AN$271,8))</f>
        <v>#N/A</v>
      </c>
      <c r="I48" s="71"/>
      <c r="J48" s="71" t="e">
        <f>IF($B48="","",VLOOKUP($B48,'Conductor-Guarda-Azafata'!$B$8:$AN$271,10))</f>
        <v>#N/A</v>
      </c>
      <c r="K48" s="71"/>
      <c r="L48" s="71" t="e">
        <f>IF($B48="","",VLOOKUP($B48,'Conductor-Guarda-Azafata'!$B$8:$AN$271,24))</f>
        <v>#N/A</v>
      </c>
      <c r="M48" s="115" t="s">
        <v>225</v>
      </c>
      <c r="N48" s="116" t="s">
        <v>225</v>
      </c>
      <c r="O48" s="116" t="s">
        <v>225</v>
      </c>
      <c r="P48" s="116" t="s">
        <v>226</v>
      </c>
      <c r="Q48" s="57"/>
      <c r="R48" s="116" t="s">
        <v>225</v>
      </c>
      <c r="S48" s="116" t="s">
        <v>225</v>
      </c>
      <c r="T48" s="116" t="s">
        <v>225</v>
      </c>
      <c r="U48" s="116" t="s">
        <v>225</v>
      </c>
      <c r="V48" s="117" t="s">
        <v>225</v>
      </c>
      <c r="W48" s="51"/>
    </row>
    <row r="49" spans="2:23" ht="20.100000000000001" customHeight="1" x14ac:dyDescent="0.25">
      <c r="B49" s="54">
        <f>'Conductor-Guarda-Azafata'!B20</f>
        <v>0</v>
      </c>
      <c r="C49" s="54">
        <f>'Conductor-Guarda-Azafata'!C20</f>
        <v>0</v>
      </c>
      <c r="D49" s="136">
        <f>'Conductor-Guarda-Azafata'!E20</f>
        <v>0</v>
      </c>
      <c r="E49" s="73">
        <f>'Conductor-Guarda-Azafata'!F20</f>
        <v>0</v>
      </c>
      <c r="F49" s="71" t="e">
        <f>IF($B49="","",VLOOKUP($B49,'Conductor-Guarda-Azafata'!$B$8:$AN$271,6))</f>
        <v>#N/A</v>
      </c>
      <c r="G49" s="74" t="e">
        <f>IF($B49="","",VLOOKUP($B49,'Conductor-Guarda-Azafata'!$B$8:$AN$271,7))</f>
        <v>#N/A</v>
      </c>
      <c r="H49" s="74" t="e">
        <f>IF($B49="","",VLOOKUP($B49,'Conductor-Guarda-Azafata'!$B$8:$AN$271,8))</f>
        <v>#N/A</v>
      </c>
      <c r="I49" s="71"/>
      <c r="J49" s="71" t="e">
        <f>IF($B49="","",VLOOKUP($B49,'Conductor-Guarda-Azafata'!$B$8:$AN$271,10))</f>
        <v>#N/A</v>
      </c>
      <c r="K49" s="71"/>
      <c r="L49" s="71" t="e">
        <f>IF($B49="","",VLOOKUP($B49,'Conductor-Guarda-Azafata'!$B$8:$AN$271,24))</f>
        <v>#N/A</v>
      </c>
      <c r="M49" s="115" t="s">
        <v>225</v>
      </c>
      <c r="N49" s="116" t="s">
        <v>225</v>
      </c>
      <c r="O49" s="116" t="s">
        <v>225</v>
      </c>
      <c r="P49" s="116" t="s">
        <v>226</v>
      </c>
      <c r="Q49" s="57"/>
      <c r="R49" s="116" t="s">
        <v>225</v>
      </c>
      <c r="S49" s="116" t="s">
        <v>225</v>
      </c>
      <c r="T49" s="116" t="s">
        <v>225</v>
      </c>
      <c r="U49" s="116" t="s">
        <v>225</v>
      </c>
      <c r="V49" s="117" t="s">
        <v>225</v>
      </c>
      <c r="W49" s="51"/>
    </row>
    <row r="50" spans="2:23" ht="20.100000000000001" customHeight="1" x14ac:dyDescent="0.25">
      <c r="B50" s="54">
        <f>'Conductor-Guarda-Azafata'!B21</f>
        <v>0</v>
      </c>
      <c r="C50" s="54">
        <f>'Conductor-Guarda-Azafata'!C21</f>
        <v>0</v>
      </c>
      <c r="D50" s="136">
        <f>'Conductor-Guarda-Azafata'!E21</f>
        <v>0</v>
      </c>
      <c r="E50" s="73">
        <f>'Conductor-Guarda-Azafata'!F21</f>
        <v>0</v>
      </c>
      <c r="F50" s="71" t="e">
        <f>IF($B50="","",VLOOKUP($B50,'Conductor-Guarda-Azafata'!$B$8:$AN$271,6))</f>
        <v>#N/A</v>
      </c>
      <c r="G50" s="74" t="e">
        <f>IF($B50="","",VLOOKUP($B50,'Conductor-Guarda-Azafata'!$B$8:$AN$271,7))</f>
        <v>#N/A</v>
      </c>
      <c r="H50" s="74" t="e">
        <f>IF($B50="","",VLOOKUP($B50,'Conductor-Guarda-Azafata'!$B$8:$AN$271,8))</f>
        <v>#N/A</v>
      </c>
      <c r="I50" s="71"/>
      <c r="J50" s="71" t="e">
        <f>IF($B50="","",VLOOKUP($B50,'Conductor-Guarda-Azafata'!$B$8:$AN$271,10))</f>
        <v>#N/A</v>
      </c>
      <c r="K50" s="71"/>
      <c r="L50" s="71" t="e">
        <f>IF($B50="","",VLOOKUP($B50,'Conductor-Guarda-Azafata'!$B$8:$AN$271,24))</f>
        <v>#N/A</v>
      </c>
      <c r="M50" s="115" t="s">
        <v>225</v>
      </c>
      <c r="N50" s="116" t="s">
        <v>225</v>
      </c>
      <c r="O50" s="116" t="s">
        <v>225</v>
      </c>
      <c r="P50" s="116" t="s">
        <v>226</v>
      </c>
      <c r="Q50" s="57"/>
      <c r="R50" s="116" t="s">
        <v>225</v>
      </c>
      <c r="S50" s="116" t="s">
        <v>225</v>
      </c>
      <c r="T50" s="116" t="s">
        <v>225</v>
      </c>
      <c r="U50" s="116" t="s">
        <v>225</v>
      </c>
      <c r="V50" s="117" t="s">
        <v>225</v>
      </c>
      <c r="W50" s="51"/>
    </row>
    <row r="51" spans="2:23" ht="20.100000000000001" customHeight="1" x14ac:dyDescent="0.25">
      <c r="B51" s="54">
        <f>'Conductor-Guarda-Azafata'!B22</f>
        <v>0</v>
      </c>
      <c r="C51" s="54">
        <f>'Conductor-Guarda-Azafata'!C22</f>
        <v>0</v>
      </c>
      <c r="D51" s="136">
        <f>'Conductor-Guarda-Azafata'!E22</f>
        <v>0</v>
      </c>
      <c r="E51" s="73">
        <f>'Conductor-Guarda-Azafata'!F22</f>
        <v>0</v>
      </c>
      <c r="F51" s="71" t="e">
        <f>IF($B51="","",VLOOKUP($B51,'Conductor-Guarda-Azafata'!$B$8:$AN$271,6))</f>
        <v>#N/A</v>
      </c>
      <c r="G51" s="74" t="e">
        <f>IF($B51="","",VLOOKUP($B51,'Conductor-Guarda-Azafata'!$B$8:$AN$271,7))</f>
        <v>#N/A</v>
      </c>
      <c r="H51" s="74" t="e">
        <f>IF($B51="","",VLOOKUP($B51,'Conductor-Guarda-Azafata'!$B$8:$AN$271,8))</f>
        <v>#N/A</v>
      </c>
      <c r="I51" s="71"/>
      <c r="J51" s="71" t="e">
        <f>IF($B51="","",VLOOKUP($B51,'Conductor-Guarda-Azafata'!$B$8:$AN$271,10))</f>
        <v>#N/A</v>
      </c>
      <c r="K51" s="71"/>
      <c r="L51" s="71" t="e">
        <f>IF($B51="","",VLOOKUP($B51,'Conductor-Guarda-Azafata'!$B$8:$AN$271,24))</f>
        <v>#N/A</v>
      </c>
      <c r="M51" s="55"/>
      <c r="N51" s="56"/>
      <c r="O51" s="56"/>
      <c r="P51" s="56"/>
      <c r="Q51" s="57"/>
      <c r="R51" s="56"/>
      <c r="S51" s="56"/>
      <c r="T51" s="56"/>
      <c r="U51" s="56"/>
      <c r="V51" s="58"/>
      <c r="W51" s="51"/>
    </row>
    <row r="52" spans="2:23" ht="20.100000000000001" customHeight="1" x14ac:dyDescent="0.25">
      <c r="B52" s="54">
        <f>'Conductor-Guarda-Azafata'!B23</f>
        <v>0</v>
      </c>
      <c r="C52" s="54">
        <f>'Conductor-Guarda-Azafata'!C23</f>
        <v>0</v>
      </c>
      <c r="D52" s="136">
        <f>'Conductor-Guarda-Azafata'!E23</f>
        <v>0</v>
      </c>
      <c r="E52" s="73">
        <f>'Conductor-Guarda-Azafata'!F23</f>
        <v>0</v>
      </c>
      <c r="F52" s="71" t="e">
        <f>IF($B52="","",VLOOKUP($B52,'Conductor-Guarda-Azafata'!$B$8:$AN$271,6))</f>
        <v>#N/A</v>
      </c>
      <c r="G52" s="74" t="e">
        <f>IF($B52="","",VLOOKUP($B52,'Conductor-Guarda-Azafata'!$B$8:$AN$271,7))</f>
        <v>#N/A</v>
      </c>
      <c r="H52" s="74" t="e">
        <f>IF($B52="","",VLOOKUP($B52,'Conductor-Guarda-Azafata'!$B$8:$AN$271,8))</f>
        <v>#N/A</v>
      </c>
      <c r="I52" s="71"/>
      <c r="J52" s="71" t="e">
        <f>IF($B52="","",VLOOKUP($B52,'Conductor-Guarda-Azafata'!$B$8:$AN$271,10))</f>
        <v>#N/A</v>
      </c>
      <c r="K52" s="71"/>
      <c r="L52" s="71" t="e">
        <f>IF($B52="","",VLOOKUP($B52,'Conductor-Guarda-Azafata'!$B$8:$AN$271,24))</f>
        <v>#N/A</v>
      </c>
      <c r="M52" s="115" t="s">
        <v>225</v>
      </c>
      <c r="N52" s="116" t="s">
        <v>225</v>
      </c>
      <c r="O52" s="116" t="s">
        <v>225</v>
      </c>
      <c r="P52" s="116" t="s">
        <v>225</v>
      </c>
      <c r="Q52" s="57">
        <v>1</v>
      </c>
      <c r="R52" s="116" t="s">
        <v>225</v>
      </c>
      <c r="S52" s="116" t="s">
        <v>225</v>
      </c>
      <c r="T52" s="116" t="s">
        <v>225</v>
      </c>
      <c r="U52" s="116" t="s">
        <v>225</v>
      </c>
      <c r="V52" s="117" t="s">
        <v>225</v>
      </c>
      <c r="W52" s="51"/>
    </row>
    <row r="53" spans="2:23" ht="20.100000000000001" customHeight="1" x14ac:dyDescent="0.25">
      <c r="B53" s="54">
        <f>'Conductor-Guarda-Azafata'!B24</f>
        <v>0</v>
      </c>
      <c r="C53" s="54">
        <f>'Conductor-Guarda-Azafata'!C24</f>
        <v>0</v>
      </c>
      <c r="D53" s="136">
        <f>'Conductor-Guarda-Azafata'!E24</f>
        <v>0</v>
      </c>
      <c r="E53" s="73">
        <f>'Conductor-Guarda-Azafata'!F24</f>
        <v>0</v>
      </c>
      <c r="F53" s="71" t="e">
        <f>IF($B53="","",VLOOKUP($B53,'Conductor-Guarda-Azafata'!$B$8:$AN$271,6))</f>
        <v>#N/A</v>
      </c>
      <c r="G53" s="74" t="e">
        <f>IF($B53="","",VLOOKUP($B53,'Conductor-Guarda-Azafata'!$B$8:$AN$271,7))</f>
        <v>#N/A</v>
      </c>
      <c r="H53" s="74" t="e">
        <f>IF($B53="","",VLOOKUP($B53,'Conductor-Guarda-Azafata'!$B$8:$AN$271,8))</f>
        <v>#N/A</v>
      </c>
      <c r="I53" s="71"/>
      <c r="J53" s="71" t="e">
        <f>IF($B53="","",VLOOKUP($B53,'Conductor-Guarda-Azafata'!$B$8:$AN$271,10))</f>
        <v>#N/A</v>
      </c>
      <c r="K53" s="71"/>
      <c r="L53" s="71" t="e">
        <f>IF($B53="","",VLOOKUP($B53,'Conductor-Guarda-Azafata'!$B$8:$AN$271,24))</f>
        <v>#N/A</v>
      </c>
      <c r="M53" s="115" t="s">
        <v>225</v>
      </c>
      <c r="N53" s="116" t="s">
        <v>225</v>
      </c>
      <c r="O53" s="116" t="s">
        <v>225</v>
      </c>
      <c r="P53" s="116" t="s">
        <v>225</v>
      </c>
      <c r="Q53" s="57">
        <v>3</v>
      </c>
      <c r="R53" s="116" t="s">
        <v>225</v>
      </c>
      <c r="S53" s="116" t="s">
        <v>225</v>
      </c>
      <c r="T53" s="116" t="s">
        <v>225</v>
      </c>
      <c r="U53" s="116" t="s">
        <v>225</v>
      </c>
      <c r="V53" s="117" t="s">
        <v>225</v>
      </c>
      <c r="W53" s="51"/>
    </row>
    <row r="54" spans="2:23" ht="20.100000000000001" customHeight="1" x14ac:dyDescent="0.25">
      <c r="B54" s="54">
        <f>'Conductor-Guarda-Azafata'!B25</f>
        <v>0</v>
      </c>
      <c r="C54" s="54">
        <f>'Conductor-Guarda-Azafata'!C25</f>
        <v>0</v>
      </c>
      <c r="D54" s="136">
        <f>'Conductor-Guarda-Azafata'!E25</f>
        <v>0</v>
      </c>
      <c r="E54" s="73">
        <f>'Conductor-Guarda-Azafata'!F25</f>
        <v>0</v>
      </c>
      <c r="F54" s="71" t="e">
        <f>IF($B54="","",VLOOKUP($B54,'Conductor-Guarda-Azafata'!$B$8:$AN$271,6))</f>
        <v>#N/A</v>
      </c>
      <c r="G54" s="74" t="e">
        <f>IF($B54="","",VLOOKUP($B54,'Conductor-Guarda-Azafata'!$B$8:$AN$271,7))</f>
        <v>#N/A</v>
      </c>
      <c r="H54" s="74" t="e">
        <f>IF($B54="","",VLOOKUP($B54,'Conductor-Guarda-Azafata'!$B$8:$AN$271,8))</f>
        <v>#N/A</v>
      </c>
      <c r="I54" s="71"/>
      <c r="J54" s="71" t="e">
        <f>IF($B54="","",VLOOKUP($B54,'Conductor-Guarda-Azafata'!$B$8:$AN$271,10))</f>
        <v>#N/A</v>
      </c>
      <c r="K54" s="71"/>
      <c r="L54" s="71" t="e">
        <f>IF($B54="","",VLOOKUP($B54,'Conductor-Guarda-Azafata'!$B$8:$AN$271,24))</f>
        <v>#N/A</v>
      </c>
      <c r="M54" s="115" t="s">
        <v>225</v>
      </c>
      <c r="N54" s="116" t="s">
        <v>225</v>
      </c>
      <c r="O54" s="116" t="s">
        <v>225</v>
      </c>
      <c r="P54" s="116" t="s">
        <v>226</v>
      </c>
      <c r="Q54" s="57"/>
      <c r="R54" s="116" t="s">
        <v>225</v>
      </c>
      <c r="S54" s="116" t="s">
        <v>225</v>
      </c>
      <c r="T54" s="116" t="s">
        <v>225</v>
      </c>
      <c r="U54" s="116" t="s">
        <v>225</v>
      </c>
      <c r="V54" s="117" t="s">
        <v>225</v>
      </c>
      <c r="W54" s="51"/>
    </row>
    <row r="55" spans="2:23" ht="20.100000000000001" customHeight="1" x14ac:dyDescent="0.25">
      <c r="B55" s="54">
        <f>'Conductor-Guarda-Azafata'!B26</f>
        <v>0</v>
      </c>
      <c r="C55" s="54">
        <f>'Conductor-Guarda-Azafata'!C26</f>
        <v>0</v>
      </c>
      <c r="D55" s="136">
        <f>'Conductor-Guarda-Azafata'!E26</f>
        <v>0</v>
      </c>
      <c r="E55" s="73">
        <f>'Conductor-Guarda-Azafata'!F26</f>
        <v>0</v>
      </c>
      <c r="F55" s="71" t="e">
        <f>IF($B55="","",VLOOKUP($B55,'Conductor-Guarda-Azafata'!$B$8:$AN$271,6))</f>
        <v>#N/A</v>
      </c>
      <c r="G55" s="74" t="e">
        <f>IF($B55="","",VLOOKUP($B55,'Conductor-Guarda-Azafata'!$B$8:$AN$271,7))</f>
        <v>#N/A</v>
      </c>
      <c r="H55" s="74" t="e">
        <f>IF($B55="","",VLOOKUP($B55,'Conductor-Guarda-Azafata'!$B$8:$AN$271,8))</f>
        <v>#N/A</v>
      </c>
      <c r="I55" s="71"/>
      <c r="J55" s="71" t="e">
        <f>IF($B55="","",VLOOKUP($B55,'Conductor-Guarda-Azafata'!$B$8:$AN$271,10))</f>
        <v>#N/A</v>
      </c>
      <c r="K55" s="71"/>
      <c r="L55" s="71" t="e">
        <f>IF($B55="","",VLOOKUP($B55,'Conductor-Guarda-Azafata'!$B$8:$AN$271,24))</f>
        <v>#N/A</v>
      </c>
      <c r="M55" s="55"/>
      <c r="N55" s="56"/>
      <c r="O55" s="56"/>
      <c r="P55" s="56"/>
      <c r="Q55" s="57"/>
      <c r="R55" s="56"/>
      <c r="S55" s="56"/>
      <c r="T55" s="56"/>
      <c r="U55" s="56"/>
      <c r="V55" s="58"/>
      <c r="W55" s="51"/>
    </row>
    <row r="56" spans="2:23" ht="20.100000000000001" customHeight="1" x14ac:dyDescent="0.25">
      <c r="B56" s="54">
        <f>'Conductor-Guarda-Azafata'!B27</f>
        <v>0</v>
      </c>
      <c r="C56" s="54">
        <f>'Conductor-Guarda-Azafata'!C27</f>
        <v>0</v>
      </c>
      <c r="D56" s="136">
        <f>'Conductor-Guarda-Azafata'!E27</f>
        <v>0</v>
      </c>
      <c r="E56" s="73">
        <f>'Conductor-Guarda-Azafata'!F27</f>
        <v>0</v>
      </c>
      <c r="F56" s="71" t="e">
        <f>IF($B56="","",VLOOKUP($B56,'Conductor-Guarda-Azafata'!$B$8:$AN$271,6))</f>
        <v>#N/A</v>
      </c>
      <c r="G56" s="74" t="e">
        <f>IF($B56="","",VLOOKUP($B56,'Conductor-Guarda-Azafata'!$B$8:$AN$271,7))</f>
        <v>#N/A</v>
      </c>
      <c r="H56" s="74" t="e">
        <f>IF($B56="","",VLOOKUP($B56,'Conductor-Guarda-Azafata'!$B$8:$AN$271,8))</f>
        <v>#N/A</v>
      </c>
      <c r="I56" s="71"/>
      <c r="J56" s="71" t="e">
        <f>IF($B56="","",VLOOKUP($B56,'Conductor-Guarda-Azafata'!$B$8:$AN$271,10))</f>
        <v>#N/A</v>
      </c>
      <c r="K56" s="71"/>
      <c r="L56" s="71"/>
      <c r="M56" s="115" t="s">
        <v>225</v>
      </c>
      <c r="N56" s="116" t="s">
        <v>225</v>
      </c>
      <c r="O56" s="116" t="s">
        <v>225</v>
      </c>
      <c r="P56" s="116" t="s">
        <v>225</v>
      </c>
      <c r="Q56" s="57">
        <v>1</v>
      </c>
      <c r="R56" s="116" t="s">
        <v>225</v>
      </c>
      <c r="S56" s="116" t="s">
        <v>225</v>
      </c>
      <c r="T56" s="116" t="s">
        <v>225</v>
      </c>
      <c r="U56" s="116" t="s">
        <v>225</v>
      </c>
      <c r="V56" s="117" t="s">
        <v>225</v>
      </c>
      <c r="W56" s="51"/>
    </row>
    <row r="57" spans="2:23" ht="20.100000000000001" customHeight="1" x14ac:dyDescent="0.25">
      <c r="B57" s="54">
        <f>'Conductor-Guarda-Azafata'!B28</f>
        <v>0</v>
      </c>
      <c r="C57" s="54">
        <f>'Conductor-Guarda-Azafata'!C28</f>
        <v>0</v>
      </c>
      <c r="D57" s="136">
        <f>'Conductor-Guarda-Azafata'!E28</f>
        <v>0</v>
      </c>
      <c r="E57" s="73">
        <f>'Conductor-Guarda-Azafata'!F28</f>
        <v>0</v>
      </c>
      <c r="F57" s="71" t="e">
        <f>IF($B57="","",VLOOKUP($B57,'Conductor-Guarda-Azafata'!$B$8:$AN$271,6))</f>
        <v>#N/A</v>
      </c>
      <c r="G57" s="74" t="e">
        <f>IF($B57="","",VLOOKUP($B57,'Conductor-Guarda-Azafata'!$B$8:$AN$271,7))</f>
        <v>#N/A</v>
      </c>
      <c r="H57" s="74" t="e">
        <f>IF($B57="","",VLOOKUP($B57,'Conductor-Guarda-Azafata'!$B$8:$AN$271,8))</f>
        <v>#N/A</v>
      </c>
      <c r="I57" s="71"/>
      <c r="J57" s="71" t="e">
        <f>IF($B57="","",VLOOKUP($B57,'Conductor-Guarda-Azafata'!$B$8:$AN$271,10))</f>
        <v>#N/A</v>
      </c>
      <c r="K57" s="71"/>
      <c r="L57" s="71" t="e">
        <f>IF($B57="","",VLOOKUP($B57,'Conductor-Guarda-Azafata'!$B$8:$AN$271,24))</f>
        <v>#N/A</v>
      </c>
      <c r="M57" s="115" t="s">
        <v>225</v>
      </c>
      <c r="N57" s="116" t="s">
        <v>225</v>
      </c>
      <c r="O57" s="116" t="s">
        <v>225</v>
      </c>
      <c r="P57" s="116" t="s">
        <v>226</v>
      </c>
      <c r="Q57" s="57"/>
      <c r="R57" s="116" t="s">
        <v>225</v>
      </c>
      <c r="S57" s="116" t="s">
        <v>225</v>
      </c>
      <c r="T57" s="116" t="s">
        <v>225</v>
      </c>
      <c r="U57" s="116" t="s">
        <v>225</v>
      </c>
      <c r="V57" s="117" t="s">
        <v>225</v>
      </c>
      <c r="W57" s="51"/>
    </row>
    <row r="58" spans="2:23" ht="20.100000000000001" customHeight="1" x14ac:dyDescent="0.25">
      <c r="B58" s="54">
        <f>'Conductor-Guarda-Azafata'!B29</f>
        <v>0</v>
      </c>
      <c r="C58" s="54">
        <f>'Conductor-Guarda-Azafata'!C29</f>
        <v>0</v>
      </c>
      <c r="D58" s="136">
        <f>'Conductor-Guarda-Azafata'!E29</f>
        <v>0</v>
      </c>
      <c r="E58" s="73">
        <f>'Conductor-Guarda-Azafata'!F29</f>
        <v>0</v>
      </c>
      <c r="F58" s="71" t="e">
        <f>IF($B58="","",VLOOKUP($B58,'Conductor-Guarda-Azafata'!$B$8:$AN$271,6))</f>
        <v>#N/A</v>
      </c>
      <c r="G58" s="74" t="e">
        <f>IF($B58="","",VLOOKUP($B58,'Conductor-Guarda-Azafata'!$B$8:$AN$271,7))</f>
        <v>#N/A</v>
      </c>
      <c r="H58" s="74" t="e">
        <f>IF($B58="","",VLOOKUP($B58,'Conductor-Guarda-Azafata'!$B$8:$AN$271,8))</f>
        <v>#N/A</v>
      </c>
      <c r="I58" s="71"/>
      <c r="J58" s="71" t="e">
        <f>IF($B58="","",VLOOKUP($B58,'Conductor-Guarda-Azafata'!$B$8:$AN$271,10))</f>
        <v>#N/A</v>
      </c>
      <c r="K58" s="71"/>
      <c r="L58" s="71" t="e">
        <f>IF($B58="","",VLOOKUP($B58,'Conductor-Guarda-Azafata'!$B$8:$AN$271,24))</f>
        <v>#N/A</v>
      </c>
      <c r="M58" s="115" t="s">
        <v>225</v>
      </c>
      <c r="N58" s="116" t="s">
        <v>225</v>
      </c>
      <c r="O58" s="116" t="s">
        <v>225</v>
      </c>
      <c r="P58" s="116" t="s">
        <v>225</v>
      </c>
      <c r="Q58" s="57">
        <v>1</v>
      </c>
      <c r="R58" s="116" t="s">
        <v>225</v>
      </c>
      <c r="S58" s="116" t="s">
        <v>225</v>
      </c>
      <c r="T58" s="116" t="s">
        <v>225</v>
      </c>
      <c r="U58" s="116" t="s">
        <v>225</v>
      </c>
      <c r="V58" s="117" t="s">
        <v>225</v>
      </c>
      <c r="W58" s="51"/>
    </row>
    <row r="59" spans="2:23" ht="20.100000000000001" customHeight="1" x14ac:dyDescent="0.25">
      <c r="B59" s="54">
        <f>'Conductor-Guarda-Azafata'!B30</f>
        <v>0</v>
      </c>
      <c r="C59" s="54">
        <f>'Conductor-Guarda-Azafata'!C30</f>
        <v>0</v>
      </c>
      <c r="D59" s="136">
        <f>'Conductor-Guarda-Azafata'!E30</f>
        <v>0</v>
      </c>
      <c r="E59" s="73">
        <f>'Conductor-Guarda-Azafata'!F30</f>
        <v>0</v>
      </c>
      <c r="F59" s="71" t="e">
        <f>IF($B59="","",VLOOKUP($B59,'Conductor-Guarda-Azafata'!$B$8:$AN$271,6))</f>
        <v>#N/A</v>
      </c>
      <c r="G59" s="74" t="e">
        <f>IF($B59="","",VLOOKUP($B59,'Conductor-Guarda-Azafata'!$B$8:$AN$271,7))</f>
        <v>#N/A</v>
      </c>
      <c r="H59" s="74" t="e">
        <f>IF($B59="","",VLOOKUP($B59,'Conductor-Guarda-Azafata'!$B$8:$AN$271,8))</f>
        <v>#N/A</v>
      </c>
      <c r="I59" s="71"/>
      <c r="J59" s="71" t="e">
        <f>IF($B59="","",VLOOKUP($B59,'Conductor-Guarda-Azafata'!$B$8:$AN$271,10))</f>
        <v>#N/A</v>
      </c>
      <c r="K59" s="71"/>
      <c r="L59" s="71" t="e">
        <f>IF($B59="","",VLOOKUP($B59,'Conductor-Guarda-Azafata'!$B$8:$AN$271,24))</f>
        <v>#N/A</v>
      </c>
      <c r="M59" s="115" t="s">
        <v>225</v>
      </c>
      <c r="N59" s="116" t="s">
        <v>225</v>
      </c>
      <c r="O59" s="116" t="s">
        <v>225</v>
      </c>
      <c r="P59" s="116" t="s">
        <v>226</v>
      </c>
      <c r="Q59" s="57"/>
      <c r="R59" s="116" t="s">
        <v>225</v>
      </c>
      <c r="S59" s="116" t="s">
        <v>225</v>
      </c>
      <c r="T59" s="116" t="s">
        <v>225</v>
      </c>
      <c r="U59" s="116" t="s">
        <v>225</v>
      </c>
      <c r="V59" s="117" t="s">
        <v>225</v>
      </c>
      <c r="W59" s="51"/>
    </row>
    <row r="60" spans="2:23" ht="20.100000000000001" customHeight="1" x14ac:dyDescent="0.25">
      <c r="B60" s="54">
        <f>'Conductor-Guarda-Azafata'!B31</f>
        <v>0</v>
      </c>
      <c r="C60" s="54">
        <f>'Conductor-Guarda-Azafata'!C31</f>
        <v>0</v>
      </c>
      <c r="D60" s="136">
        <f>'Conductor-Guarda-Azafata'!E31</f>
        <v>0</v>
      </c>
      <c r="E60" s="73">
        <f>'Conductor-Guarda-Azafata'!F31</f>
        <v>0</v>
      </c>
      <c r="F60" s="71" t="e">
        <f>IF($B60="","",VLOOKUP($B60,'Conductor-Guarda-Azafata'!$B$8:$AN$271,6))</f>
        <v>#N/A</v>
      </c>
      <c r="G60" s="74" t="e">
        <f>IF($B60="","",VLOOKUP($B60,'Conductor-Guarda-Azafata'!$B$8:$AN$271,7))</f>
        <v>#N/A</v>
      </c>
      <c r="H60" s="74" t="e">
        <f>IF($B60="","",VLOOKUP($B60,'Conductor-Guarda-Azafata'!$B$8:$AN$271,8))</f>
        <v>#N/A</v>
      </c>
      <c r="I60" s="71"/>
      <c r="J60" s="71" t="e">
        <f>IF($B60="","",VLOOKUP($B60,'Conductor-Guarda-Azafata'!$B$8:$AN$271,10))</f>
        <v>#N/A</v>
      </c>
      <c r="K60" s="71"/>
      <c r="L60" s="71" t="e">
        <f>IF($B60="","",VLOOKUP($B60,'Conductor-Guarda-Azafata'!$B$8:$AN$271,24))</f>
        <v>#N/A</v>
      </c>
      <c r="M60" s="115" t="s">
        <v>225</v>
      </c>
      <c r="N60" s="116" t="s">
        <v>225</v>
      </c>
      <c r="O60" s="116" t="s">
        <v>225</v>
      </c>
      <c r="P60" s="116" t="s">
        <v>226</v>
      </c>
      <c r="Q60" s="57"/>
      <c r="R60" s="116" t="s">
        <v>225</v>
      </c>
      <c r="S60" s="116" t="s">
        <v>225</v>
      </c>
      <c r="T60" s="116" t="s">
        <v>225</v>
      </c>
      <c r="U60" s="116" t="s">
        <v>225</v>
      </c>
      <c r="V60" s="117" t="s">
        <v>225</v>
      </c>
      <c r="W60" s="51"/>
    </row>
    <row r="61" spans="2:23" ht="20.100000000000001" customHeight="1" x14ac:dyDescent="0.25">
      <c r="B61" s="54">
        <f>'Conductor-Guarda-Azafata'!B32</f>
        <v>0</v>
      </c>
      <c r="C61" s="54">
        <f>'Conductor-Guarda-Azafata'!C32</f>
        <v>0</v>
      </c>
      <c r="D61" s="136">
        <f>'Conductor-Guarda-Azafata'!E32</f>
        <v>0</v>
      </c>
      <c r="E61" s="73">
        <f>'Conductor-Guarda-Azafata'!F32</f>
        <v>0</v>
      </c>
      <c r="F61" s="71" t="e">
        <f>IF($B61="","",VLOOKUP($B61,'Conductor-Guarda-Azafata'!$B$8:$AN$271,6))</f>
        <v>#N/A</v>
      </c>
      <c r="G61" s="74" t="e">
        <f>IF($B61="","",VLOOKUP($B61,'Conductor-Guarda-Azafata'!$B$8:$AN$271,7))</f>
        <v>#N/A</v>
      </c>
      <c r="H61" s="74" t="e">
        <f>IF($B61="","",VLOOKUP($B61,'Conductor-Guarda-Azafata'!$B$8:$AN$271,8))</f>
        <v>#N/A</v>
      </c>
      <c r="I61" s="71"/>
      <c r="J61" s="71" t="e">
        <f>IF($B61="","",VLOOKUP($B61,'Conductor-Guarda-Azafata'!$B$8:$AN$271,10))</f>
        <v>#N/A</v>
      </c>
      <c r="K61" s="71"/>
      <c r="L61" s="71"/>
      <c r="M61" s="55"/>
      <c r="N61" s="56"/>
      <c r="O61" s="56"/>
      <c r="P61" s="56"/>
      <c r="Q61" s="57"/>
      <c r="R61" s="56"/>
      <c r="S61" s="56"/>
      <c r="T61" s="56"/>
      <c r="U61" s="56"/>
      <c r="V61" s="58"/>
      <c r="W61" s="51"/>
    </row>
    <row r="62" spans="2:23" ht="20.100000000000001" customHeight="1" x14ac:dyDescent="0.25">
      <c r="B62" s="54">
        <f>'Conductor-Guarda-Azafata'!B33</f>
        <v>0</v>
      </c>
      <c r="C62" s="54">
        <f>'Conductor-Guarda-Azafata'!C33</f>
        <v>0</v>
      </c>
      <c r="D62" s="136">
        <f>'Conductor-Guarda-Azafata'!E33</f>
        <v>0</v>
      </c>
      <c r="E62" s="73">
        <f>'Conductor-Guarda-Azafata'!F33</f>
        <v>0</v>
      </c>
      <c r="F62" s="71" t="e">
        <f>IF($B62="","",VLOOKUP($B62,'Conductor-Guarda-Azafata'!$B$8:$AN$271,6))</f>
        <v>#N/A</v>
      </c>
      <c r="G62" s="74" t="e">
        <f>IF($B62="","",VLOOKUP($B62,'Conductor-Guarda-Azafata'!$B$8:$AN$271,7))</f>
        <v>#N/A</v>
      </c>
      <c r="H62" s="74" t="e">
        <f>IF($B62="","",VLOOKUP($B62,'Conductor-Guarda-Azafata'!$B$8:$AN$271,8))</f>
        <v>#N/A</v>
      </c>
      <c r="I62" s="71"/>
      <c r="J62" s="71" t="e">
        <f>IF($B62="","",VLOOKUP($B62,'Conductor-Guarda-Azafata'!$B$8:$AN$271,10))</f>
        <v>#N/A</v>
      </c>
      <c r="K62" s="71"/>
      <c r="L62" s="71" t="e">
        <f>IF($B62="","",VLOOKUP($B62,'Conductor-Guarda-Azafata'!$B$8:$AN$271,24))</f>
        <v>#N/A</v>
      </c>
      <c r="M62" s="115" t="s">
        <v>225</v>
      </c>
      <c r="N62" s="116" t="s">
        <v>225</v>
      </c>
      <c r="O62" s="116" t="s">
        <v>225</v>
      </c>
      <c r="P62" s="116" t="s">
        <v>226</v>
      </c>
      <c r="Q62" s="57"/>
      <c r="R62" s="116" t="s">
        <v>225</v>
      </c>
      <c r="S62" s="116" t="s">
        <v>225</v>
      </c>
      <c r="T62" s="116" t="s">
        <v>225</v>
      </c>
      <c r="U62" s="116" t="s">
        <v>225</v>
      </c>
      <c r="V62" s="117" t="s">
        <v>282</v>
      </c>
      <c r="W62" s="51"/>
    </row>
    <row r="63" spans="2:23" ht="20.100000000000001" customHeight="1" x14ac:dyDescent="0.25">
      <c r="B63" s="54">
        <f>'Conductor-Guarda-Azafata'!B34</f>
        <v>0</v>
      </c>
      <c r="C63" s="54">
        <f>'Conductor-Guarda-Azafata'!C34</f>
        <v>0</v>
      </c>
      <c r="D63" s="136">
        <f>'Conductor-Guarda-Azafata'!E34</f>
        <v>0</v>
      </c>
      <c r="E63" s="73">
        <f>'Conductor-Guarda-Azafata'!F34</f>
        <v>0</v>
      </c>
      <c r="F63" s="71" t="e">
        <f>IF($B63="","",VLOOKUP($B63,'Conductor-Guarda-Azafata'!$B$8:$AN$271,6))</f>
        <v>#N/A</v>
      </c>
      <c r="G63" s="74" t="e">
        <f>IF($B63="","",VLOOKUP($B63,'Conductor-Guarda-Azafata'!$B$8:$AN$271,7))</f>
        <v>#N/A</v>
      </c>
      <c r="H63" s="74" t="e">
        <f>IF($B63="","",VLOOKUP($B63,'Conductor-Guarda-Azafata'!$B$8:$AN$271,8))</f>
        <v>#N/A</v>
      </c>
      <c r="I63" s="71"/>
      <c r="J63" s="71" t="e">
        <f>IF($B63="","",VLOOKUP($B63,'Conductor-Guarda-Azafata'!$B$8:$AN$271,10))</f>
        <v>#N/A</v>
      </c>
      <c r="K63" s="71"/>
      <c r="L63" s="71"/>
      <c r="M63" s="55"/>
      <c r="N63" s="56"/>
      <c r="O63" s="56"/>
      <c r="P63" s="56"/>
      <c r="Q63" s="57"/>
      <c r="R63" s="56"/>
      <c r="S63" s="56"/>
      <c r="T63" s="56"/>
      <c r="U63" s="56"/>
      <c r="V63" s="58"/>
      <c r="W63" s="51"/>
    </row>
    <row r="64" spans="2:23" ht="20.100000000000001" customHeight="1" x14ac:dyDescent="0.25">
      <c r="B64" s="54">
        <f>'Conductor-Guarda-Azafata'!B35</f>
        <v>0</v>
      </c>
      <c r="C64" s="54">
        <f>'Conductor-Guarda-Azafata'!C35</f>
        <v>0</v>
      </c>
      <c r="D64" s="136">
        <f>'Conductor-Guarda-Azafata'!E35</f>
        <v>0</v>
      </c>
      <c r="E64" s="73">
        <f>'Conductor-Guarda-Azafata'!F35</f>
        <v>0</v>
      </c>
      <c r="F64" s="71" t="e">
        <f>IF($B64="","",VLOOKUP($B64,'Conductor-Guarda-Azafata'!$B$8:$AN$271,6))</f>
        <v>#N/A</v>
      </c>
      <c r="G64" s="74" t="e">
        <f>IF($B64="","",VLOOKUP($B64,'Conductor-Guarda-Azafata'!$B$8:$AN$271,7))</f>
        <v>#N/A</v>
      </c>
      <c r="H64" s="74" t="e">
        <f>IF($B64="","",VLOOKUP($B64,'Conductor-Guarda-Azafata'!$B$8:$AN$271,8))</f>
        <v>#N/A</v>
      </c>
      <c r="I64" s="71"/>
      <c r="J64" s="71" t="e">
        <f>IF($B64="","",VLOOKUP($B64,'Conductor-Guarda-Azafata'!$B$8:$AN$271,10))</f>
        <v>#N/A</v>
      </c>
      <c r="K64" s="71"/>
      <c r="L64" s="71" t="e">
        <f>IF($B64="","",VLOOKUP($B64,'Conductor-Guarda-Azafata'!$B$8:$AN$271,24))</f>
        <v>#N/A</v>
      </c>
      <c r="M64" s="115" t="s">
        <v>225</v>
      </c>
      <c r="N64" s="116" t="s">
        <v>225</v>
      </c>
      <c r="O64" s="116" t="s">
        <v>225</v>
      </c>
      <c r="P64" s="116" t="s">
        <v>225</v>
      </c>
      <c r="Q64" s="57">
        <v>1</v>
      </c>
      <c r="R64" s="116" t="s">
        <v>225</v>
      </c>
      <c r="S64" s="116" t="s">
        <v>225</v>
      </c>
      <c r="T64" s="116" t="s">
        <v>225</v>
      </c>
      <c r="U64" s="116" t="s">
        <v>225</v>
      </c>
      <c r="V64" s="117" t="s">
        <v>225</v>
      </c>
      <c r="W64" s="51"/>
    </row>
    <row r="65" spans="2:23" ht="20.100000000000001" customHeight="1" x14ac:dyDescent="0.25">
      <c r="B65" s="54">
        <f>'Conductor-Guarda-Azafata'!B36</f>
        <v>0</v>
      </c>
      <c r="C65" s="54">
        <f>'Conductor-Guarda-Azafata'!C36</f>
        <v>0</v>
      </c>
      <c r="D65" s="136">
        <f>'Conductor-Guarda-Azafata'!E36</f>
        <v>0</v>
      </c>
      <c r="E65" s="73">
        <f>'Conductor-Guarda-Azafata'!F36</f>
        <v>0</v>
      </c>
      <c r="F65" s="71" t="e">
        <f>IF($B65="","",VLOOKUP($B65,'Conductor-Guarda-Azafata'!$B$8:$AN$271,6))</f>
        <v>#N/A</v>
      </c>
      <c r="G65" s="74" t="e">
        <f>IF($B65="","",VLOOKUP($B65,'Conductor-Guarda-Azafata'!$B$8:$AN$271,7))</f>
        <v>#N/A</v>
      </c>
      <c r="H65" s="74" t="e">
        <f>IF($B65="","",VLOOKUP($B65,'Conductor-Guarda-Azafata'!$B$8:$AN$271,8))</f>
        <v>#N/A</v>
      </c>
      <c r="I65" s="71"/>
      <c r="J65" s="71" t="e">
        <f>IF($B65="","",VLOOKUP($B65,'Conductor-Guarda-Azafata'!$B$8:$AN$271,10))</f>
        <v>#N/A</v>
      </c>
      <c r="K65" s="71"/>
      <c r="L65" s="71" t="e">
        <f>IF($B65="","",VLOOKUP($B65,'Conductor-Guarda-Azafata'!$B$8:$AN$271,24))</f>
        <v>#N/A</v>
      </c>
      <c r="M65" s="115" t="s">
        <v>225</v>
      </c>
      <c r="N65" s="116" t="s">
        <v>225</v>
      </c>
      <c r="O65" s="116" t="s">
        <v>225</v>
      </c>
      <c r="P65" s="116" t="s">
        <v>226</v>
      </c>
      <c r="Q65" s="57"/>
      <c r="R65" s="116" t="s">
        <v>225</v>
      </c>
      <c r="S65" s="116" t="s">
        <v>225</v>
      </c>
      <c r="T65" s="116" t="s">
        <v>225</v>
      </c>
      <c r="U65" s="116" t="s">
        <v>225</v>
      </c>
      <c r="V65" s="117" t="s">
        <v>225</v>
      </c>
      <c r="W65" s="51"/>
    </row>
    <row r="66" spans="2:23" ht="20.100000000000001" customHeight="1" x14ac:dyDescent="0.25">
      <c r="B66" s="54">
        <f>'Conductor-Guarda-Azafata'!B37</f>
        <v>0</v>
      </c>
      <c r="C66" s="54">
        <f>'Conductor-Guarda-Azafata'!C37</f>
        <v>0</v>
      </c>
      <c r="D66" s="136">
        <f>'Conductor-Guarda-Azafata'!E37</f>
        <v>0</v>
      </c>
      <c r="E66" s="73">
        <f>'Conductor-Guarda-Azafata'!F37</f>
        <v>0</v>
      </c>
      <c r="F66" s="71" t="e">
        <f>IF($B66="","",VLOOKUP($B66,'Conductor-Guarda-Azafata'!$B$8:$AN$271,6))</f>
        <v>#N/A</v>
      </c>
      <c r="G66" s="74" t="e">
        <f>IF($B66="","",VLOOKUP($B66,'Conductor-Guarda-Azafata'!$B$8:$AN$271,7))</f>
        <v>#N/A</v>
      </c>
      <c r="H66" s="74" t="e">
        <f>IF($B66="","",VLOOKUP($B66,'Conductor-Guarda-Azafata'!$B$8:$AN$271,8))</f>
        <v>#N/A</v>
      </c>
      <c r="I66" s="71"/>
      <c r="J66" s="71" t="e">
        <f>IF($B66="","",VLOOKUP($B66,'Conductor-Guarda-Azafata'!$B$8:$AN$271,10))</f>
        <v>#N/A</v>
      </c>
      <c r="K66" s="71"/>
      <c r="L66" s="71" t="e">
        <f>IF($B66="","",VLOOKUP($B66,'Conductor-Guarda-Azafata'!$B$8:$AN$271,24))</f>
        <v>#N/A</v>
      </c>
      <c r="M66" s="115" t="s">
        <v>225</v>
      </c>
      <c r="N66" s="116" t="s">
        <v>225</v>
      </c>
      <c r="O66" s="116" t="s">
        <v>225</v>
      </c>
      <c r="P66" s="116" t="s">
        <v>226</v>
      </c>
      <c r="Q66" s="57"/>
      <c r="R66" s="116" t="s">
        <v>225</v>
      </c>
      <c r="S66" s="116" t="s">
        <v>225</v>
      </c>
      <c r="T66" s="116" t="s">
        <v>225</v>
      </c>
      <c r="U66" s="116" t="s">
        <v>225</v>
      </c>
      <c r="V66" s="117" t="s">
        <v>225</v>
      </c>
      <c r="W66" s="51"/>
    </row>
    <row r="67" spans="2:23" ht="20.100000000000001" customHeight="1" x14ac:dyDescent="0.25">
      <c r="B67" s="54">
        <f>'Conductor-Guarda-Azafata'!B38</f>
        <v>0</v>
      </c>
      <c r="C67" s="54">
        <f>'Conductor-Guarda-Azafata'!C38</f>
        <v>0</v>
      </c>
      <c r="D67" s="136">
        <f>'Conductor-Guarda-Azafata'!E38</f>
        <v>0</v>
      </c>
      <c r="E67" s="73">
        <f>'Conductor-Guarda-Azafata'!F38</f>
        <v>0</v>
      </c>
      <c r="F67" s="71" t="e">
        <f>IF($B67="","",VLOOKUP($B67,'Conductor-Guarda-Azafata'!$B$8:$AN$271,6))</f>
        <v>#N/A</v>
      </c>
      <c r="G67" s="74" t="e">
        <f>IF($B67="","",VLOOKUP($B67,'Conductor-Guarda-Azafata'!$B$8:$AN$271,7))</f>
        <v>#N/A</v>
      </c>
      <c r="H67" s="74" t="e">
        <f>IF($B67="","",VLOOKUP($B67,'Conductor-Guarda-Azafata'!$B$8:$AN$271,8))</f>
        <v>#N/A</v>
      </c>
      <c r="I67" s="71"/>
      <c r="J67" s="71" t="e">
        <f>IF($B67="","",VLOOKUP($B67,'Conductor-Guarda-Azafata'!$B$8:$AN$271,10))</f>
        <v>#N/A</v>
      </c>
      <c r="K67" s="71"/>
      <c r="L67" s="71" t="e">
        <f>IF($B67="","",VLOOKUP($B67,'Conductor-Guarda-Azafata'!$B$8:$AN$271,24))</f>
        <v>#N/A</v>
      </c>
      <c r="M67" s="115" t="s">
        <v>225</v>
      </c>
      <c r="N67" s="116" t="s">
        <v>225</v>
      </c>
      <c r="O67" s="116" t="s">
        <v>225</v>
      </c>
      <c r="P67" s="116" t="s">
        <v>226</v>
      </c>
      <c r="Q67" s="57"/>
      <c r="R67" s="116" t="s">
        <v>225</v>
      </c>
      <c r="S67" s="116" t="s">
        <v>225</v>
      </c>
      <c r="T67" s="116" t="s">
        <v>225</v>
      </c>
      <c r="U67" s="116" t="s">
        <v>225</v>
      </c>
      <c r="V67" s="117" t="s">
        <v>225</v>
      </c>
      <c r="W67" s="51"/>
    </row>
    <row r="68" spans="2:23" ht="20.100000000000001" customHeight="1" x14ac:dyDescent="0.25">
      <c r="B68" s="54">
        <f>'Conductor-Guarda-Azafata'!B39</f>
        <v>0</v>
      </c>
      <c r="C68" s="54">
        <f>'Conductor-Guarda-Azafata'!C39</f>
        <v>0</v>
      </c>
      <c r="D68" s="136">
        <f>'Conductor-Guarda-Azafata'!E39</f>
        <v>0</v>
      </c>
      <c r="E68" s="73">
        <f>'Conductor-Guarda-Azafata'!F39</f>
        <v>0</v>
      </c>
      <c r="F68" s="71" t="e">
        <f>IF($B68="","",VLOOKUP($B68,'Conductor-Guarda-Azafata'!$B$8:$AN$271,6))</f>
        <v>#N/A</v>
      </c>
      <c r="G68" s="74" t="e">
        <f>IF($B68="","",VLOOKUP($B68,'Conductor-Guarda-Azafata'!$B$8:$AN$271,7))</f>
        <v>#N/A</v>
      </c>
      <c r="H68" s="74" t="e">
        <f>IF($B68="","",VLOOKUP($B68,'Conductor-Guarda-Azafata'!$B$8:$AN$271,8))</f>
        <v>#N/A</v>
      </c>
      <c r="I68" s="71"/>
      <c r="J68" s="71" t="e">
        <f>IF($B68="","",VLOOKUP($B68,'Conductor-Guarda-Azafata'!$B$8:$AN$271,10))</f>
        <v>#N/A</v>
      </c>
      <c r="K68" s="71"/>
      <c r="L68" s="71" t="e">
        <f>IF($B68="","",VLOOKUP($B68,'Conductor-Guarda-Azafata'!$B$8:$AN$271,24))</f>
        <v>#N/A</v>
      </c>
      <c r="M68" s="115" t="s">
        <v>225</v>
      </c>
      <c r="N68" s="116" t="s">
        <v>225</v>
      </c>
      <c r="O68" s="116" t="s">
        <v>225</v>
      </c>
      <c r="P68" s="116" t="s">
        <v>226</v>
      </c>
      <c r="Q68" s="57"/>
      <c r="R68" s="116" t="s">
        <v>225</v>
      </c>
      <c r="S68" s="116" t="s">
        <v>225</v>
      </c>
      <c r="T68" s="116" t="s">
        <v>225</v>
      </c>
      <c r="U68" s="116" t="s">
        <v>225</v>
      </c>
      <c r="V68" s="117" t="s">
        <v>225</v>
      </c>
      <c r="W68" s="51"/>
    </row>
    <row r="69" spans="2:23" ht="20.100000000000001" customHeight="1" x14ac:dyDescent="0.25">
      <c r="B69" s="54">
        <f>'Conductor-Guarda-Azafata'!B40</f>
        <v>0</v>
      </c>
      <c r="C69" s="54">
        <f>'Conductor-Guarda-Azafata'!C40</f>
        <v>0</v>
      </c>
      <c r="D69" s="136">
        <f>'Conductor-Guarda-Azafata'!E40</f>
        <v>0</v>
      </c>
      <c r="E69" s="73">
        <f>'Conductor-Guarda-Azafata'!F40</f>
        <v>0</v>
      </c>
      <c r="F69" s="71" t="e">
        <f>IF($B69="","",VLOOKUP($B69,'Conductor-Guarda-Azafata'!$B$8:$AN$271,6))</f>
        <v>#N/A</v>
      </c>
      <c r="G69" s="74" t="e">
        <f>IF($B69="","",VLOOKUP($B69,'Conductor-Guarda-Azafata'!$B$8:$AN$271,7))</f>
        <v>#N/A</v>
      </c>
      <c r="H69" s="74" t="e">
        <f>IF($B69="","",VLOOKUP($B69,'Conductor-Guarda-Azafata'!$B$8:$AN$271,8))</f>
        <v>#N/A</v>
      </c>
      <c r="I69" s="71"/>
      <c r="J69" s="71" t="e">
        <f>IF($B69="","",VLOOKUP($B69,'Conductor-Guarda-Azafata'!$B$8:$AN$271,10))</f>
        <v>#N/A</v>
      </c>
      <c r="K69" s="71"/>
      <c r="L69" s="71" t="e">
        <f>IF($B69="","",VLOOKUP($B69,'Conductor-Guarda-Azafata'!$B$8:$AN$271,24))</f>
        <v>#N/A</v>
      </c>
      <c r="M69" s="115" t="s">
        <v>225</v>
      </c>
      <c r="N69" s="116" t="s">
        <v>225</v>
      </c>
      <c r="O69" s="116" t="s">
        <v>225</v>
      </c>
      <c r="P69" s="116" t="s">
        <v>226</v>
      </c>
      <c r="Q69" s="57"/>
      <c r="R69" s="116" t="s">
        <v>225</v>
      </c>
      <c r="S69" s="116" t="s">
        <v>225</v>
      </c>
      <c r="T69" s="116" t="s">
        <v>225</v>
      </c>
      <c r="U69" s="116" t="s">
        <v>225</v>
      </c>
      <c r="V69" s="117" t="s">
        <v>225</v>
      </c>
      <c r="W69" s="51"/>
    </row>
    <row r="70" spans="2:23" ht="20.100000000000001" customHeight="1" x14ac:dyDescent="0.25">
      <c r="B70" s="54">
        <f>'Conductor-Guarda-Azafata'!B41</f>
        <v>0</v>
      </c>
      <c r="C70" s="54">
        <f>'Conductor-Guarda-Azafata'!C41</f>
        <v>0</v>
      </c>
      <c r="D70" s="136">
        <f>'Conductor-Guarda-Azafata'!E41</f>
        <v>0</v>
      </c>
      <c r="E70" s="73">
        <f>'Conductor-Guarda-Azafata'!F41</f>
        <v>0</v>
      </c>
      <c r="F70" s="71" t="e">
        <f>IF($B70="","",VLOOKUP($B70,'Conductor-Guarda-Azafata'!$B$8:$AN$271,6))</f>
        <v>#N/A</v>
      </c>
      <c r="G70" s="74" t="e">
        <f>IF($B70="","",VLOOKUP($B70,'Conductor-Guarda-Azafata'!$B$8:$AN$271,7))</f>
        <v>#N/A</v>
      </c>
      <c r="H70" s="74" t="e">
        <f>IF($B70="","",VLOOKUP($B70,'Conductor-Guarda-Azafata'!$B$8:$AN$271,8))</f>
        <v>#N/A</v>
      </c>
      <c r="I70" s="71"/>
      <c r="J70" s="71" t="e">
        <f>IF($B70="","",VLOOKUP($B70,'Conductor-Guarda-Azafata'!$B$8:$AN$271,10))</f>
        <v>#N/A</v>
      </c>
      <c r="K70" s="71"/>
      <c r="L70" s="71" t="e">
        <f>IF($B70="","",VLOOKUP($B70,'Conductor-Guarda-Azafata'!$B$8:$AN$271,24))</f>
        <v>#N/A</v>
      </c>
      <c r="M70" s="115" t="s">
        <v>225</v>
      </c>
      <c r="N70" s="116" t="s">
        <v>225</v>
      </c>
      <c r="O70" s="116" t="s">
        <v>225</v>
      </c>
      <c r="P70" s="116" t="s">
        <v>226</v>
      </c>
      <c r="Q70" s="57"/>
      <c r="R70" s="116" t="s">
        <v>225</v>
      </c>
      <c r="S70" s="116" t="s">
        <v>225</v>
      </c>
      <c r="T70" s="116" t="s">
        <v>225</v>
      </c>
      <c r="U70" s="116" t="s">
        <v>225</v>
      </c>
      <c r="V70" s="117" t="s">
        <v>225</v>
      </c>
      <c r="W70" s="51"/>
    </row>
    <row r="71" spans="2:23" ht="20.100000000000001" customHeight="1" x14ac:dyDescent="0.25">
      <c r="B71" s="54">
        <f>'Conductor-Guarda-Azafata'!B42</f>
        <v>0</v>
      </c>
      <c r="C71" s="54">
        <f>'Conductor-Guarda-Azafata'!C42</f>
        <v>0</v>
      </c>
      <c r="D71" s="136">
        <f>'Conductor-Guarda-Azafata'!E42</f>
        <v>0</v>
      </c>
      <c r="E71" s="73">
        <f>'Conductor-Guarda-Azafata'!F42</f>
        <v>0</v>
      </c>
      <c r="F71" s="71" t="e">
        <f>IF($B71="","",VLOOKUP($B71,'Conductor-Guarda-Azafata'!$B$8:$AN$271,6))</f>
        <v>#N/A</v>
      </c>
      <c r="G71" s="74" t="e">
        <f>IF($B71="","",VLOOKUP($B71,'Conductor-Guarda-Azafata'!$B$8:$AN$271,7))</f>
        <v>#N/A</v>
      </c>
      <c r="H71" s="74" t="e">
        <f>IF($B71="","",VLOOKUP($B71,'Conductor-Guarda-Azafata'!$B$8:$AN$271,8))</f>
        <v>#N/A</v>
      </c>
      <c r="I71" s="71"/>
      <c r="J71" s="71" t="e">
        <f>IF($B71="","",VLOOKUP($B71,'Conductor-Guarda-Azafata'!$B$8:$AN$271,10))</f>
        <v>#N/A</v>
      </c>
      <c r="K71" s="71"/>
      <c r="L71" s="71"/>
      <c r="M71" s="55"/>
      <c r="N71" s="56"/>
      <c r="O71" s="56"/>
      <c r="P71" s="56"/>
      <c r="Q71" s="57"/>
      <c r="R71" s="56"/>
      <c r="S71" s="56"/>
      <c r="T71" s="56"/>
      <c r="U71" s="56"/>
      <c r="V71" s="58"/>
      <c r="W71" s="51"/>
    </row>
    <row r="72" spans="2:23" ht="20.100000000000001" customHeight="1" x14ac:dyDescent="0.25">
      <c r="B72" s="54">
        <f>'Conductor-Guarda-Azafata'!B43</f>
        <v>0</v>
      </c>
      <c r="C72" s="54">
        <f>'Conductor-Guarda-Azafata'!C43</f>
        <v>0</v>
      </c>
      <c r="D72" s="136">
        <f>'Conductor-Guarda-Azafata'!E43</f>
        <v>0</v>
      </c>
      <c r="E72" s="73">
        <f>'Conductor-Guarda-Azafata'!F43</f>
        <v>0</v>
      </c>
      <c r="F72" s="71" t="e">
        <f>IF($B72="","",VLOOKUP($B72,'Conductor-Guarda-Azafata'!$B$8:$AN$271,6))</f>
        <v>#N/A</v>
      </c>
      <c r="G72" s="74" t="e">
        <f>IF($B72="","",VLOOKUP($B72,'Conductor-Guarda-Azafata'!$B$8:$AN$271,7))</f>
        <v>#N/A</v>
      </c>
      <c r="H72" s="74" t="e">
        <f>IF($B72="","",VLOOKUP($B72,'Conductor-Guarda-Azafata'!$B$8:$AN$271,8))</f>
        <v>#N/A</v>
      </c>
      <c r="I72" s="71"/>
      <c r="J72" s="71" t="e">
        <f>IF($B72="","",VLOOKUP($B72,'Conductor-Guarda-Azafata'!$B$8:$AN$271,10))</f>
        <v>#N/A</v>
      </c>
      <c r="K72" s="71"/>
      <c r="L72" s="71" t="e">
        <f>IF($B72="","",VLOOKUP($B72,'Conductor-Guarda-Azafata'!$B$8:$AN$271,24))</f>
        <v>#N/A</v>
      </c>
      <c r="M72" s="115" t="s">
        <v>225</v>
      </c>
      <c r="N72" s="116" t="s">
        <v>225</v>
      </c>
      <c r="O72" s="116" t="s">
        <v>225</v>
      </c>
      <c r="P72" s="116" t="s">
        <v>226</v>
      </c>
      <c r="Q72" s="57"/>
      <c r="R72" s="116" t="s">
        <v>225</v>
      </c>
      <c r="S72" s="116" t="s">
        <v>225</v>
      </c>
      <c r="T72" s="116" t="s">
        <v>225</v>
      </c>
      <c r="U72" s="116" t="s">
        <v>225</v>
      </c>
      <c r="V72" s="117" t="s">
        <v>225</v>
      </c>
      <c r="W72" s="51"/>
    </row>
    <row r="73" spans="2:23" ht="20.100000000000001" customHeight="1" x14ac:dyDescent="0.25">
      <c r="B73" s="54">
        <f>'Conductor-Guarda-Azafata'!B44</f>
        <v>0</v>
      </c>
      <c r="C73" s="54">
        <f>'Conductor-Guarda-Azafata'!C44</f>
        <v>0</v>
      </c>
      <c r="D73" s="136">
        <f>'Conductor-Guarda-Azafata'!E44</f>
        <v>0</v>
      </c>
      <c r="E73" s="73">
        <f>'Conductor-Guarda-Azafata'!F44</f>
        <v>0</v>
      </c>
      <c r="F73" s="71" t="e">
        <f>IF($B73="","",VLOOKUP($B73,'Conductor-Guarda-Azafata'!$B$8:$AN$271,6))</f>
        <v>#N/A</v>
      </c>
      <c r="G73" s="74" t="e">
        <f>IF($B73="","",VLOOKUP($B73,'Conductor-Guarda-Azafata'!$B$8:$AN$271,7))</f>
        <v>#N/A</v>
      </c>
      <c r="H73" s="74" t="e">
        <f>IF($B73="","",VLOOKUP($B73,'Conductor-Guarda-Azafata'!$B$8:$AN$271,8))</f>
        <v>#N/A</v>
      </c>
      <c r="I73" s="71"/>
      <c r="J73" s="71" t="e">
        <f>IF($B73="","",VLOOKUP($B73,'Conductor-Guarda-Azafata'!$B$8:$AN$271,10))</f>
        <v>#N/A</v>
      </c>
      <c r="K73" s="71"/>
      <c r="L73" s="71" t="e">
        <f>IF($B73="","",VLOOKUP($B73,'Conductor-Guarda-Azafata'!$B$8:$AN$271,24))</f>
        <v>#N/A</v>
      </c>
      <c r="M73" s="115" t="s">
        <v>225</v>
      </c>
      <c r="N73" s="116" t="s">
        <v>225</v>
      </c>
      <c r="O73" s="116" t="s">
        <v>225</v>
      </c>
      <c r="P73" s="116" t="s">
        <v>226</v>
      </c>
      <c r="Q73" s="57"/>
      <c r="R73" s="116" t="s">
        <v>225</v>
      </c>
      <c r="S73" s="116" t="s">
        <v>225</v>
      </c>
      <c r="T73" s="116" t="s">
        <v>225</v>
      </c>
      <c r="U73" s="116" t="s">
        <v>225</v>
      </c>
      <c r="V73" s="117" t="s">
        <v>225</v>
      </c>
      <c r="W73" s="51"/>
    </row>
    <row r="74" spans="2:23" ht="20.100000000000001" customHeight="1" x14ac:dyDescent="0.25">
      <c r="B74" s="54">
        <f>'Conductor-Guarda-Azafata'!B45</f>
        <v>0</v>
      </c>
      <c r="C74" s="54">
        <f>'Conductor-Guarda-Azafata'!C45</f>
        <v>0</v>
      </c>
      <c r="D74" s="136">
        <f>'Conductor-Guarda-Azafata'!E45</f>
        <v>0</v>
      </c>
      <c r="E74" s="73">
        <f>'Conductor-Guarda-Azafata'!F45</f>
        <v>0</v>
      </c>
      <c r="F74" s="71" t="e">
        <f>IF($B74="","",VLOOKUP($B74,'Conductor-Guarda-Azafata'!$B$8:$AN$271,6))</f>
        <v>#N/A</v>
      </c>
      <c r="G74" s="74" t="e">
        <f>IF($B74="","",VLOOKUP($B74,'Conductor-Guarda-Azafata'!$B$8:$AN$271,7))</f>
        <v>#N/A</v>
      </c>
      <c r="H74" s="74" t="e">
        <f>IF($B74="","",VLOOKUP($B74,'Conductor-Guarda-Azafata'!$B$8:$AN$271,8))</f>
        <v>#N/A</v>
      </c>
      <c r="I74" s="71"/>
      <c r="J74" s="71" t="e">
        <f>IF($B74="","",VLOOKUP($B74,'Conductor-Guarda-Azafata'!$B$8:$AN$271,10))</f>
        <v>#N/A</v>
      </c>
      <c r="K74" s="71"/>
      <c r="L74" s="71"/>
      <c r="M74" s="55"/>
      <c r="N74" s="56"/>
      <c r="O74" s="56"/>
      <c r="P74" s="56"/>
      <c r="Q74" s="57"/>
      <c r="R74" s="56"/>
      <c r="S74" s="56"/>
      <c r="T74" s="56"/>
      <c r="U74" s="56"/>
      <c r="V74" s="58"/>
      <c r="W74" s="51"/>
    </row>
    <row r="75" spans="2:23" ht="20.100000000000001" customHeight="1" x14ac:dyDescent="0.25">
      <c r="B75" s="54">
        <f>'Conductor-Guarda-Azafata'!B46</f>
        <v>0</v>
      </c>
      <c r="C75" s="54">
        <f>'Conductor-Guarda-Azafata'!C46</f>
        <v>0</v>
      </c>
      <c r="D75" s="136">
        <f>'Conductor-Guarda-Azafata'!E46</f>
        <v>0</v>
      </c>
      <c r="E75" s="73">
        <f>'Conductor-Guarda-Azafata'!F46</f>
        <v>0</v>
      </c>
      <c r="F75" s="71" t="e">
        <f>IF($B75="","",VLOOKUP($B75,'Conductor-Guarda-Azafata'!$B$8:$AN$271,6))</f>
        <v>#N/A</v>
      </c>
      <c r="G75" s="74" t="e">
        <f>IF($B75="","",VLOOKUP($B75,'Conductor-Guarda-Azafata'!$B$8:$AN$271,7))</f>
        <v>#N/A</v>
      </c>
      <c r="H75" s="74" t="e">
        <f>IF($B75="","",VLOOKUP($B75,'Conductor-Guarda-Azafata'!$B$8:$AN$271,8))</f>
        <v>#N/A</v>
      </c>
      <c r="I75" s="71"/>
      <c r="J75" s="71" t="e">
        <f>IF($B75="","",VLOOKUP($B75,'Conductor-Guarda-Azafata'!$B$8:$AN$271,10))</f>
        <v>#N/A</v>
      </c>
      <c r="K75" s="71"/>
      <c r="L75" s="71" t="e">
        <f>IF($B75="","",VLOOKUP($B75,'Conductor-Guarda-Azafata'!$B$8:$AN$271,24))</f>
        <v>#N/A</v>
      </c>
      <c r="M75" s="115" t="s">
        <v>225</v>
      </c>
      <c r="N75" s="116" t="s">
        <v>225</v>
      </c>
      <c r="O75" s="116" t="s">
        <v>225</v>
      </c>
      <c r="P75" s="116" t="s">
        <v>226</v>
      </c>
      <c r="Q75" s="57"/>
      <c r="R75" s="116" t="s">
        <v>225</v>
      </c>
      <c r="S75" s="116" t="s">
        <v>225</v>
      </c>
      <c r="T75" s="116" t="s">
        <v>225</v>
      </c>
      <c r="U75" s="116" t="s">
        <v>225</v>
      </c>
      <c r="V75" s="117" t="s">
        <v>225</v>
      </c>
      <c r="W75" s="51"/>
    </row>
    <row r="76" spans="2:23" ht="20.100000000000001" customHeight="1" x14ac:dyDescent="0.25">
      <c r="B76" s="54">
        <f>'Conductor-Guarda-Azafata'!B47</f>
        <v>0</v>
      </c>
      <c r="C76" s="54">
        <f>'Conductor-Guarda-Azafata'!C47</f>
        <v>0</v>
      </c>
      <c r="D76" s="136">
        <f>'Conductor-Guarda-Azafata'!E47</f>
        <v>0</v>
      </c>
      <c r="E76" s="73">
        <f>'Conductor-Guarda-Azafata'!F47</f>
        <v>0</v>
      </c>
      <c r="F76" s="71" t="e">
        <f>IF($B76="","",VLOOKUP($B76,'Conductor-Guarda-Azafata'!$B$8:$AN$271,6))</f>
        <v>#N/A</v>
      </c>
      <c r="G76" s="74" t="e">
        <f>IF($B76="","",VLOOKUP($B76,'Conductor-Guarda-Azafata'!$B$8:$AN$271,7))</f>
        <v>#N/A</v>
      </c>
      <c r="H76" s="74" t="e">
        <f>IF($B76="","",VLOOKUP($B76,'Conductor-Guarda-Azafata'!$B$8:$AN$271,8))</f>
        <v>#N/A</v>
      </c>
      <c r="I76" s="71"/>
      <c r="J76" s="71" t="e">
        <f>IF($B76="","",VLOOKUP($B76,'Conductor-Guarda-Azafata'!$B$8:$AN$271,10))</f>
        <v>#N/A</v>
      </c>
      <c r="K76" s="71"/>
      <c r="L76" s="71" t="e">
        <f>IF($B76="","",VLOOKUP($B76,'Conductor-Guarda-Azafata'!$B$8:$AN$271,24))</f>
        <v>#N/A</v>
      </c>
      <c r="M76" s="115" t="s">
        <v>225</v>
      </c>
      <c r="N76" s="116" t="s">
        <v>225</v>
      </c>
      <c r="O76" s="116" t="s">
        <v>225</v>
      </c>
      <c r="P76" s="116" t="s">
        <v>226</v>
      </c>
      <c r="Q76" s="57"/>
      <c r="R76" s="116" t="s">
        <v>225</v>
      </c>
      <c r="S76" s="116" t="s">
        <v>225</v>
      </c>
      <c r="T76" s="116" t="s">
        <v>225</v>
      </c>
      <c r="U76" s="116" t="s">
        <v>225</v>
      </c>
      <c r="V76" s="117" t="s">
        <v>225</v>
      </c>
      <c r="W76" s="51" t="s">
        <v>286</v>
      </c>
    </row>
    <row r="77" spans="2:23" ht="20.100000000000001" customHeight="1" x14ac:dyDescent="0.25">
      <c r="B77" s="54">
        <f>'Conductor-Guarda-Azafata'!B48</f>
        <v>0</v>
      </c>
      <c r="C77" s="54">
        <f>'Conductor-Guarda-Azafata'!C48</f>
        <v>0</v>
      </c>
      <c r="D77" s="136">
        <f>'Conductor-Guarda-Azafata'!E48</f>
        <v>0</v>
      </c>
      <c r="E77" s="73">
        <f>'Conductor-Guarda-Azafata'!F48</f>
        <v>0</v>
      </c>
      <c r="F77" s="71" t="e">
        <f>IF($B77="","",VLOOKUP($B77,'Conductor-Guarda-Azafata'!$B$8:$AN$271,6))</f>
        <v>#N/A</v>
      </c>
      <c r="G77" s="74" t="e">
        <f>IF($B77="","",VLOOKUP($B77,'Conductor-Guarda-Azafata'!$B$8:$AN$271,7))</f>
        <v>#N/A</v>
      </c>
      <c r="H77" s="74" t="e">
        <f>IF($B77="","",VLOOKUP($B77,'Conductor-Guarda-Azafata'!$B$8:$AN$271,8))</f>
        <v>#N/A</v>
      </c>
      <c r="I77" s="71"/>
      <c r="J77" s="71" t="e">
        <f>IF($B77="","",VLOOKUP($B77,'Conductor-Guarda-Azafata'!$B$8:$AN$271,10))</f>
        <v>#N/A</v>
      </c>
      <c r="K77" s="71"/>
      <c r="L77" s="71" t="e">
        <f>IF($B77="","",VLOOKUP($B77,'Conductor-Guarda-Azafata'!$B$8:$AN$271,24))</f>
        <v>#N/A</v>
      </c>
      <c r="M77" s="115" t="s">
        <v>225</v>
      </c>
      <c r="N77" s="116" t="s">
        <v>225</v>
      </c>
      <c r="O77" s="116" t="s">
        <v>225</v>
      </c>
      <c r="P77" s="116" t="s">
        <v>226</v>
      </c>
      <c r="Q77" s="57"/>
      <c r="R77" s="116" t="s">
        <v>225</v>
      </c>
      <c r="S77" s="116" t="s">
        <v>225</v>
      </c>
      <c r="T77" s="116" t="s">
        <v>225</v>
      </c>
      <c r="U77" s="116" t="s">
        <v>225</v>
      </c>
      <c r="V77" s="117" t="s">
        <v>225</v>
      </c>
      <c r="W77" s="51"/>
    </row>
    <row r="78" spans="2:23" ht="20.100000000000001" customHeight="1" x14ac:dyDescent="0.25">
      <c r="B78" s="54">
        <f>'Conductor-Guarda-Azafata'!B49</f>
        <v>0</v>
      </c>
      <c r="C78" s="54">
        <f>'Conductor-Guarda-Azafata'!C49</f>
        <v>0</v>
      </c>
      <c r="D78" s="136">
        <f>'Conductor-Guarda-Azafata'!E49</f>
        <v>0</v>
      </c>
      <c r="E78" s="73">
        <f>'Conductor-Guarda-Azafata'!F49</f>
        <v>0</v>
      </c>
      <c r="F78" s="71" t="e">
        <f>IF($B78="","",VLOOKUP($B78,'Conductor-Guarda-Azafata'!$B$8:$AN$271,6))</f>
        <v>#N/A</v>
      </c>
      <c r="G78" s="74" t="e">
        <f>IF($B78="","",VLOOKUP($B78,'Conductor-Guarda-Azafata'!$B$8:$AN$271,7))</f>
        <v>#N/A</v>
      </c>
      <c r="H78" s="74" t="e">
        <f>IF($B78="","",VLOOKUP($B78,'Conductor-Guarda-Azafata'!$B$8:$AN$271,8))</f>
        <v>#N/A</v>
      </c>
      <c r="I78" s="71"/>
      <c r="J78" s="71" t="e">
        <f>IF($B78="","",VLOOKUP($B78,'Conductor-Guarda-Azafata'!$B$8:$AN$271,10))</f>
        <v>#N/A</v>
      </c>
      <c r="K78" s="71"/>
      <c r="L78" s="71" t="e">
        <f>IF($B78="","",VLOOKUP($B78,'Conductor-Guarda-Azafata'!$B$8:$AN$271,24))</f>
        <v>#N/A</v>
      </c>
      <c r="M78" s="115" t="s">
        <v>225</v>
      </c>
      <c r="N78" s="116" t="s">
        <v>225</v>
      </c>
      <c r="O78" s="116" t="s">
        <v>225</v>
      </c>
      <c r="P78" s="116" t="s">
        <v>225</v>
      </c>
      <c r="Q78" s="57">
        <v>4</v>
      </c>
      <c r="R78" s="116" t="s">
        <v>225</v>
      </c>
      <c r="S78" s="116" t="s">
        <v>225</v>
      </c>
      <c r="T78" s="116" t="s">
        <v>225</v>
      </c>
      <c r="U78" s="116" t="s">
        <v>225</v>
      </c>
      <c r="V78" s="117" t="s">
        <v>225</v>
      </c>
      <c r="W78" s="51"/>
    </row>
    <row r="79" spans="2:23" ht="20.100000000000001" customHeight="1" x14ac:dyDescent="0.25">
      <c r="B79" s="54">
        <f>'Conductor-Guarda-Azafata'!B50</f>
        <v>0</v>
      </c>
      <c r="C79" s="54">
        <f>'Conductor-Guarda-Azafata'!C50</f>
        <v>0</v>
      </c>
      <c r="D79" s="136">
        <f>'Conductor-Guarda-Azafata'!E50</f>
        <v>0</v>
      </c>
      <c r="E79" s="73">
        <f>'Conductor-Guarda-Azafata'!F50</f>
        <v>0</v>
      </c>
      <c r="F79" s="71" t="e">
        <f>IF($B79="","",VLOOKUP($B79,'Conductor-Guarda-Azafata'!$B$8:$AN$271,6))</f>
        <v>#N/A</v>
      </c>
      <c r="G79" s="74" t="e">
        <f>IF($B79="","",VLOOKUP($B79,'Conductor-Guarda-Azafata'!$B$8:$AN$271,7))</f>
        <v>#N/A</v>
      </c>
      <c r="H79" s="74" t="e">
        <f>IF($B79="","",VLOOKUP($B79,'Conductor-Guarda-Azafata'!$B$8:$AN$271,8))</f>
        <v>#N/A</v>
      </c>
      <c r="I79" s="71"/>
      <c r="J79" s="71" t="e">
        <f>IF($B79="","",VLOOKUP($B79,'Conductor-Guarda-Azafata'!$B$8:$AN$271,10))</f>
        <v>#N/A</v>
      </c>
      <c r="K79" s="71"/>
      <c r="L79" s="71" t="e">
        <f>IF($B79="","",VLOOKUP($B79,'Conductor-Guarda-Azafata'!$B$8:$AN$271,24))</f>
        <v>#N/A</v>
      </c>
      <c r="M79" s="115" t="s">
        <v>225</v>
      </c>
      <c r="N79" s="116" t="s">
        <v>225</v>
      </c>
      <c r="O79" s="116" t="s">
        <v>225</v>
      </c>
      <c r="P79" s="116" t="s">
        <v>226</v>
      </c>
      <c r="Q79" s="57"/>
      <c r="R79" s="116" t="s">
        <v>225</v>
      </c>
      <c r="S79" s="116" t="s">
        <v>225</v>
      </c>
      <c r="T79" s="116" t="s">
        <v>225</v>
      </c>
      <c r="U79" s="116" t="s">
        <v>225</v>
      </c>
      <c r="V79" s="117" t="s">
        <v>225</v>
      </c>
      <c r="W79" s="51"/>
    </row>
    <row r="80" spans="2:23" ht="20.100000000000001" customHeight="1" x14ac:dyDescent="0.25">
      <c r="B80" s="54">
        <f>'Conductor-Guarda-Azafata'!B51</f>
        <v>0</v>
      </c>
      <c r="C80" s="54">
        <f>'Conductor-Guarda-Azafata'!C51</f>
        <v>0</v>
      </c>
      <c r="D80" s="136">
        <f>'Conductor-Guarda-Azafata'!E51</f>
        <v>0</v>
      </c>
      <c r="E80" s="73">
        <f>'Conductor-Guarda-Azafata'!F51</f>
        <v>0</v>
      </c>
      <c r="F80" s="71" t="e">
        <f>IF($B80="","",VLOOKUP($B80,'Conductor-Guarda-Azafata'!$B$8:$AN$271,6))</f>
        <v>#N/A</v>
      </c>
      <c r="G80" s="74" t="e">
        <f>IF($B80="","",VLOOKUP($B80,'Conductor-Guarda-Azafata'!$B$8:$AN$271,7))</f>
        <v>#N/A</v>
      </c>
      <c r="H80" s="74" t="e">
        <f>IF($B80="","",VLOOKUP($B80,'Conductor-Guarda-Azafata'!$B$8:$AN$271,8))</f>
        <v>#N/A</v>
      </c>
      <c r="I80" s="71"/>
      <c r="J80" s="71" t="e">
        <f>IF($B80="","",VLOOKUP($B80,'Conductor-Guarda-Azafata'!$B$8:$AN$271,10))</f>
        <v>#N/A</v>
      </c>
      <c r="K80" s="71"/>
      <c r="L80" s="71" t="e">
        <f>IF($B80="","",VLOOKUP($B80,'Conductor-Guarda-Azafata'!$B$8:$AN$271,24))</f>
        <v>#N/A</v>
      </c>
      <c r="M80" s="115" t="s">
        <v>225</v>
      </c>
      <c r="N80" s="116" t="s">
        <v>225</v>
      </c>
      <c r="O80" s="116" t="s">
        <v>225</v>
      </c>
      <c r="P80" s="116" t="s">
        <v>226</v>
      </c>
      <c r="Q80" s="57"/>
      <c r="R80" s="116" t="s">
        <v>225</v>
      </c>
      <c r="S80" s="116" t="s">
        <v>225</v>
      </c>
      <c r="T80" s="116" t="s">
        <v>225</v>
      </c>
      <c r="U80" s="116" t="s">
        <v>225</v>
      </c>
      <c r="V80" s="117" t="s">
        <v>225</v>
      </c>
      <c r="W80" s="51"/>
    </row>
    <row r="81" spans="2:23" ht="20.100000000000001" customHeight="1" x14ac:dyDescent="0.25">
      <c r="B81" s="54">
        <f>'Conductor-Guarda-Azafata'!B52</f>
        <v>0</v>
      </c>
      <c r="C81" s="54">
        <f>'Conductor-Guarda-Azafata'!C52</f>
        <v>0</v>
      </c>
      <c r="D81" s="136">
        <f>'Conductor-Guarda-Azafata'!E52</f>
        <v>0</v>
      </c>
      <c r="E81" s="73">
        <f>'Conductor-Guarda-Azafata'!F52</f>
        <v>0</v>
      </c>
      <c r="F81" s="71" t="e">
        <f>IF($B81="","",VLOOKUP($B81,'Conductor-Guarda-Azafata'!$B$8:$AN$271,6))</f>
        <v>#N/A</v>
      </c>
      <c r="G81" s="74" t="e">
        <f>IF($B81="","",VLOOKUP($B81,'Conductor-Guarda-Azafata'!$B$8:$AN$271,7))</f>
        <v>#N/A</v>
      </c>
      <c r="H81" s="74" t="e">
        <f>IF($B81="","",VLOOKUP($B81,'Conductor-Guarda-Azafata'!$B$8:$AN$271,8))</f>
        <v>#N/A</v>
      </c>
      <c r="I81" s="71"/>
      <c r="J81" s="71" t="e">
        <f>IF($B81="","",VLOOKUP($B81,'Conductor-Guarda-Azafata'!$B$8:$AN$271,10))</f>
        <v>#N/A</v>
      </c>
      <c r="K81" s="71"/>
      <c r="L81" s="71" t="e">
        <f>IF($B81="","",VLOOKUP($B81,'Conductor-Guarda-Azafata'!$B$8:$AN$271,24))</f>
        <v>#N/A</v>
      </c>
      <c r="M81" s="55"/>
      <c r="N81" s="56"/>
      <c r="O81" s="56"/>
      <c r="P81" s="56"/>
      <c r="Q81" s="57"/>
      <c r="R81" s="56"/>
      <c r="S81" s="56"/>
      <c r="T81" s="56"/>
      <c r="U81" s="56"/>
      <c r="V81" s="58"/>
      <c r="W81" s="51"/>
    </row>
    <row r="82" spans="2:23" ht="20.100000000000001" customHeight="1" x14ac:dyDescent="0.25">
      <c r="B82" s="54">
        <f>'Conductor-Guarda-Azafata'!B53</f>
        <v>0</v>
      </c>
      <c r="C82" s="54">
        <f>'Conductor-Guarda-Azafata'!C53</f>
        <v>0</v>
      </c>
      <c r="D82" s="136">
        <f>'Conductor-Guarda-Azafata'!E53</f>
        <v>0</v>
      </c>
      <c r="E82" s="73">
        <f>'Conductor-Guarda-Azafata'!F53</f>
        <v>0</v>
      </c>
      <c r="F82" s="71" t="e">
        <f>IF($B82="","",VLOOKUP($B82,'Conductor-Guarda-Azafata'!$B$8:$AN$271,6))</f>
        <v>#N/A</v>
      </c>
      <c r="G82" s="74" t="e">
        <f>IF($B82="","",VLOOKUP($B82,'Conductor-Guarda-Azafata'!$B$8:$AN$271,7))</f>
        <v>#N/A</v>
      </c>
      <c r="H82" s="74" t="e">
        <f>IF($B82="","",VLOOKUP($B82,'Conductor-Guarda-Azafata'!$B$8:$AN$271,8))</f>
        <v>#N/A</v>
      </c>
      <c r="I82" s="71"/>
      <c r="J82" s="71" t="e">
        <f>IF($B82="","",VLOOKUP($B82,'Conductor-Guarda-Azafata'!$B$8:$AN$271,10))</f>
        <v>#N/A</v>
      </c>
      <c r="K82" s="71"/>
      <c r="L82" s="71" t="e">
        <f>IF($B82="","",VLOOKUP($B82,'Conductor-Guarda-Azafata'!$B$8:$AN$271,24))</f>
        <v>#N/A</v>
      </c>
      <c r="M82" s="115" t="s">
        <v>225</v>
      </c>
      <c r="N82" s="116" t="s">
        <v>225</v>
      </c>
      <c r="O82" s="116" t="s">
        <v>225</v>
      </c>
      <c r="P82" s="116" t="s">
        <v>226</v>
      </c>
      <c r="Q82" s="118"/>
      <c r="R82" s="116" t="s">
        <v>225</v>
      </c>
      <c r="S82" s="116" t="s">
        <v>225</v>
      </c>
      <c r="T82" s="116" t="s">
        <v>225</v>
      </c>
      <c r="U82" s="116" t="s">
        <v>225</v>
      </c>
      <c r="V82" s="117" t="s">
        <v>225</v>
      </c>
      <c r="W82" s="51"/>
    </row>
    <row r="83" spans="2:23" ht="20.100000000000001" customHeight="1" x14ac:dyDescent="0.25">
      <c r="B83" s="54">
        <f>'Conductor-Guarda-Azafata'!B54</f>
        <v>0</v>
      </c>
      <c r="C83" s="54">
        <f>'Conductor-Guarda-Azafata'!C54</f>
        <v>0</v>
      </c>
      <c r="D83" s="136">
        <f>'Conductor-Guarda-Azafata'!E54</f>
        <v>0</v>
      </c>
      <c r="E83" s="73">
        <f>'Conductor-Guarda-Azafata'!F54</f>
        <v>0</v>
      </c>
      <c r="F83" s="71" t="e">
        <f>IF($B83="","",VLOOKUP($B83,'Conductor-Guarda-Azafata'!$B$8:$AN$271,6))</f>
        <v>#N/A</v>
      </c>
      <c r="G83" s="74" t="e">
        <f>IF($B83="","",VLOOKUP($B83,'Conductor-Guarda-Azafata'!$B$8:$AN$271,7))</f>
        <v>#N/A</v>
      </c>
      <c r="H83" s="74" t="e">
        <f>IF($B83="","",VLOOKUP($B83,'Conductor-Guarda-Azafata'!$B$8:$AN$271,8))</f>
        <v>#N/A</v>
      </c>
      <c r="I83" s="71"/>
      <c r="J83" s="71" t="e">
        <f>IF($B83="","",VLOOKUP($B83,'Conductor-Guarda-Azafata'!$B$8:$AN$271,10))</f>
        <v>#N/A</v>
      </c>
      <c r="K83" s="71"/>
      <c r="L83" s="71" t="e">
        <f>IF($B83="","",VLOOKUP($B83,'Conductor-Guarda-Azafata'!$B$8:$AN$271,24))</f>
        <v>#N/A</v>
      </c>
      <c r="M83" s="115" t="s">
        <v>225</v>
      </c>
      <c r="N83" s="116" t="s">
        <v>225</v>
      </c>
      <c r="O83" s="116" t="s">
        <v>225</v>
      </c>
      <c r="P83" s="116" t="s">
        <v>226</v>
      </c>
      <c r="Q83" s="57"/>
      <c r="R83" s="116" t="s">
        <v>225</v>
      </c>
      <c r="S83" s="116" t="s">
        <v>225</v>
      </c>
      <c r="T83" s="116" t="s">
        <v>225</v>
      </c>
      <c r="U83" s="116" t="s">
        <v>225</v>
      </c>
      <c r="V83" s="117" t="s">
        <v>225</v>
      </c>
      <c r="W83" s="51"/>
    </row>
    <row r="84" spans="2:23" ht="20.100000000000001" customHeight="1" x14ac:dyDescent="0.25">
      <c r="B84" s="54">
        <f>'Conductor-Guarda-Azafata'!B55</f>
        <v>0</v>
      </c>
      <c r="C84" s="54">
        <f>'Conductor-Guarda-Azafata'!C55</f>
        <v>0</v>
      </c>
      <c r="D84" s="136">
        <f>'Conductor-Guarda-Azafata'!E55</f>
        <v>0</v>
      </c>
      <c r="E84" s="73">
        <f>'Conductor-Guarda-Azafata'!F55</f>
        <v>0</v>
      </c>
      <c r="F84" s="71" t="e">
        <f>IF($B84="","",VLOOKUP($B84,'Conductor-Guarda-Azafata'!$B$8:$AN$271,6))</f>
        <v>#N/A</v>
      </c>
      <c r="G84" s="74" t="e">
        <f>IF($B84="","",VLOOKUP($B84,'Conductor-Guarda-Azafata'!$B$8:$AN$271,7))</f>
        <v>#N/A</v>
      </c>
      <c r="H84" s="74" t="e">
        <f>IF($B84="","",VLOOKUP($B84,'Conductor-Guarda-Azafata'!$B$8:$AN$271,8))</f>
        <v>#N/A</v>
      </c>
      <c r="I84" s="71"/>
      <c r="J84" s="71" t="e">
        <f>IF($B84="","",VLOOKUP($B84,'Conductor-Guarda-Azafata'!$B$8:$AN$271,10))</f>
        <v>#N/A</v>
      </c>
      <c r="K84" s="71"/>
      <c r="L84" s="71" t="s">
        <v>14</v>
      </c>
      <c r="M84" s="115" t="s">
        <v>225</v>
      </c>
      <c r="N84" s="116" t="s">
        <v>225</v>
      </c>
      <c r="O84" s="116" t="s">
        <v>225</v>
      </c>
      <c r="P84" s="116" t="s">
        <v>226</v>
      </c>
      <c r="Q84" s="57"/>
      <c r="R84" s="116" t="s">
        <v>225</v>
      </c>
      <c r="S84" s="116" t="s">
        <v>225</v>
      </c>
      <c r="T84" s="116" t="s">
        <v>225</v>
      </c>
      <c r="U84" s="116" t="s">
        <v>225</v>
      </c>
      <c r="V84" s="117" t="s">
        <v>225</v>
      </c>
      <c r="W84" s="51"/>
    </row>
    <row r="85" spans="2:23" ht="20.100000000000001" customHeight="1" x14ac:dyDescent="0.25">
      <c r="B85" s="54">
        <f>'Conductor-Guarda-Azafata'!B56</f>
        <v>0</v>
      </c>
      <c r="C85" s="54">
        <f>'Conductor-Guarda-Azafata'!C56</f>
        <v>0</v>
      </c>
      <c r="D85" s="136">
        <f>'Conductor-Guarda-Azafata'!E56</f>
        <v>0</v>
      </c>
      <c r="E85" s="73">
        <f>'Conductor-Guarda-Azafata'!F56</f>
        <v>0</v>
      </c>
      <c r="F85" s="71" t="e">
        <f>IF($B85="","",VLOOKUP($B85,'Conductor-Guarda-Azafata'!$B$8:$AN$271,6))</f>
        <v>#N/A</v>
      </c>
      <c r="G85" s="74" t="e">
        <f>IF($B85="","",VLOOKUP($B85,'Conductor-Guarda-Azafata'!$B$8:$AN$271,7))</f>
        <v>#N/A</v>
      </c>
      <c r="H85" s="74" t="e">
        <f>IF($B85="","",VLOOKUP($B85,'Conductor-Guarda-Azafata'!$B$8:$AN$271,8))</f>
        <v>#N/A</v>
      </c>
      <c r="I85" s="71"/>
      <c r="J85" s="71" t="e">
        <f>IF($B85="","",VLOOKUP($B85,'Conductor-Guarda-Azafata'!$B$8:$AN$271,10))</f>
        <v>#N/A</v>
      </c>
      <c r="K85" s="71"/>
      <c r="L85" s="71" t="e">
        <f>IF($B85="","",VLOOKUP($B85,'Conductor-Guarda-Azafata'!$B$8:$AN$271,24))</f>
        <v>#N/A</v>
      </c>
      <c r="M85" s="115" t="s">
        <v>225</v>
      </c>
      <c r="N85" s="116" t="s">
        <v>225</v>
      </c>
      <c r="O85" s="116" t="s">
        <v>225</v>
      </c>
      <c r="P85" s="116" t="s">
        <v>226</v>
      </c>
      <c r="Q85" s="57"/>
      <c r="R85" s="116" t="s">
        <v>225</v>
      </c>
      <c r="S85" s="116" t="s">
        <v>225</v>
      </c>
      <c r="T85" s="116" t="s">
        <v>225</v>
      </c>
      <c r="U85" s="116" t="s">
        <v>225</v>
      </c>
      <c r="V85" s="117" t="s">
        <v>225</v>
      </c>
      <c r="W85" s="51"/>
    </row>
    <row r="86" spans="2:23" ht="20.100000000000001" customHeight="1" x14ac:dyDescent="0.25">
      <c r="B86" s="54">
        <f>'Conductor-Guarda-Azafata'!B57</f>
        <v>0</v>
      </c>
      <c r="C86" s="54">
        <f>'Conductor-Guarda-Azafata'!C57</f>
        <v>0</v>
      </c>
      <c r="D86" s="136">
        <f>'Conductor-Guarda-Azafata'!E57</f>
        <v>0</v>
      </c>
      <c r="E86" s="73">
        <f>'Conductor-Guarda-Azafata'!F57</f>
        <v>0</v>
      </c>
      <c r="F86" s="71" t="e">
        <f>IF($B86="","",VLOOKUP($B86,'Conductor-Guarda-Azafata'!$B$8:$AN$271,6))</f>
        <v>#N/A</v>
      </c>
      <c r="G86" s="74" t="e">
        <f>IF($B86="","",VLOOKUP($B86,'Conductor-Guarda-Azafata'!$B$8:$AN$271,7))</f>
        <v>#N/A</v>
      </c>
      <c r="H86" s="74" t="e">
        <f>IF($B86="","",VLOOKUP($B86,'Conductor-Guarda-Azafata'!$B$8:$AN$271,8))</f>
        <v>#N/A</v>
      </c>
      <c r="I86" s="71"/>
      <c r="J86" s="71" t="e">
        <f>IF($B86="","",VLOOKUP($B86,'Conductor-Guarda-Azafata'!$B$8:$AN$271,10))</f>
        <v>#N/A</v>
      </c>
      <c r="K86" s="71"/>
      <c r="L86" s="71" t="e">
        <f>IF($B86="","",VLOOKUP($B86,'Conductor-Guarda-Azafata'!$B$8:$AN$271,24))</f>
        <v>#N/A</v>
      </c>
      <c r="M86" s="115" t="s">
        <v>225</v>
      </c>
      <c r="N86" s="116" t="s">
        <v>225</v>
      </c>
      <c r="O86" s="116" t="s">
        <v>225</v>
      </c>
      <c r="P86" s="116" t="s">
        <v>226</v>
      </c>
      <c r="Q86" s="57"/>
      <c r="R86" s="116" t="s">
        <v>225</v>
      </c>
      <c r="S86" s="116" t="s">
        <v>225</v>
      </c>
      <c r="T86" s="116" t="s">
        <v>225</v>
      </c>
      <c r="U86" s="116" t="s">
        <v>225</v>
      </c>
      <c r="V86" s="117" t="s">
        <v>225</v>
      </c>
      <c r="W86" s="51"/>
    </row>
    <row r="87" spans="2:23" ht="20.100000000000001" customHeight="1" x14ac:dyDescent="0.25">
      <c r="B87" s="54">
        <f>'Conductor-Guarda-Azafata'!B58</f>
        <v>0</v>
      </c>
      <c r="C87" s="54">
        <f>'Conductor-Guarda-Azafata'!C58</f>
        <v>0</v>
      </c>
      <c r="D87" s="136">
        <f>'Conductor-Guarda-Azafata'!E58</f>
        <v>0</v>
      </c>
      <c r="E87" s="73">
        <f>'Conductor-Guarda-Azafata'!F58</f>
        <v>0</v>
      </c>
      <c r="F87" s="71" t="e">
        <f>IF($B87="","",VLOOKUP($B87,'Conductor-Guarda-Azafata'!$B$8:$AN$271,6))</f>
        <v>#N/A</v>
      </c>
      <c r="G87" s="74" t="e">
        <f>IF($B87="","",VLOOKUP($B87,'Conductor-Guarda-Azafata'!$B$8:$AN$271,7))</f>
        <v>#N/A</v>
      </c>
      <c r="H87" s="74" t="e">
        <f>IF($B87="","",VLOOKUP($B87,'Conductor-Guarda-Azafata'!$B$8:$AN$271,8))</f>
        <v>#N/A</v>
      </c>
      <c r="I87" s="71"/>
      <c r="J87" s="71" t="e">
        <f>IF($B87="","",VLOOKUP($B87,'Conductor-Guarda-Azafata'!$B$8:$AN$271,10))</f>
        <v>#N/A</v>
      </c>
      <c r="K87" s="71"/>
      <c r="L87" s="71" t="e">
        <f>IF($B87="","",VLOOKUP($B87,'Conductor-Guarda-Azafata'!$B$8:$AN$271,24))</f>
        <v>#N/A</v>
      </c>
      <c r="M87" s="115" t="s">
        <v>225</v>
      </c>
      <c r="N87" s="116" t="s">
        <v>225</v>
      </c>
      <c r="O87" s="116" t="s">
        <v>225</v>
      </c>
      <c r="P87" s="116" t="s">
        <v>226</v>
      </c>
      <c r="Q87" s="57"/>
      <c r="R87" s="116" t="s">
        <v>225</v>
      </c>
      <c r="S87" s="116" t="s">
        <v>225</v>
      </c>
      <c r="T87" s="116" t="s">
        <v>225</v>
      </c>
      <c r="U87" s="116" t="s">
        <v>225</v>
      </c>
      <c r="V87" s="117" t="s">
        <v>225</v>
      </c>
      <c r="W87" s="51"/>
    </row>
    <row r="88" spans="2:23" ht="20.100000000000001" customHeight="1" x14ac:dyDescent="0.25">
      <c r="B88" s="54">
        <f>'Conductor-Guarda-Azafata'!B59</f>
        <v>0</v>
      </c>
      <c r="C88" s="54">
        <f>'Conductor-Guarda-Azafata'!C59</f>
        <v>0</v>
      </c>
      <c r="D88" s="136">
        <f>'Conductor-Guarda-Azafata'!E59</f>
        <v>0</v>
      </c>
      <c r="E88" s="73">
        <f>'Conductor-Guarda-Azafata'!F59</f>
        <v>0</v>
      </c>
      <c r="F88" s="71" t="e">
        <f>IF($B88="","",VLOOKUP($B88,'Conductor-Guarda-Azafata'!$B$8:$AN$271,6))</f>
        <v>#N/A</v>
      </c>
      <c r="G88" s="74" t="e">
        <f>IF($B88="","",VLOOKUP($B88,'Conductor-Guarda-Azafata'!$B$8:$AN$271,7))</f>
        <v>#N/A</v>
      </c>
      <c r="H88" s="74" t="e">
        <f>IF($B88="","",VLOOKUP($B88,'Conductor-Guarda-Azafata'!$B$8:$AN$271,8))</f>
        <v>#N/A</v>
      </c>
      <c r="I88" s="71"/>
      <c r="J88" s="71" t="e">
        <f>IF($B88="","",VLOOKUP($B88,'Conductor-Guarda-Azafata'!$B$8:$AN$271,10))</f>
        <v>#N/A</v>
      </c>
      <c r="K88" s="71"/>
      <c r="L88" s="71" t="e">
        <f>IF($B88="","",VLOOKUP($B88,'Conductor-Guarda-Azafata'!$B$8:$AN$271,24))</f>
        <v>#N/A</v>
      </c>
      <c r="M88" s="115" t="s">
        <v>225</v>
      </c>
      <c r="N88" s="116" t="s">
        <v>225</v>
      </c>
      <c r="O88" s="116" t="s">
        <v>225</v>
      </c>
      <c r="P88" s="116" t="s">
        <v>226</v>
      </c>
      <c r="Q88" s="118"/>
      <c r="R88" s="116" t="s">
        <v>225</v>
      </c>
      <c r="S88" s="116" t="s">
        <v>225</v>
      </c>
      <c r="T88" s="116" t="s">
        <v>225</v>
      </c>
      <c r="U88" s="116" t="s">
        <v>225</v>
      </c>
      <c r="V88" s="117" t="s">
        <v>225</v>
      </c>
      <c r="W88" s="51"/>
    </row>
    <row r="89" spans="2:23" ht="20.100000000000001" customHeight="1" x14ac:dyDescent="0.25">
      <c r="B89" s="54">
        <f>'Conductor-Guarda-Azafata'!B60</f>
        <v>0</v>
      </c>
      <c r="C89" s="54">
        <f>'Conductor-Guarda-Azafata'!C60</f>
        <v>0</v>
      </c>
      <c r="D89" s="136">
        <f>'Conductor-Guarda-Azafata'!E60</f>
        <v>0</v>
      </c>
      <c r="E89" s="73">
        <f>'Conductor-Guarda-Azafata'!F60</f>
        <v>0</v>
      </c>
      <c r="F89" s="71" t="e">
        <f>IF($B89="","",VLOOKUP($B89,'Conductor-Guarda-Azafata'!$B$8:$AN$271,6))</f>
        <v>#N/A</v>
      </c>
      <c r="G89" s="74" t="e">
        <f>IF($B89="","",VLOOKUP($B89,'Conductor-Guarda-Azafata'!$B$8:$AN$271,7))</f>
        <v>#N/A</v>
      </c>
      <c r="H89" s="74" t="e">
        <f>IF($B89="","",VLOOKUP($B89,'Conductor-Guarda-Azafata'!$B$8:$AN$271,8))</f>
        <v>#N/A</v>
      </c>
      <c r="I89" s="71"/>
      <c r="J89" s="71" t="e">
        <f>IF($B89="","",VLOOKUP($B89,'Conductor-Guarda-Azafata'!$B$8:$AN$271,10))</f>
        <v>#N/A</v>
      </c>
      <c r="K89" s="71"/>
      <c r="L89" s="71"/>
      <c r="M89" s="55"/>
      <c r="N89" s="56"/>
      <c r="O89" s="56"/>
      <c r="P89" s="56"/>
      <c r="Q89" s="57"/>
      <c r="R89" s="56"/>
      <c r="S89" s="56"/>
      <c r="T89" s="56"/>
      <c r="U89" s="56"/>
      <c r="V89" s="58"/>
      <c r="W89" s="51"/>
    </row>
    <row r="90" spans="2:23" ht="20.100000000000001" customHeight="1" x14ac:dyDescent="0.25">
      <c r="B90" s="54">
        <f>'Conductor-Guarda-Azafata'!B61</f>
        <v>0</v>
      </c>
      <c r="C90" s="54">
        <f>'Conductor-Guarda-Azafata'!C61</f>
        <v>0</v>
      </c>
      <c r="D90" s="136">
        <f>'Conductor-Guarda-Azafata'!E61</f>
        <v>0</v>
      </c>
      <c r="E90" s="73">
        <f>'Conductor-Guarda-Azafata'!F61</f>
        <v>0</v>
      </c>
      <c r="F90" s="71" t="e">
        <f>IF($B90="","",VLOOKUP($B90,'Conductor-Guarda-Azafata'!$B$8:$AN$271,6))</f>
        <v>#N/A</v>
      </c>
      <c r="G90" s="74" t="e">
        <f>IF($B90="","",VLOOKUP($B90,'Conductor-Guarda-Azafata'!$B$8:$AN$271,7))</f>
        <v>#N/A</v>
      </c>
      <c r="H90" s="74" t="e">
        <f>IF($B90="","",VLOOKUP($B90,'Conductor-Guarda-Azafata'!$B$8:$AN$271,8))</f>
        <v>#N/A</v>
      </c>
      <c r="I90" s="71"/>
      <c r="J90" s="71" t="e">
        <f>IF($B90="","",VLOOKUP($B90,'Conductor-Guarda-Azafata'!$B$8:$AN$271,10))</f>
        <v>#N/A</v>
      </c>
      <c r="K90" s="71"/>
      <c r="L90" s="71" t="e">
        <f>IF($B90="","",VLOOKUP($B90,'Conductor-Guarda-Azafata'!$B$8:$AN$271,24))</f>
        <v>#N/A</v>
      </c>
      <c r="M90" s="115" t="s">
        <v>225</v>
      </c>
      <c r="N90" s="116" t="s">
        <v>225</v>
      </c>
      <c r="O90" s="116" t="s">
        <v>225</v>
      </c>
      <c r="P90" s="116" t="s">
        <v>226</v>
      </c>
      <c r="Q90" s="57"/>
      <c r="R90" s="116" t="s">
        <v>225</v>
      </c>
      <c r="S90" s="116" t="s">
        <v>225</v>
      </c>
      <c r="T90" s="116" t="s">
        <v>225</v>
      </c>
      <c r="U90" s="116" t="s">
        <v>225</v>
      </c>
      <c r="V90" s="117" t="s">
        <v>225</v>
      </c>
      <c r="W90" s="51"/>
    </row>
    <row r="91" spans="2:23" ht="20.100000000000001" customHeight="1" x14ac:dyDescent="0.25">
      <c r="B91" s="54">
        <f>'Conductor-Guarda-Azafata'!B62</f>
        <v>0</v>
      </c>
      <c r="C91" s="54">
        <f>'Conductor-Guarda-Azafata'!C62</f>
        <v>0</v>
      </c>
      <c r="D91" s="136">
        <f>'Conductor-Guarda-Azafata'!E62</f>
        <v>0</v>
      </c>
      <c r="E91" s="73">
        <f>'Conductor-Guarda-Azafata'!F62</f>
        <v>0</v>
      </c>
      <c r="F91" s="71" t="e">
        <f>IF($B91="","",VLOOKUP($B91,'Conductor-Guarda-Azafata'!$B$8:$AN$271,6))</f>
        <v>#N/A</v>
      </c>
      <c r="G91" s="74" t="e">
        <f>IF($B91="","",VLOOKUP($B91,'Conductor-Guarda-Azafata'!$B$8:$AN$271,7))</f>
        <v>#N/A</v>
      </c>
      <c r="H91" s="74" t="e">
        <f>IF($B91="","",VLOOKUP($B91,'Conductor-Guarda-Azafata'!$B$8:$AN$271,8))</f>
        <v>#N/A</v>
      </c>
      <c r="I91" s="71"/>
      <c r="J91" s="71" t="e">
        <f>IF($B91="","",VLOOKUP($B91,'Conductor-Guarda-Azafata'!$B$8:$AN$271,10))</f>
        <v>#N/A</v>
      </c>
      <c r="K91" s="71"/>
      <c r="L91" s="71" t="e">
        <f>IF($B91="","",VLOOKUP($B91,'Conductor-Guarda-Azafata'!$B$8:$AN$271,24))</f>
        <v>#N/A</v>
      </c>
      <c r="M91" s="115" t="s">
        <v>225</v>
      </c>
      <c r="N91" s="116" t="s">
        <v>225</v>
      </c>
      <c r="O91" s="116" t="s">
        <v>225</v>
      </c>
      <c r="P91" s="116" t="s">
        <v>226</v>
      </c>
      <c r="Q91" s="57"/>
      <c r="R91" s="116" t="s">
        <v>225</v>
      </c>
      <c r="S91" s="116" t="s">
        <v>225</v>
      </c>
      <c r="T91" s="116" t="s">
        <v>225</v>
      </c>
      <c r="U91" s="116" t="s">
        <v>225</v>
      </c>
      <c r="V91" s="117" t="s">
        <v>225</v>
      </c>
      <c r="W91" s="51"/>
    </row>
    <row r="92" spans="2:23" ht="20.100000000000001" customHeight="1" x14ac:dyDescent="0.25">
      <c r="B92" s="54" t="e">
        <f>IF('Conductor-Guarda-Azafata'!#REF!="","",'Conductor-Guarda-Azafata'!#REF!)</f>
        <v>#REF!</v>
      </c>
      <c r="C92" s="54">
        <f>'Conductor-Guarda-Azafata'!C281</f>
        <v>0</v>
      </c>
      <c r="D92" s="72"/>
      <c r="E92" s="73">
        <f>'Conductor-Guarda-Azafata'!F281</f>
        <v>0</v>
      </c>
      <c r="F92" s="71" t="e">
        <f>IF($B92="","",VLOOKUP($B92,'Conductor-Guarda-Azafata'!$B$8:$AN$271,6))</f>
        <v>#REF!</v>
      </c>
      <c r="G92" s="74" t="e">
        <f>IF($B92="","",VLOOKUP($B92,'Conductor-Guarda-Azafata'!$B$8:$AN$271,7))</f>
        <v>#REF!</v>
      </c>
      <c r="H92" s="74" t="e">
        <f>IF($B92="","",VLOOKUP($B92,'Conductor-Guarda-Azafata'!$B$8:$AN$271,8))</f>
        <v>#REF!</v>
      </c>
      <c r="I92" s="71" t="e">
        <f>IF($B92="","",VLOOKUP($B92,'Conductor-Guarda-Azafata'!$B$8:$AN$271,9))</f>
        <v>#REF!</v>
      </c>
      <c r="J92" s="71" t="e">
        <f>IF($B92="","",VLOOKUP($B92,'Conductor-Guarda-Azafata'!$B$8:$AN$271,10))</f>
        <v>#REF!</v>
      </c>
      <c r="K92" s="71"/>
      <c r="L92" s="71" t="e">
        <f>IF($B92="","",VLOOKUP($B92,'Conductor-Guarda-Azafata'!$B$8:$AN$271,24))</f>
        <v>#REF!</v>
      </c>
      <c r="M92" s="55" t="s">
        <v>225</v>
      </c>
      <c r="N92" s="56" t="s">
        <v>226</v>
      </c>
      <c r="O92" s="56" t="s">
        <v>225</v>
      </c>
      <c r="P92" s="56" t="s">
        <v>226</v>
      </c>
      <c r="Q92" s="57"/>
      <c r="R92" s="56" t="s">
        <v>225</v>
      </c>
      <c r="S92" s="56" t="s">
        <v>225</v>
      </c>
      <c r="T92" s="56" t="s">
        <v>225</v>
      </c>
      <c r="U92" s="56" t="s">
        <v>225</v>
      </c>
      <c r="V92" s="58" t="s">
        <v>225</v>
      </c>
      <c r="W92" s="51" t="s">
        <v>229</v>
      </c>
    </row>
    <row r="93" spans="2:23" ht="20.100000000000001" customHeight="1" x14ac:dyDescent="0.25">
      <c r="B93" s="54" t="e">
        <f>IF('Conductor-Guarda-Azafata'!#REF!="","",'Conductor-Guarda-Azafata'!#REF!)</f>
        <v>#REF!</v>
      </c>
      <c r="C93" s="54">
        <f>'Conductor-Guarda-Azafata'!C282</f>
        <v>0</v>
      </c>
      <c r="D93" s="72"/>
      <c r="E93" s="73">
        <f>'Conductor-Guarda-Azafata'!F282</f>
        <v>0</v>
      </c>
      <c r="F93" s="71" t="e">
        <f>IF($B93="","",VLOOKUP($B93,'Conductor-Guarda-Azafata'!$B$8:$AN$271,6))</f>
        <v>#REF!</v>
      </c>
      <c r="G93" s="74" t="e">
        <f>IF($B93="","",VLOOKUP($B93,'Conductor-Guarda-Azafata'!$B$8:$AN$271,7))</f>
        <v>#REF!</v>
      </c>
      <c r="H93" s="74" t="e">
        <f>IF($B93="","",VLOOKUP($B93,'Conductor-Guarda-Azafata'!$B$8:$AN$271,8))</f>
        <v>#REF!</v>
      </c>
      <c r="I93" s="71" t="e">
        <f>IF($B93="","",VLOOKUP($B93,'Conductor-Guarda-Azafata'!$B$8:$AN$271,9))</f>
        <v>#REF!</v>
      </c>
      <c r="J93" s="71" t="e">
        <f>IF($B93="","",VLOOKUP($B93,'Conductor-Guarda-Azafata'!$B$8:$AN$271,10))</f>
        <v>#REF!</v>
      </c>
      <c r="K93" s="71"/>
      <c r="L93" s="71" t="e">
        <f>IF($B93="","",VLOOKUP($B93,'Conductor-Guarda-Azafata'!$B$8:$AN$271,24))</f>
        <v>#REF!</v>
      </c>
      <c r="M93" s="55" t="s">
        <v>226</v>
      </c>
      <c r="N93" s="56" t="s">
        <v>225</v>
      </c>
      <c r="O93" s="56" t="s">
        <v>226</v>
      </c>
      <c r="P93" s="56" t="s">
        <v>226</v>
      </c>
      <c r="Q93" s="57"/>
      <c r="R93" s="56" t="s">
        <v>225</v>
      </c>
      <c r="S93" s="56" t="s">
        <v>225</v>
      </c>
      <c r="T93" s="56" t="s">
        <v>225</v>
      </c>
      <c r="U93" s="56" t="s">
        <v>225</v>
      </c>
      <c r="V93" s="58" t="s">
        <v>225</v>
      </c>
      <c r="W93" s="51"/>
    </row>
    <row r="94" spans="2:23" ht="20.100000000000001" customHeight="1" x14ac:dyDescent="0.25">
      <c r="B94" s="54" t="e">
        <f>IF('Conductor-Guarda-Azafata'!#REF!="","",'Conductor-Guarda-Azafata'!#REF!)</f>
        <v>#REF!</v>
      </c>
      <c r="C94" s="54">
        <f>'Conductor-Guarda-Azafata'!C283</f>
        <v>0</v>
      </c>
      <c r="D94" s="72"/>
      <c r="E94" s="73">
        <f>'Conductor-Guarda-Azafata'!F283</f>
        <v>0</v>
      </c>
      <c r="F94" s="71" t="e">
        <f>IF($B94="","",VLOOKUP($B94,'Conductor-Guarda-Azafata'!$B$8:$AN$271,6))</f>
        <v>#REF!</v>
      </c>
      <c r="G94" s="74" t="e">
        <f>IF($B94="","",VLOOKUP($B94,'Conductor-Guarda-Azafata'!$B$8:$AN$271,7))</f>
        <v>#REF!</v>
      </c>
      <c r="H94" s="74" t="e">
        <f>IF($B94="","",VLOOKUP($B94,'Conductor-Guarda-Azafata'!$B$8:$AN$271,8))</f>
        <v>#REF!</v>
      </c>
      <c r="I94" s="71" t="e">
        <f>IF($B94="","",VLOOKUP($B94,'Conductor-Guarda-Azafata'!$B$8:$AN$271,9))</f>
        <v>#REF!</v>
      </c>
      <c r="J94" s="71" t="e">
        <f>IF($B94="","",VLOOKUP($B94,'Conductor-Guarda-Azafata'!$B$8:$AN$271,10))</f>
        <v>#REF!</v>
      </c>
      <c r="K94" s="71"/>
      <c r="L94" s="71" t="e">
        <f>IF($B94="","",VLOOKUP($B94,'Conductor-Guarda-Azafata'!$B$8:$AN$271,24))</f>
        <v>#REF!</v>
      </c>
      <c r="M94" s="55" t="s">
        <v>225</v>
      </c>
      <c r="N94" s="56" t="s">
        <v>225</v>
      </c>
      <c r="O94" s="56" t="s">
        <v>225</v>
      </c>
      <c r="P94" s="56" t="s">
        <v>226</v>
      </c>
      <c r="Q94" s="57"/>
      <c r="R94" s="56" t="s">
        <v>225</v>
      </c>
      <c r="S94" s="56" t="s">
        <v>225</v>
      </c>
      <c r="T94" s="56" t="s">
        <v>225</v>
      </c>
      <c r="U94" s="56" t="s">
        <v>225</v>
      </c>
      <c r="V94" s="58" t="s">
        <v>225</v>
      </c>
      <c r="W94" s="51"/>
    </row>
    <row r="95" spans="2:23" ht="20.100000000000001" customHeight="1" x14ac:dyDescent="0.25">
      <c r="B95" s="54" t="e">
        <f>IF('Conductor-Guarda-Azafata'!#REF!="","",'Conductor-Guarda-Azafata'!#REF!)</f>
        <v>#REF!</v>
      </c>
      <c r="C95" s="54">
        <f>'Conductor-Guarda-Azafata'!C284</f>
        <v>0</v>
      </c>
      <c r="D95" s="72"/>
      <c r="E95" s="73">
        <f>'Conductor-Guarda-Azafata'!F284</f>
        <v>0</v>
      </c>
      <c r="F95" s="71" t="e">
        <f>IF($B95="","",VLOOKUP($B95,'Conductor-Guarda-Azafata'!$B$8:$AN$271,6))</f>
        <v>#REF!</v>
      </c>
      <c r="G95" s="74" t="e">
        <f>IF($B95="","",VLOOKUP($B95,'Conductor-Guarda-Azafata'!$B$8:$AN$271,7))</f>
        <v>#REF!</v>
      </c>
      <c r="H95" s="74" t="e">
        <f>IF($B95="","",VLOOKUP($B95,'Conductor-Guarda-Azafata'!$B$8:$AN$271,8))</f>
        <v>#REF!</v>
      </c>
      <c r="I95" s="71" t="e">
        <f>IF($B95="","",VLOOKUP($B95,'Conductor-Guarda-Azafata'!$B$8:$AN$271,9))</f>
        <v>#REF!</v>
      </c>
      <c r="J95" s="71" t="e">
        <f>IF($B95="","",VLOOKUP($B95,'Conductor-Guarda-Azafata'!$B$8:$AN$271,10))</f>
        <v>#REF!</v>
      </c>
      <c r="K95" s="71"/>
      <c r="L95" s="71" t="e">
        <f>IF($B95="","",VLOOKUP($B95,'Conductor-Guarda-Azafata'!$B$8:$AN$271,24))</f>
        <v>#REF!</v>
      </c>
      <c r="M95" s="55" t="s">
        <v>225</v>
      </c>
      <c r="N95" s="56" t="s">
        <v>225</v>
      </c>
      <c r="O95" s="56" t="s">
        <v>225</v>
      </c>
      <c r="P95" s="56" t="s">
        <v>226</v>
      </c>
      <c r="Q95" s="57"/>
      <c r="R95" s="56" t="s">
        <v>225</v>
      </c>
      <c r="S95" s="56" t="s">
        <v>225</v>
      </c>
      <c r="T95" s="56" t="s">
        <v>225</v>
      </c>
      <c r="U95" s="56" t="s">
        <v>225</v>
      </c>
      <c r="V95" s="58" t="s">
        <v>225</v>
      </c>
      <c r="W95" s="51"/>
    </row>
    <row r="96" spans="2:23" ht="20.100000000000001" customHeight="1" x14ac:dyDescent="0.25">
      <c r="B96" s="54" t="e">
        <f>IF('Conductor-Guarda-Azafata'!#REF!="","",'Conductor-Guarda-Azafata'!#REF!)</f>
        <v>#REF!</v>
      </c>
      <c r="C96" s="54">
        <f>'Conductor-Guarda-Azafata'!C285</f>
        <v>0</v>
      </c>
      <c r="D96" s="72"/>
      <c r="E96" s="73">
        <f>'Conductor-Guarda-Azafata'!F285</f>
        <v>0</v>
      </c>
      <c r="F96" s="71" t="e">
        <f>IF($B96="","",VLOOKUP($B96,'Conductor-Guarda-Azafata'!$B$8:$AN$271,6))</f>
        <v>#REF!</v>
      </c>
      <c r="G96" s="74" t="e">
        <f>IF($B96="","",VLOOKUP($B96,'Conductor-Guarda-Azafata'!$B$8:$AN$271,7))</f>
        <v>#REF!</v>
      </c>
      <c r="H96" s="74" t="e">
        <f>IF($B96="","",VLOOKUP($B96,'Conductor-Guarda-Azafata'!$B$8:$AN$271,8))</f>
        <v>#REF!</v>
      </c>
      <c r="I96" s="71" t="e">
        <f>IF($B96="","",VLOOKUP($B96,'Conductor-Guarda-Azafata'!$B$8:$AN$271,9))</f>
        <v>#REF!</v>
      </c>
      <c r="J96" s="71" t="e">
        <f>IF($B96="","",VLOOKUP($B96,'Conductor-Guarda-Azafata'!$B$8:$AN$271,10))</f>
        <v>#REF!</v>
      </c>
      <c r="K96" s="71"/>
      <c r="L96" s="71" t="e">
        <f>IF($B96="","",VLOOKUP($B96,'Conductor-Guarda-Azafata'!$B$8:$AN$271,24))</f>
        <v>#REF!</v>
      </c>
      <c r="M96" s="55" t="s">
        <v>225</v>
      </c>
      <c r="N96" s="56" t="s">
        <v>225</v>
      </c>
      <c r="O96" s="56" t="s">
        <v>226</v>
      </c>
      <c r="P96" s="56" t="s">
        <v>225</v>
      </c>
      <c r="Q96" s="57">
        <v>1</v>
      </c>
      <c r="R96" s="56" t="s">
        <v>225</v>
      </c>
      <c r="S96" s="56" t="s">
        <v>225</v>
      </c>
      <c r="T96" s="56" t="s">
        <v>225</v>
      </c>
      <c r="U96" s="56" t="s">
        <v>225</v>
      </c>
      <c r="V96" s="58" t="s">
        <v>225</v>
      </c>
      <c r="W96" s="51"/>
    </row>
    <row r="97" spans="2:23" ht="20.100000000000001" customHeight="1" x14ac:dyDescent="0.25">
      <c r="B97" s="54" t="e">
        <f>IF('Conductor-Guarda-Azafata'!#REF!="","",'Conductor-Guarda-Azafata'!#REF!)</f>
        <v>#REF!</v>
      </c>
      <c r="C97" s="54">
        <f>'Conductor-Guarda-Azafata'!C286</f>
        <v>0</v>
      </c>
      <c r="D97" s="72"/>
      <c r="E97" s="73">
        <f>'Conductor-Guarda-Azafata'!F286</f>
        <v>0</v>
      </c>
      <c r="F97" s="71" t="e">
        <f>IF($B97="","",VLOOKUP($B97,'Conductor-Guarda-Azafata'!$B$8:$AN$271,6))</f>
        <v>#REF!</v>
      </c>
      <c r="G97" s="74" t="e">
        <f>IF($B97="","",VLOOKUP($B97,'Conductor-Guarda-Azafata'!$B$8:$AN$271,7))</f>
        <v>#REF!</v>
      </c>
      <c r="H97" s="74" t="e">
        <f>IF($B97="","",VLOOKUP($B97,'Conductor-Guarda-Azafata'!$B$8:$AN$271,8))</f>
        <v>#REF!</v>
      </c>
      <c r="I97" s="71" t="e">
        <f>IF($B97="","",VLOOKUP($B97,'Conductor-Guarda-Azafata'!$B$8:$AN$271,9))</f>
        <v>#REF!</v>
      </c>
      <c r="J97" s="71" t="e">
        <f>IF($B97="","",VLOOKUP($B97,'Conductor-Guarda-Azafata'!$B$8:$AN$271,10))</f>
        <v>#REF!</v>
      </c>
      <c r="K97" s="71"/>
      <c r="L97" s="71" t="e">
        <f>IF($B97="","",VLOOKUP($B97,'Conductor-Guarda-Azafata'!$B$8:$AN$271,24))</f>
        <v>#REF!</v>
      </c>
      <c r="M97" s="55" t="s">
        <v>225</v>
      </c>
      <c r="N97" s="56" t="s">
        <v>226</v>
      </c>
      <c r="O97" s="56" t="s">
        <v>225</v>
      </c>
      <c r="P97" s="56" t="s">
        <v>225</v>
      </c>
      <c r="Q97" s="57">
        <v>1</v>
      </c>
      <c r="R97" s="56" t="s">
        <v>225</v>
      </c>
      <c r="S97" s="56" t="s">
        <v>225</v>
      </c>
      <c r="T97" s="56" t="s">
        <v>225</v>
      </c>
      <c r="U97" s="56" t="s">
        <v>225</v>
      </c>
      <c r="V97" s="58" t="s">
        <v>225</v>
      </c>
      <c r="W97" s="51" t="s">
        <v>230</v>
      </c>
    </row>
    <row r="98" spans="2:23" ht="20.100000000000001" customHeight="1" x14ac:dyDescent="0.25">
      <c r="B98" s="54" t="e">
        <f>IF('Conductor-Guarda-Azafata'!#REF!="","",'Conductor-Guarda-Azafata'!#REF!)</f>
        <v>#REF!</v>
      </c>
      <c r="C98" s="54">
        <f>'Conductor-Guarda-Azafata'!C287</f>
        <v>0</v>
      </c>
      <c r="D98" s="72"/>
      <c r="E98" s="73">
        <f>'Conductor-Guarda-Azafata'!F287</f>
        <v>0</v>
      </c>
      <c r="F98" s="71" t="e">
        <f>IF($B98="","",VLOOKUP($B98,'Conductor-Guarda-Azafata'!$B$8:$AN$271,6))</f>
        <v>#REF!</v>
      </c>
      <c r="G98" s="74" t="e">
        <f>IF($B98="","",VLOOKUP($B98,'Conductor-Guarda-Azafata'!$B$8:$AN$271,7))</f>
        <v>#REF!</v>
      </c>
      <c r="H98" s="74" t="e">
        <f>IF($B98="","",VLOOKUP($B98,'Conductor-Guarda-Azafata'!$B$8:$AN$271,8))</f>
        <v>#REF!</v>
      </c>
      <c r="I98" s="71" t="e">
        <f>IF($B98="","",VLOOKUP($B98,'Conductor-Guarda-Azafata'!$B$8:$AN$271,9))</f>
        <v>#REF!</v>
      </c>
      <c r="J98" s="71" t="e">
        <f>IF($B98="","",VLOOKUP($B98,'Conductor-Guarda-Azafata'!$B$8:$AN$271,10))</f>
        <v>#REF!</v>
      </c>
      <c r="K98" s="71"/>
      <c r="L98" s="71" t="e">
        <f>IF($B98="","",VLOOKUP($B98,'Conductor-Guarda-Azafata'!$B$8:$AN$271,24))</f>
        <v>#REF!</v>
      </c>
      <c r="M98" s="55" t="s">
        <v>225</v>
      </c>
      <c r="N98" s="56" t="s">
        <v>226</v>
      </c>
      <c r="O98" s="56" t="s">
        <v>225</v>
      </c>
      <c r="P98" s="56" t="s">
        <v>226</v>
      </c>
      <c r="Q98" s="57"/>
      <c r="R98" s="56" t="s">
        <v>226</v>
      </c>
      <c r="S98" s="56" t="s">
        <v>225</v>
      </c>
      <c r="T98" s="56" t="s">
        <v>225</v>
      </c>
      <c r="U98" s="56" t="s">
        <v>225</v>
      </c>
      <c r="V98" s="58" t="s">
        <v>226</v>
      </c>
      <c r="W98" s="51"/>
    </row>
    <row r="99" spans="2:23" ht="20.100000000000001" customHeight="1" x14ac:dyDescent="0.25">
      <c r="B99" s="54" t="e">
        <f>IF('Conductor-Guarda-Azafata'!#REF!="","",'Conductor-Guarda-Azafata'!#REF!)</f>
        <v>#REF!</v>
      </c>
      <c r="C99" s="54">
        <f>'Conductor-Guarda-Azafata'!C288</f>
        <v>0</v>
      </c>
      <c r="D99" s="72"/>
      <c r="E99" s="73">
        <f>'Conductor-Guarda-Azafata'!F288</f>
        <v>0</v>
      </c>
      <c r="F99" s="71" t="e">
        <f>IF($B99="","",VLOOKUP($B99,'Conductor-Guarda-Azafata'!$B$8:$AN$271,6))</f>
        <v>#REF!</v>
      </c>
      <c r="G99" s="74" t="e">
        <f>IF($B99="","",VLOOKUP($B99,'Conductor-Guarda-Azafata'!$B$8:$AN$271,7))</f>
        <v>#REF!</v>
      </c>
      <c r="H99" s="74" t="e">
        <f>IF($B99="","",VLOOKUP($B99,'Conductor-Guarda-Azafata'!$B$8:$AN$271,8))</f>
        <v>#REF!</v>
      </c>
      <c r="I99" s="71" t="e">
        <f>IF($B99="","",VLOOKUP($B99,'Conductor-Guarda-Azafata'!$B$8:$AN$271,9))</f>
        <v>#REF!</v>
      </c>
      <c r="J99" s="71" t="e">
        <f>IF($B99="","",VLOOKUP($B99,'Conductor-Guarda-Azafata'!$B$8:$AN$271,10))</f>
        <v>#REF!</v>
      </c>
      <c r="K99" s="71"/>
      <c r="L99" s="71" t="e">
        <f>IF($B99="","",VLOOKUP($B99,'Conductor-Guarda-Azafata'!$B$8:$AN$271,24))</f>
        <v>#REF!</v>
      </c>
      <c r="M99" s="55" t="s">
        <v>225</v>
      </c>
      <c r="N99" s="56" t="s">
        <v>225</v>
      </c>
      <c r="O99" s="56" t="s">
        <v>225</v>
      </c>
      <c r="P99" s="56" t="s">
        <v>225</v>
      </c>
      <c r="Q99" s="57">
        <v>1</v>
      </c>
      <c r="R99" s="56" t="s">
        <v>225</v>
      </c>
      <c r="S99" s="56" t="s">
        <v>225</v>
      </c>
      <c r="T99" s="56" t="s">
        <v>225</v>
      </c>
      <c r="U99" s="56" t="s">
        <v>225</v>
      </c>
      <c r="V99" s="58" t="s">
        <v>225</v>
      </c>
      <c r="W99" s="51"/>
    </row>
    <row r="100" spans="2:23" ht="20.100000000000001" customHeight="1" x14ac:dyDescent="0.25">
      <c r="B100" s="54" t="e">
        <f>IF('Conductor-Guarda-Azafata'!#REF!="","",'Conductor-Guarda-Azafata'!#REF!)</f>
        <v>#REF!</v>
      </c>
      <c r="C100" s="54">
        <f>'Conductor-Guarda-Azafata'!C289</f>
        <v>0</v>
      </c>
      <c r="D100" s="72"/>
      <c r="E100" s="73">
        <f>'Conductor-Guarda-Azafata'!F289</f>
        <v>0</v>
      </c>
      <c r="F100" s="71" t="e">
        <f>IF($B100="","",VLOOKUP($B100,'Conductor-Guarda-Azafata'!$B$8:$AN$271,6))</f>
        <v>#REF!</v>
      </c>
      <c r="G100" s="74" t="e">
        <f>IF($B100="","",VLOOKUP($B100,'Conductor-Guarda-Azafata'!$B$8:$AN$271,7))</f>
        <v>#REF!</v>
      </c>
      <c r="H100" s="74" t="e">
        <f>IF($B100="","",VLOOKUP($B100,'Conductor-Guarda-Azafata'!$B$8:$AN$271,8))</f>
        <v>#REF!</v>
      </c>
      <c r="I100" s="71" t="e">
        <f>IF($B100="","",VLOOKUP($B100,'Conductor-Guarda-Azafata'!$B$8:$AN$271,9))</f>
        <v>#REF!</v>
      </c>
      <c r="J100" s="71" t="e">
        <f>IF($B100="","",VLOOKUP($B100,'Conductor-Guarda-Azafata'!$B$8:$AN$271,10))</f>
        <v>#REF!</v>
      </c>
      <c r="K100" s="71"/>
      <c r="L100" s="71" t="e">
        <f>IF($B100="","",VLOOKUP($B100,'Conductor-Guarda-Azafata'!$B$8:$AN$271,24))</f>
        <v>#REF!</v>
      </c>
      <c r="M100" s="55" t="s">
        <v>225</v>
      </c>
      <c r="N100" s="56" t="s">
        <v>225</v>
      </c>
      <c r="O100" s="56" t="s">
        <v>225</v>
      </c>
      <c r="P100" s="56" t="s">
        <v>226</v>
      </c>
      <c r="Q100" s="57"/>
      <c r="R100" s="56" t="s">
        <v>225</v>
      </c>
      <c r="S100" s="56" t="s">
        <v>225</v>
      </c>
      <c r="T100" s="56" t="s">
        <v>225</v>
      </c>
      <c r="U100" s="56" t="s">
        <v>225</v>
      </c>
      <c r="V100" s="58" t="s">
        <v>225</v>
      </c>
      <c r="W100" s="51"/>
    </row>
    <row r="101" spans="2:23" ht="20.100000000000001" customHeight="1" x14ac:dyDescent="0.25">
      <c r="B101" s="54" t="e">
        <f>IF('Conductor-Guarda-Azafata'!#REF!="","",'Conductor-Guarda-Azafata'!#REF!)</f>
        <v>#REF!</v>
      </c>
      <c r="C101" s="54">
        <f>'Conductor-Guarda-Azafata'!C290</f>
        <v>0</v>
      </c>
      <c r="D101" s="72"/>
      <c r="E101" s="73">
        <f>'Conductor-Guarda-Azafata'!F290</f>
        <v>0</v>
      </c>
      <c r="F101" s="71" t="e">
        <f>IF($B101="","",VLOOKUP($B101,'Conductor-Guarda-Azafata'!$B$8:$AN$271,6))</f>
        <v>#REF!</v>
      </c>
      <c r="G101" s="74" t="e">
        <f>IF($B101="","",VLOOKUP($B101,'Conductor-Guarda-Azafata'!$B$8:$AN$271,7))</f>
        <v>#REF!</v>
      </c>
      <c r="H101" s="74" t="e">
        <f>IF($B101="","",VLOOKUP($B101,'Conductor-Guarda-Azafata'!$B$8:$AN$271,8))</f>
        <v>#REF!</v>
      </c>
      <c r="I101" s="71" t="e">
        <f>IF($B101="","",VLOOKUP($B101,'Conductor-Guarda-Azafata'!$B$8:$AN$271,9))</f>
        <v>#REF!</v>
      </c>
      <c r="J101" s="71" t="e">
        <f>IF($B101="","",VLOOKUP($B101,'Conductor-Guarda-Azafata'!$B$8:$AN$271,10))</f>
        <v>#REF!</v>
      </c>
      <c r="K101" s="71"/>
      <c r="L101" s="71" t="e">
        <f>IF($B101="","",VLOOKUP($B101,'Conductor-Guarda-Azafata'!$B$8:$AN$271,24))</f>
        <v>#REF!</v>
      </c>
      <c r="M101" s="55" t="s">
        <v>225</v>
      </c>
      <c r="N101" s="56" t="s">
        <v>225</v>
      </c>
      <c r="O101" s="56" t="s">
        <v>225</v>
      </c>
      <c r="P101" s="56" t="s">
        <v>226</v>
      </c>
      <c r="Q101" s="57"/>
      <c r="R101" s="56" t="s">
        <v>225</v>
      </c>
      <c r="S101" s="56" t="s">
        <v>225</v>
      </c>
      <c r="T101" s="56" t="s">
        <v>225</v>
      </c>
      <c r="U101" s="56" t="s">
        <v>225</v>
      </c>
      <c r="V101" s="58" t="s">
        <v>225</v>
      </c>
      <c r="W101" s="51"/>
    </row>
    <row r="102" spans="2:23" ht="20.100000000000001" customHeight="1" x14ac:dyDescent="0.25">
      <c r="B102" s="54" t="e">
        <f>IF('Conductor-Guarda-Azafata'!#REF!="","",'Conductor-Guarda-Azafata'!#REF!)</f>
        <v>#REF!</v>
      </c>
      <c r="C102" s="54">
        <f>'Conductor-Guarda-Azafata'!C291</f>
        <v>0</v>
      </c>
      <c r="D102" s="72"/>
      <c r="E102" s="73">
        <f>'Conductor-Guarda-Azafata'!F291</f>
        <v>0</v>
      </c>
      <c r="F102" s="71" t="e">
        <f>IF($B102="","",VLOOKUP($B102,'Conductor-Guarda-Azafata'!$B$8:$AN$271,6))</f>
        <v>#REF!</v>
      </c>
      <c r="G102" s="74" t="e">
        <f>IF($B102="","",VLOOKUP($B102,'Conductor-Guarda-Azafata'!$B$8:$AN$271,7))</f>
        <v>#REF!</v>
      </c>
      <c r="H102" s="74" t="e">
        <f>IF($B102="","",VLOOKUP($B102,'Conductor-Guarda-Azafata'!$B$8:$AN$271,8))</f>
        <v>#REF!</v>
      </c>
      <c r="I102" s="71" t="e">
        <f>IF($B102="","",VLOOKUP($B102,'Conductor-Guarda-Azafata'!$B$8:$AN$271,9))</f>
        <v>#REF!</v>
      </c>
      <c r="J102" s="71" t="e">
        <f>IF($B102="","",VLOOKUP($B102,'Conductor-Guarda-Azafata'!$B$8:$AN$271,10))</f>
        <v>#REF!</v>
      </c>
      <c r="K102" s="71"/>
      <c r="L102" s="71" t="e">
        <f>IF($B102="","",VLOOKUP($B102,'Conductor-Guarda-Azafata'!$B$8:$AN$271,24))</f>
        <v>#REF!</v>
      </c>
      <c r="M102" s="55" t="s">
        <v>225</v>
      </c>
      <c r="N102" s="56" t="s">
        <v>225</v>
      </c>
      <c r="O102" s="56" t="s">
        <v>225</v>
      </c>
      <c r="P102" s="56" t="s">
        <v>226</v>
      </c>
      <c r="Q102" s="57"/>
      <c r="R102" s="56" t="s">
        <v>225</v>
      </c>
      <c r="S102" s="56" t="s">
        <v>225</v>
      </c>
      <c r="T102" s="56" t="s">
        <v>225</v>
      </c>
      <c r="U102" s="56" t="s">
        <v>225</v>
      </c>
      <c r="V102" s="58" t="s">
        <v>225</v>
      </c>
      <c r="W102" s="51"/>
    </row>
    <row r="103" spans="2:23" ht="20.100000000000001" customHeight="1" x14ac:dyDescent="0.25">
      <c r="B103" s="54" t="e">
        <f>IF('Conductor-Guarda-Azafata'!#REF!="","",'Conductor-Guarda-Azafata'!#REF!)</f>
        <v>#REF!</v>
      </c>
      <c r="C103" s="54">
        <f>'Conductor-Guarda-Azafata'!C292</f>
        <v>0</v>
      </c>
      <c r="D103" s="72"/>
      <c r="E103" s="73">
        <f>'Conductor-Guarda-Azafata'!F292</f>
        <v>0</v>
      </c>
      <c r="F103" s="71" t="e">
        <f>IF($B103="","",VLOOKUP($B103,'Conductor-Guarda-Azafata'!$B$8:$AN$271,6))</f>
        <v>#REF!</v>
      </c>
      <c r="G103" s="74" t="e">
        <f>IF($B103="","",VLOOKUP($B103,'Conductor-Guarda-Azafata'!$B$8:$AN$271,7))</f>
        <v>#REF!</v>
      </c>
      <c r="H103" s="74" t="e">
        <f>IF($B103="","",VLOOKUP($B103,'Conductor-Guarda-Azafata'!$B$8:$AN$271,8))</f>
        <v>#REF!</v>
      </c>
      <c r="I103" s="71" t="e">
        <f>IF($B103="","",VLOOKUP($B103,'Conductor-Guarda-Azafata'!$B$8:$AN$271,9))</f>
        <v>#REF!</v>
      </c>
      <c r="J103" s="71" t="e">
        <f>IF($B103="","",VLOOKUP($B103,'Conductor-Guarda-Azafata'!$B$8:$AN$271,10))</f>
        <v>#REF!</v>
      </c>
      <c r="K103" s="71"/>
      <c r="L103" s="71" t="e">
        <f>IF($B103="","",VLOOKUP($B103,'Conductor-Guarda-Azafata'!$B$8:$AN$271,24))</f>
        <v>#REF!</v>
      </c>
      <c r="M103" s="55" t="s">
        <v>225</v>
      </c>
      <c r="N103" s="56" t="s">
        <v>225</v>
      </c>
      <c r="O103" s="56" t="s">
        <v>225</v>
      </c>
      <c r="P103" s="56" t="s">
        <v>226</v>
      </c>
      <c r="Q103" s="57"/>
      <c r="R103" s="56" t="s">
        <v>225</v>
      </c>
      <c r="S103" s="56" t="s">
        <v>225</v>
      </c>
      <c r="T103" s="56" t="s">
        <v>225</v>
      </c>
      <c r="U103" s="56" t="s">
        <v>225</v>
      </c>
      <c r="V103" s="58" t="s">
        <v>225</v>
      </c>
      <c r="W103" s="51"/>
    </row>
    <row r="104" spans="2:23" ht="20.100000000000001" customHeight="1" x14ac:dyDescent="0.25">
      <c r="B104" s="54" t="e">
        <f>IF('Conductor-Guarda-Azafata'!#REF!="","",'Conductor-Guarda-Azafata'!#REF!)</f>
        <v>#REF!</v>
      </c>
      <c r="C104" s="54">
        <f>'Conductor-Guarda-Azafata'!C293</f>
        <v>0</v>
      </c>
      <c r="D104" s="72"/>
      <c r="E104" s="73">
        <f>'Conductor-Guarda-Azafata'!F293</f>
        <v>0</v>
      </c>
      <c r="F104" s="71" t="e">
        <f>IF($B104="","",VLOOKUP($B104,'Conductor-Guarda-Azafata'!$B$8:$AN$271,6))</f>
        <v>#REF!</v>
      </c>
      <c r="G104" s="74" t="e">
        <f>IF($B104="","",VLOOKUP($B104,'Conductor-Guarda-Azafata'!$B$8:$AN$271,7))</f>
        <v>#REF!</v>
      </c>
      <c r="H104" s="74" t="e">
        <f>IF($B104="","",VLOOKUP($B104,'Conductor-Guarda-Azafata'!$B$8:$AN$271,8))</f>
        <v>#REF!</v>
      </c>
      <c r="I104" s="71" t="e">
        <f>IF($B104="","",VLOOKUP($B104,'Conductor-Guarda-Azafata'!$B$8:$AN$271,9))</f>
        <v>#REF!</v>
      </c>
      <c r="J104" s="71" t="e">
        <f>IF($B104="","",VLOOKUP($B104,'Conductor-Guarda-Azafata'!$B$8:$AN$271,10))</f>
        <v>#REF!</v>
      </c>
      <c r="K104" s="71"/>
      <c r="L104" s="71" t="e">
        <f>IF($B104="","",VLOOKUP($B104,'Conductor-Guarda-Azafata'!$B$8:$AN$271,24))</f>
        <v>#REF!</v>
      </c>
      <c r="M104" s="55" t="s">
        <v>225</v>
      </c>
      <c r="N104" s="56" t="s">
        <v>225</v>
      </c>
      <c r="O104" s="56" t="s">
        <v>225</v>
      </c>
      <c r="P104" s="56" t="s">
        <v>225</v>
      </c>
      <c r="Q104" s="57">
        <v>3</v>
      </c>
      <c r="R104" s="56" t="s">
        <v>225</v>
      </c>
      <c r="S104" s="56" t="s">
        <v>225</v>
      </c>
      <c r="T104" s="56" t="s">
        <v>225</v>
      </c>
      <c r="U104" s="56" t="s">
        <v>225</v>
      </c>
      <c r="V104" s="58" t="s">
        <v>226</v>
      </c>
      <c r="W104" s="51" t="s">
        <v>231</v>
      </c>
    </row>
    <row r="105" spans="2:23" ht="20.100000000000001" customHeight="1" x14ac:dyDescent="0.25">
      <c r="B105" s="54" t="e">
        <f>IF('Conductor-Guarda-Azafata'!#REF!="","",'Conductor-Guarda-Azafata'!#REF!)</f>
        <v>#REF!</v>
      </c>
      <c r="C105" s="54">
        <f>'Conductor-Guarda-Azafata'!C294</f>
        <v>0</v>
      </c>
      <c r="D105" s="72"/>
      <c r="E105" s="73">
        <f>'Conductor-Guarda-Azafata'!F294</f>
        <v>0</v>
      </c>
      <c r="F105" s="71" t="e">
        <f>IF($B105="","",VLOOKUP($B105,'Conductor-Guarda-Azafata'!$B$8:$AN$271,6))</f>
        <v>#REF!</v>
      </c>
      <c r="G105" s="74" t="e">
        <f>IF($B105="","",VLOOKUP($B105,'Conductor-Guarda-Azafata'!$B$8:$AN$271,7))</f>
        <v>#REF!</v>
      </c>
      <c r="H105" s="74" t="e">
        <f>IF($B105="","",VLOOKUP($B105,'Conductor-Guarda-Azafata'!$B$8:$AN$271,8))</f>
        <v>#REF!</v>
      </c>
      <c r="I105" s="71" t="e">
        <f>IF($B105="","",VLOOKUP($B105,'Conductor-Guarda-Azafata'!$B$8:$AN$271,9))</f>
        <v>#REF!</v>
      </c>
      <c r="J105" s="71" t="e">
        <f>IF($B105="","",VLOOKUP($B105,'Conductor-Guarda-Azafata'!$B$8:$AN$271,10))</f>
        <v>#REF!</v>
      </c>
      <c r="K105" s="71"/>
      <c r="L105" s="71" t="e">
        <f>IF($B105="","",VLOOKUP($B105,'Conductor-Guarda-Azafata'!$B$8:$AN$271,24))</f>
        <v>#REF!</v>
      </c>
      <c r="M105" s="55" t="s">
        <v>225</v>
      </c>
      <c r="N105" s="56" t="s">
        <v>225</v>
      </c>
      <c r="O105" s="56" t="s">
        <v>225</v>
      </c>
      <c r="P105" s="56" t="s">
        <v>225</v>
      </c>
      <c r="Q105" s="57">
        <v>1</v>
      </c>
      <c r="R105" s="56" t="s">
        <v>225</v>
      </c>
      <c r="S105" s="56" t="s">
        <v>225</v>
      </c>
      <c r="T105" s="56" t="s">
        <v>225</v>
      </c>
      <c r="U105" s="56" t="s">
        <v>225</v>
      </c>
      <c r="V105" s="58" t="s">
        <v>225</v>
      </c>
      <c r="W105" s="51"/>
    </row>
    <row r="106" spans="2:23" ht="20.100000000000001" customHeight="1" x14ac:dyDescent="0.25">
      <c r="B106" s="54" t="e">
        <f>IF('Conductor-Guarda-Azafata'!#REF!="","",'Conductor-Guarda-Azafata'!#REF!)</f>
        <v>#REF!</v>
      </c>
      <c r="C106" s="54">
        <f>'Conductor-Guarda-Azafata'!C295</f>
        <v>0</v>
      </c>
      <c r="D106" s="72"/>
      <c r="E106" s="73">
        <f>'Conductor-Guarda-Azafata'!F295</f>
        <v>0</v>
      </c>
      <c r="F106" s="71" t="e">
        <f>IF($B106="","",VLOOKUP($B106,'Conductor-Guarda-Azafata'!$B$8:$AN$271,6))</f>
        <v>#REF!</v>
      </c>
      <c r="G106" s="74" t="e">
        <f>IF($B106="","",VLOOKUP($B106,'Conductor-Guarda-Azafata'!$B$8:$AN$271,7))</f>
        <v>#REF!</v>
      </c>
      <c r="H106" s="74" t="e">
        <f>IF($B106="","",VLOOKUP($B106,'Conductor-Guarda-Azafata'!$B$8:$AN$271,8))</f>
        <v>#REF!</v>
      </c>
      <c r="I106" s="71" t="e">
        <f>IF($B106="","",VLOOKUP($B106,'Conductor-Guarda-Azafata'!$B$8:$AN$271,9))</f>
        <v>#REF!</v>
      </c>
      <c r="J106" s="71" t="e">
        <f>IF($B106="","",VLOOKUP($B106,'Conductor-Guarda-Azafata'!$B$8:$AN$271,10))</f>
        <v>#REF!</v>
      </c>
      <c r="K106" s="71"/>
      <c r="L106" s="71" t="e">
        <f>IF($B106="","",VLOOKUP($B106,'Conductor-Guarda-Azafata'!$B$8:$AN$271,24))</f>
        <v>#REF!</v>
      </c>
      <c r="M106" s="55" t="s">
        <v>226</v>
      </c>
      <c r="N106" s="56" t="s">
        <v>225</v>
      </c>
      <c r="O106" s="56" t="s">
        <v>225</v>
      </c>
      <c r="P106" s="56" t="s">
        <v>225</v>
      </c>
      <c r="Q106" s="57">
        <v>2</v>
      </c>
      <c r="R106" s="56" t="s">
        <v>225</v>
      </c>
      <c r="S106" s="56" t="s">
        <v>225</v>
      </c>
      <c r="T106" s="56" t="s">
        <v>225</v>
      </c>
      <c r="U106" s="56" t="s">
        <v>225</v>
      </c>
      <c r="V106" s="58" t="s">
        <v>226</v>
      </c>
      <c r="W106" s="51" t="s">
        <v>233</v>
      </c>
    </row>
    <row r="107" spans="2:23" ht="20.100000000000001" customHeight="1" thickBot="1" x14ac:dyDescent="0.3">
      <c r="B107" s="54" t="e">
        <f>IF('Conductor-Guarda-Azafata'!#REF!="","",'Conductor-Guarda-Azafata'!#REF!)</f>
        <v>#REF!</v>
      </c>
      <c r="C107" s="54">
        <f>'Conductor-Guarda-Azafata'!C296</f>
        <v>0</v>
      </c>
      <c r="D107" s="72"/>
      <c r="E107" s="73">
        <f>'Conductor-Guarda-Azafata'!F296</f>
        <v>0</v>
      </c>
      <c r="F107" s="71" t="e">
        <f>IF($B107="","",VLOOKUP($B107,'Conductor-Guarda-Azafata'!$B$8:$AN$271,6))</f>
        <v>#REF!</v>
      </c>
      <c r="G107" s="74" t="e">
        <f>IF($B107="","",VLOOKUP($B107,'Conductor-Guarda-Azafata'!$B$8:$AN$271,7))</f>
        <v>#REF!</v>
      </c>
      <c r="H107" s="74" t="e">
        <f>IF($B107="","",VLOOKUP($B107,'Conductor-Guarda-Azafata'!$B$8:$AN$271,8))</f>
        <v>#REF!</v>
      </c>
      <c r="I107" s="71" t="e">
        <f>IF($B107="","",VLOOKUP($B107,'Conductor-Guarda-Azafata'!$B$8:$AN$271,9))</f>
        <v>#REF!</v>
      </c>
      <c r="J107" s="71" t="e">
        <f>IF($B107="","",VLOOKUP($B107,'Conductor-Guarda-Azafata'!$B$8:$AN$271,10))</f>
        <v>#REF!</v>
      </c>
      <c r="K107" s="71"/>
      <c r="L107" s="71" t="e">
        <f>IF($B107="","",VLOOKUP($B107,'Conductor-Guarda-Azafata'!$B$8:$AN$271,24))</f>
        <v>#REF!</v>
      </c>
      <c r="M107" s="59" t="s">
        <v>226</v>
      </c>
      <c r="N107" s="60" t="s">
        <v>225</v>
      </c>
      <c r="O107" s="60" t="s">
        <v>225</v>
      </c>
      <c r="P107" s="60" t="s">
        <v>226</v>
      </c>
      <c r="Q107" s="61"/>
      <c r="R107" s="60" t="s">
        <v>225</v>
      </c>
      <c r="S107" s="60" t="s">
        <v>225</v>
      </c>
      <c r="T107" s="60" t="s">
        <v>225</v>
      </c>
      <c r="U107" s="60" t="s">
        <v>225</v>
      </c>
      <c r="V107" s="62" t="s">
        <v>225</v>
      </c>
      <c r="W107" s="51" t="s">
        <v>234</v>
      </c>
    </row>
  </sheetData>
  <protectedRanges>
    <protectedRange sqref="C5" name="Condiciones de Filtro_Fecha_1"/>
    <protectedRange sqref="D17:H24" name="Datos a ingresar_14"/>
    <protectedRange sqref="C17:C24" name="Datos a ingresar_14_1"/>
  </protectedRanges>
  <autoFilter ref="B8:CA107" xr:uid="{00000000-0009-0000-0000-000002000000}"/>
  <sortState ref="B9:W1545">
    <sortCondition ref="D797"/>
  </sortState>
  <mergeCells count="4">
    <mergeCell ref="E3:F3"/>
    <mergeCell ref="E4:F4"/>
    <mergeCell ref="M7:Q7"/>
    <mergeCell ref="R7:V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B3:BE276"/>
  <sheetViews>
    <sheetView showGridLines="0" topLeftCell="A7" workbookViewId="0">
      <pane ySplit="2" topLeftCell="A25" activePane="bottomLeft" state="frozen"/>
      <selection activeCell="A7" sqref="A7"/>
      <selection pane="bottomLeft" activeCell="K50" sqref="K50"/>
    </sheetView>
  </sheetViews>
  <sheetFormatPr baseColWidth="10" defaultRowHeight="15" x14ac:dyDescent="0.25"/>
  <cols>
    <col min="1" max="1" width="3.7109375" customWidth="1"/>
    <col min="2" max="2" width="10.7109375" customWidth="1"/>
    <col min="3" max="3" width="10.7109375" bestFit="1" customWidth="1"/>
    <col min="4" max="4" width="9.85546875" bestFit="1" customWidth="1"/>
    <col min="5" max="5" width="9.5703125" customWidth="1"/>
    <col min="6" max="6" width="30.28515625" bestFit="1" customWidth="1"/>
    <col min="7" max="7" width="8.7109375" customWidth="1"/>
    <col min="8" max="8" width="8.140625" customWidth="1"/>
    <col min="9" max="9" width="8.42578125" customWidth="1"/>
    <col min="10" max="10" width="10" customWidth="1"/>
    <col min="11" max="11" width="8.5703125" customWidth="1"/>
    <col min="12" max="12" width="8" customWidth="1"/>
    <col min="13" max="13" width="9.140625" customWidth="1"/>
    <col min="14" max="14" width="12.5703125" customWidth="1"/>
    <col min="15" max="15" width="7.140625" customWidth="1"/>
    <col min="16" max="16" width="8.42578125" customWidth="1"/>
    <col min="17" max="17" width="7.7109375" customWidth="1"/>
    <col min="27" max="27" width="6.28515625" customWidth="1"/>
    <col min="30" max="30" width="9.28515625" customWidth="1"/>
    <col min="31" max="31" width="24.7109375" customWidth="1"/>
    <col min="32" max="32" width="7.7109375" customWidth="1"/>
    <col min="33" max="33" width="7.140625" customWidth="1"/>
    <col min="34" max="34" width="8.28515625" customWidth="1"/>
    <col min="35" max="35" width="9.5703125" customWidth="1"/>
    <col min="36" max="36" width="8.28515625" customWidth="1"/>
    <col min="37" max="37" width="6.140625" customWidth="1"/>
    <col min="38" max="38" width="7.140625" customWidth="1"/>
    <col min="40" max="40" width="7" customWidth="1"/>
    <col min="41" max="41" width="7.85546875" customWidth="1"/>
    <col min="42" max="42" width="7.7109375" customWidth="1"/>
  </cols>
  <sheetData>
    <row r="3" spans="2:57" s="43" customFormat="1" ht="35.1" customHeight="1" x14ac:dyDescent="0.25">
      <c r="B3"/>
      <c r="C3"/>
      <c r="D3"/>
      <c r="E3"/>
      <c r="F3"/>
      <c r="G3"/>
      <c r="R3" s="42"/>
      <c r="AA3"/>
      <c r="AB3"/>
      <c r="AC3"/>
      <c r="AD3"/>
      <c r="AE3"/>
      <c r="AF3"/>
      <c r="AG3"/>
      <c r="AH3"/>
      <c r="AI3"/>
      <c r="AJ3"/>
      <c r="AK3"/>
      <c r="AL3"/>
      <c r="AM3"/>
      <c r="AN3"/>
      <c r="AO3"/>
      <c r="AP3"/>
      <c r="AQ3"/>
      <c r="AR3"/>
      <c r="AS3"/>
      <c r="AT3"/>
      <c r="AU3"/>
      <c r="AV3"/>
      <c r="AW3"/>
      <c r="AX3"/>
      <c r="AY3"/>
      <c r="AZ3"/>
      <c r="BA3"/>
      <c r="BB3"/>
      <c r="BC3"/>
      <c r="BD3"/>
      <c r="BE3"/>
    </row>
    <row r="6" spans="2:57" ht="15.75" thickBot="1" x14ac:dyDescent="0.3"/>
    <row r="7" spans="2:57" ht="24.75" customHeight="1" x14ac:dyDescent="0.25">
      <c r="E7" s="149" t="s">
        <v>202</v>
      </c>
      <c r="F7" s="149"/>
      <c r="G7" s="149"/>
      <c r="H7" s="149"/>
      <c r="I7" s="149"/>
      <c r="J7" s="149"/>
      <c r="K7" s="149"/>
      <c r="L7" s="149"/>
      <c r="M7" s="149"/>
      <c r="N7" s="149" t="s">
        <v>203</v>
      </c>
      <c r="O7" s="149"/>
      <c r="P7" s="149"/>
      <c r="Q7" s="149"/>
    </row>
    <row r="8" spans="2:57" ht="50.1" customHeight="1" x14ac:dyDescent="0.25">
      <c r="B8" s="46" t="s">
        <v>16</v>
      </c>
      <c r="C8" s="46" t="s">
        <v>2</v>
      </c>
      <c r="D8" s="49" t="s">
        <v>4</v>
      </c>
      <c r="E8" s="47" t="s">
        <v>220</v>
      </c>
      <c r="F8" s="46" t="s">
        <v>195</v>
      </c>
      <c r="G8" s="46" t="s">
        <v>196</v>
      </c>
      <c r="H8" s="46" t="s">
        <v>8</v>
      </c>
      <c r="I8" s="46" t="s">
        <v>197</v>
      </c>
      <c r="J8" s="46" t="s">
        <v>198</v>
      </c>
      <c r="K8" s="46" t="s">
        <v>199</v>
      </c>
      <c r="L8" s="46" t="s">
        <v>200</v>
      </c>
      <c r="M8" s="44" t="s">
        <v>201</v>
      </c>
      <c r="N8" s="47" t="s">
        <v>191</v>
      </c>
      <c r="O8" s="46" t="s">
        <v>192</v>
      </c>
      <c r="P8" s="46" t="s">
        <v>193</v>
      </c>
      <c r="Q8" s="44" t="s">
        <v>194</v>
      </c>
      <c r="R8" s="46" t="s">
        <v>198</v>
      </c>
      <c r="AA8" s="46" t="s">
        <v>16</v>
      </c>
      <c r="AB8" s="46" t="s">
        <v>2</v>
      </c>
      <c r="AC8" s="49" t="s">
        <v>4</v>
      </c>
      <c r="AD8" s="47" t="s">
        <v>220</v>
      </c>
      <c r="AE8" s="46" t="s">
        <v>195</v>
      </c>
      <c r="AF8" s="46" t="s">
        <v>196</v>
      </c>
      <c r="AG8" s="46" t="s">
        <v>8</v>
      </c>
      <c r="AH8" s="46" t="s">
        <v>197</v>
      </c>
      <c r="AI8" s="46" t="s">
        <v>198</v>
      </c>
    </row>
    <row r="9" spans="2:57" ht="20.100000000000001" customHeight="1" x14ac:dyDescent="0.25">
      <c r="B9" s="75" t="str">
        <f>IF('Conductor-Guarda-Azafata'!B9="","",'Conductor-Guarda-Azafata'!B9)</f>
        <v/>
      </c>
      <c r="C9" s="76" t="str">
        <f>IF($B9="","",VLOOKUP($B9,'Conductor-Guarda-Azafata'!$B$8:$AN$271,4,FALSE))</f>
        <v/>
      </c>
      <c r="D9" s="77" t="str">
        <f>IF($B9="","",VLOOKUP($B9,'Conductor-Guarda-Azafata'!$B$8:$AN$271,5))</f>
        <v/>
      </c>
      <c r="E9" s="33"/>
      <c r="F9" s="52" t="s">
        <v>268</v>
      </c>
      <c r="G9" s="92" t="s">
        <v>225</v>
      </c>
      <c r="H9" s="92" t="s">
        <v>225</v>
      </c>
      <c r="I9" s="92" t="s">
        <v>225</v>
      </c>
      <c r="J9" s="92" t="s">
        <v>225</v>
      </c>
      <c r="K9" s="92" t="s">
        <v>225</v>
      </c>
      <c r="L9" s="92" t="s">
        <v>225</v>
      </c>
      <c r="M9" s="64" t="s">
        <v>225</v>
      </c>
      <c r="N9" s="53" t="s">
        <v>263</v>
      </c>
      <c r="O9" s="92" t="s">
        <v>225</v>
      </c>
      <c r="P9" s="92" t="s">
        <v>225</v>
      </c>
      <c r="Q9" s="64" t="s">
        <v>225</v>
      </c>
    </row>
    <row r="10" spans="2:57" ht="20.100000000000001" customHeight="1" x14ac:dyDescent="0.25">
      <c r="B10" s="75" t="str">
        <f>IF('Conductor-Guarda-Azafata'!B10="","",'Conductor-Guarda-Azafata'!B10)</f>
        <v/>
      </c>
      <c r="C10" s="76" t="str">
        <f>IF($B10="","",VLOOKUP($B10,'Conductor-Guarda-Azafata'!$B$8:$AN$271,4,FALSE))</f>
        <v/>
      </c>
      <c r="D10" s="77" t="str">
        <f>IF($B10="","",VLOOKUP($B10,'Conductor-Guarda-Azafata'!$B$8:$AN$271,5))</f>
        <v/>
      </c>
      <c r="E10" s="33"/>
      <c r="F10" s="52" t="s">
        <v>268</v>
      </c>
      <c r="G10" s="92" t="s">
        <v>225</v>
      </c>
      <c r="H10" s="92" t="s">
        <v>225</v>
      </c>
      <c r="I10" s="92" t="s">
        <v>225</v>
      </c>
      <c r="J10" s="92" t="s">
        <v>225</v>
      </c>
      <c r="K10" s="92" t="s">
        <v>225</v>
      </c>
      <c r="L10" s="92" t="s">
        <v>225</v>
      </c>
      <c r="M10" s="64" t="s">
        <v>225</v>
      </c>
      <c r="N10" s="53" t="s">
        <v>263</v>
      </c>
      <c r="O10" s="92" t="s">
        <v>225</v>
      </c>
      <c r="P10" s="92" t="s">
        <v>225</v>
      </c>
      <c r="Q10" s="64" t="s">
        <v>225</v>
      </c>
    </row>
    <row r="11" spans="2:57" ht="20.100000000000001" customHeight="1" x14ac:dyDescent="0.25">
      <c r="B11" s="75" t="str">
        <f>IF('Conductor-Guarda-Azafata'!B11="","",'Conductor-Guarda-Azafata'!B11)</f>
        <v/>
      </c>
      <c r="C11" s="76" t="str">
        <f>IF($B11="","",VLOOKUP($B11,'Conductor-Guarda-Azafata'!$B$8:$AN$271,4,FALSE))</f>
        <v/>
      </c>
      <c r="D11" s="77" t="str">
        <f>IF($B11="","",VLOOKUP($B11,'Conductor-Guarda-Azafata'!$B$8:$AN$271,5))</f>
        <v/>
      </c>
      <c r="E11" s="33"/>
      <c r="F11" s="52" t="s">
        <v>232</v>
      </c>
      <c r="G11" s="92" t="s">
        <v>225</v>
      </c>
      <c r="H11" s="92" t="s">
        <v>225</v>
      </c>
      <c r="I11" s="92" t="s">
        <v>225</v>
      </c>
      <c r="J11" s="92" t="s">
        <v>225</v>
      </c>
      <c r="K11" s="92" t="s">
        <v>225</v>
      </c>
      <c r="L11" s="92" t="s">
        <v>225</v>
      </c>
      <c r="M11" s="64" t="s">
        <v>225</v>
      </c>
      <c r="N11" s="53" t="s">
        <v>269</v>
      </c>
      <c r="O11" s="92" t="s">
        <v>225</v>
      </c>
      <c r="P11" s="92" t="s">
        <v>225</v>
      </c>
      <c r="Q11" s="64" t="s">
        <v>225</v>
      </c>
    </row>
    <row r="12" spans="2:57" ht="20.100000000000001" customHeight="1" x14ac:dyDescent="0.25">
      <c r="B12" s="75" t="str">
        <f>IF('Conductor-Guarda-Azafata'!B12="","",'Conductor-Guarda-Azafata'!B12)</f>
        <v/>
      </c>
      <c r="C12" s="76" t="str">
        <f>IF($B12="","",VLOOKUP($B12,'Conductor-Guarda-Azafata'!$B$8:$AN$271,4,FALSE))</f>
        <v/>
      </c>
      <c r="D12" s="77" t="str">
        <f>IF($B12="","",VLOOKUP($B12,'Conductor-Guarda-Azafata'!$B$8:$AN$271,5))</f>
        <v/>
      </c>
      <c r="E12" s="33"/>
      <c r="F12" s="52" t="s">
        <v>232</v>
      </c>
      <c r="G12" s="92" t="s">
        <v>225</v>
      </c>
      <c r="H12" s="92" t="s">
        <v>225</v>
      </c>
      <c r="I12" s="92" t="s">
        <v>225</v>
      </c>
      <c r="J12" s="92" t="s">
        <v>225</v>
      </c>
      <c r="K12" s="92" t="s">
        <v>225</v>
      </c>
      <c r="L12" s="92" t="s">
        <v>225</v>
      </c>
      <c r="M12" s="64" t="s">
        <v>225</v>
      </c>
      <c r="N12" s="53" t="s">
        <v>269</v>
      </c>
      <c r="O12" s="92" t="s">
        <v>225</v>
      </c>
      <c r="P12" s="92" t="s">
        <v>225</v>
      </c>
      <c r="Q12" s="64" t="s">
        <v>225</v>
      </c>
    </row>
    <row r="13" spans="2:57" ht="20.100000000000001" customHeight="1" x14ac:dyDescent="0.25">
      <c r="B13" s="75" t="str">
        <f>IF('Conductor-Guarda-Azafata'!B13="","",'Conductor-Guarda-Azafata'!B13)</f>
        <v/>
      </c>
      <c r="C13" s="76" t="str">
        <f>IF($B13="","",VLOOKUP($B13,'Conductor-Guarda-Azafata'!$B$8:$AN$271,4,FALSE))</f>
        <v/>
      </c>
      <c r="D13" s="77" t="str">
        <f>IF($B13="","",VLOOKUP($B13,'Conductor-Guarda-Azafata'!$B$8:$AN$271,5))</f>
        <v/>
      </c>
      <c r="E13" s="33"/>
      <c r="F13" s="52" t="s">
        <v>268</v>
      </c>
      <c r="G13" s="92" t="s">
        <v>225</v>
      </c>
      <c r="H13" s="92" t="s">
        <v>225</v>
      </c>
      <c r="I13" s="92" t="s">
        <v>225</v>
      </c>
      <c r="J13" s="92" t="s">
        <v>225</v>
      </c>
      <c r="K13" s="92" t="s">
        <v>225</v>
      </c>
      <c r="L13" s="92" t="s">
        <v>225</v>
      </c>
      <c r="M13" s="64" t="s">
        <v>225</v>
      </c>
      <c r="N13" s="53" t="s">
        <v>263</v>
      </c>
      <c r="O13" s="92" t="s">
        <v>225</v>
      </c>
      <c r="P13" s="92" t="s">
        <v>225</v>
      </c>
      <c r="Q13" s="64" t="s">
        <v>225</v>
      </c>
    </row>
    <row r="14" spans="2:57" ht="20.100000000000001" customHeight="1" x14ac:dyDescent="0.25">
      <c r="B14" s="75" t="str">
        <f>IF('Conductor-Guarda-Azafata'!B14="","",'Conductor-Guarda-Azafata'!B14)</f>
        <v/>
      </c>
      <c r="C14" s="76" t="str">
        <f>IF($B14="","",VLOOKUP($B14,'Conductor-Guarda-Azafata'!$B$8:$AN$271,4,FALSE))</f>
        <v/>
      </c>
      <c r="D14" s="77" t="str">
        <f>IF($B14="","",VLOOKUP($B14,'Conductor-Guarda-Azafata'!$B$8:$AN$271,5))</f>
        <v/>
      </c>
      <c r="E14" s="33"/>
      <c r="F14" s="52" t="s">
        <v>268</v>
      </c>
      <c r="G14" s="92" t="s">
        <v>225</v>
      </c>
      <c r="H14" s="92" t="s">
        <v>225</v>
      </c>
      <c r="I14" s="92" t="s">
        <v>225</v>
      </c>
      <c r="J14" s="92" t="s">
        <v>225</v>
      </c>
      <c r="K14" s="92" t="s">
        <v>225</v>
      </c>
      <c r="L14" s="92" t="s">
        <v>225</v>
      </c>
      <c r="M14" s="64" t="s">
        <v>225</v>
      </c>
      <c r="N14" s="53" t="s">
        <v>263</v>
      </c>
      <c r="O14" s="92" t="s">
        <v>225</v>
      </c>
      <c r="P14" s="92" t="s">
        <v>225</v>
      </c>
      <c r="Q14" s="64" t="s">
        <v>225</v>
      </c>
    </row>
    <row r="15" spans="2:57" ht="20.100000000000001" customHeight="1" x14ac:dyDescent="0.25">
      <c r="B15" s="75" t="str">
        <f>IF('Conductor-Guarda-Azafata'!B15="","",'Conductor-Guarda-Azafata'!B15)</f>
        <v/>
      </c>
      <c r="C15" s="76" t="str">
        <f>IF($B15="","",VLOOKUP($B15,'Conductor-Guarda-Azafata'!$B$8:$AN$271,4,FALSE))</f>
        <v/>
      </c>
      <c r="D15" s="77" t="str">
        <f>IF($B15="","",VLOOKUP($B15,'Conductor-Guarda-Azafata'!$B$8:$AN$271,5))</f>
        <v/>
      </c>
      <c r="E15" s="33"/>
      <c r="F15" s="52" t="s">
        <v>245</v>
      </c>
      <c r="G15" s="92" t="s">
        <v>225</v>
      </c>
      <c r="H15" s="92" t="s">
        <v>225</v>
      </c>
      <c r="I15" s="92" t="s">
        <v>225</v>
      </c>
      <c r="J15" s="92" t="s">
        <v>225</v>
      </c>
      <c r="K15" s="92" t="s">
        <v>225</v>
      </c>
      <c r="L15" s="92" t="s">
        <v>225</v>
      </c>
      <c r="M15" s="64" t="s">
        <v>225</v>
      </c>
      <c r="N15" s="53" t="s">
        <v>266</v>
      </c>
      <c r="O15" s="92" t="s">
        <v>225</v>
      </c>
      <c r="P15" s="92" t="s">
        <v>225</v>
      </c>
      <c r="Q15" s="64" t="s">
        <v>225</v>
      </c>
    </row>
    <row r="16" spans="2:57" ht="20.100000000000001" customHeight="1" x14ac:dyDescent="0.25">
      <c r="B16" s="75" t="str">
        <f>IF('Conductor-Guarda-Azafata'!B16="","",'Conductor-Guarda-Azafata'!B16)</f>
        <v/>
      </c>
      <c r="C16" s="76" t="str">
        <f>IF($B16="","",VLOOKUP($B16,'Conductor-Guarda-Azafata'!$B$8:$AN$271,4,FALSE))</f>
        <v/>
      </c>
      <c r="D16" s="77" t="str">
        <f>IF($B16="","",VLOOKUP($B16,'Conductor-Guarda-Azafata'!$B$8:$AN$271,5))</f>
        <v/>
      </c>
      <c r="E16" s="33"/>
      <c r="F16" s="52" t="s">
        <v>252</v>
      </c>
      <c r="G16" s="4"/>
      <c r="H16" s="4"/>
      <c r="I16" s="4"/>
      <c r="J16" s="4"/>
      <c r="K16" s="4"/>
      <c r="L16" s="4"/>
      <c r="M16" s="64"/>
      <c r="N16" s="53" t="s">
        <v>252</v>
      </c>
      <c r="O16" s="4"/>
      <c r="P16" s="4"/>
      <c r="Q16" s="64"/>
    </row>
    <row r="17" spans="2:18" ht="20.100000000000001" customHeight="1" x14ac:dyDescent="0.25">
      <c r="B17" s="75" t="str">
        <f>IF('Conductor-Guarda-Azafata'!B17="","",'Conductor-Guarda-Azafata'!B17)</f>
        <v/>
      </c>
      <c r="C17" s="76" t="str">
        <f>IF($B17="","",VLOOKUP($B17,'Conductor-Guarda-Azafata'!$B$8:$AN$271,4,FALSE))</f>
        <v/>
      </c>
      <c r="D17" s="77" t="str">
        <f>IF($B17="","",VLOOKUP($B17,'Conductor-Guarda-Azafata'!$B$8:$AN$271,5))</f>
        <v/>
      </c>
      <c r="E17" s="33"/>
      <c r="F17" s="52" t="s">
        <v>268</v>
      </c>
      <c r="G17" s="92" t="s">
        <v>225</v>
      </c>
      <c r="H17" s="92" t="s">
        <v>225</v>
      </c>
      <c r="I17" s="92" t="s">
        <v>225</v>
      </c>
      <c r="J17" s="92" t="s">
        <v>225</v>
      </c>
      <c r="K17" s="92" t="s">
        <v>225</v>
      </c>
      <c r="L17" s="92" t="s">
        <v>225</v>
      </c>
      <c r="M17" s="64" t="s">
        <v>225</v>
      </c>
      <c r="N17" s="53" t="s">
        <v>263</v>
      </c>
      <c r="O17" s="92" t="s">
        <v>225</v>
      </c>
      <c r="P17" s="92" t="s">
        <v>225</v>
      </c>
      <c r="Q17" s="64" t="s">
        <v>225</v>
      </c>
    </row>
    <row r="18" spans="2:18" ht="20.100000000000001" customHeight="1" x14ac:dyDescent="0.25">
      <c r="B18" s="75" t="str">
        <f>IF('Conductor-Guarda-Azafata'!B18="","",'Conductor-Guarda-Azafata'!B18)</f>
        <v/>
      </c>
      <c r="C18" s="76" t="str">
        <f>IF($B18="","",VLOOKUP($B18,'Conductor-Guarda-Azafata'!$B$8:$AN$271,4,FALSE))</f>
        <v/>
      </c>
      <c r="D18" s="77" t="str">
        <f>IF($B18="","",VLOOKUP($B18,'Conductor-Guarda-Azafata'!$B$8:$AN$271,5))</f>
        <v/>
      </c>
      <c r="E18" s="33"/>
      <c r="F18" s="52" t="s">
        <v>268</v>
      </c>
      <c r="G18" s="92" t="s">
        <v>225</v>
      </c>
      <c r="H18" s="92" t="s">
        <v>225</v>
      </c>
      <c r="I18" s="92" t="s">
        <v>225</v>
      </c>
      <c r="J18" s="92" t="s">
        <v>225</v>
      </c>
      <c r="K18" s="92" t="s">
        <v>225</v>
      </c>
      <c r="L18" s="92" t="s">
        <v>225</v>
      </c>
      <c r="M18" s="64" t="s">
        <v>225</v>
      </c>
      <c r="N18" s="53" t="s">
        <v>263</v>
      </c>
      <c r="O18" s="92" t="s">
        <v>225</v>
      </c>
      <c r="P18" s="92" t="s">
        <v>225</v>
      </c>
      <c r="Q18" s="64" t="s">
        <v>225</v>
      </c>
    </row>
    <row r="19" spans="2:18" ht="20.100000000000001" customHeight="1" x14ac:dyDescent="0.25">
      <c r="B19" s="75" t="str">
        <f>IF('Conductor-Guarda-Azafata'!B19="","",'Conductor-Guarda-Azafata'!B19)</f>
        <v/>
      </c>
      <c r="C19" s="76" t="str">
        <f>IF($B19="","",VLOOKUP($B19,'Conductor-Guarda-Azafata'!$B$8:$AN$271,4,FALSE))</f>
        <v/>
      </c>
      <c r="D19" s="77" t="str">
        <f>IF($B19="","",VLOOKUP($B19,'Conductor-Guarda-Azafata'!$B$8:$AN$271,5))</f>
        <v/>
      </c>
      <c r="E19" s="33"/>
      <c r="F19" s="52" t="s">
        <v>255</v>
      </c>
      <c r="G19" s="92" t="s">
        <v>225</v>
      </c>
      <c r="H19" s="92" t="s">
        <v>225</v>
      </c>
      <c r="I19" s="92" t="s">
        <v>225</v>
      </c>
      <c r="J19" s="92" t="s">
        <v>225</v>
      </c>
      <c r="K19" s="92" t="s">
        <v>225</v>
      </c>
      <c r="L19" s="92" t="s">
        <v>225</v>
      </c>
      <c r="M19" s="64" t="s">
        <v>225</v>
      </c>
      <c r="N19" s="53" t="s">
        <v>255</v>
      </c>
      <c r="O19" s="92" t="s">
        <v>225</v>
      </c>
      <c r="P19" s="92" t="s">
        <v>225</v>
      </c>
      <c r="Q19" s="64" t="s">
        <v>225</v>
      </c>
    </row>
    <row r="20" spans="2:18" ht="20.100000000000001" customHeight="1" x14ac:dyDescent="0.25">
      <c r="B20" s="75" t="str">
        <f>IF('Conductor-Guarda-Azafata'!B20="","",'Conductor-Guarda-Azafata'!B20)</f>
        <v/>
      </c>
      <c r="C20" s="76" t="str">
        <f>IF($B20="","",VLOOKUP($B20,'Conductor-Guarda-Azafata'!$B$8:$AN$271,4,FALSE))</f>
        <v/>
      </c>
      <c r="D20" s="77" t="str">
        <f>IF($B20="","",VLOOKUP($B20,'Conductor-Guarda-Azafata'!$B$8:$AN$271,5))</f>
        <v/>
      </c>
      <c r="E20" s="33"/>
      <c r="F20" s="52" t="s">
        <v>255</v>
      </c>
      <c r="G20" s="92" t="s">
        <v>225</v>
      </c>
      <c r="H20" s="92" t="s">
        <v>225</v>
      </c>
      <c r="I20" s="92" t="s">
        <v>225</v>
      </c>
      <c r="J20" s="92" t="s">
        <v>225</v>
      </c>
      <c r="K20" s="92" t="s">
        <v>225</v>
      </c>
      <c r="L20" s="92" t="s">
        <v>225</v>
      </c>
      <c r="M20" s="64" t="s">
        <v>225</v>
      </c>
      <c r="N20" s="53" t="s">
        <v>255</v>
      </c>
      <c r="O20" s="92" t="s">
        <v>225</v>
      </c>
      <c r="P20" s="92" t="s">
        <v>225</v>
      </c>
      <c r="Q20" s="64" t="s">
        <v>225</v>
      </c>
    </row>
    <row r="21" spans="2:18" ht="20.100000000000001" customHeight="1" x14ac:dyDescent="0.25">
      <c r="B21" s="75" t="str">
        <f>IF('Conductor-Guarda-Azafata'!B21="","",'Conductor-Guarda-Azafata'!B21)</f>
        <v/>
      </c>
      <c r="C21" s="76" t="str">
        <f>IF($B21="","",VLOOKUP($B21,'Conductor-Guarda-Azafata'!$B$8:$AN$271,4,FALSE))</f>
        <v/>
      </c>
      <c r="D21" s="77" t="str">
        <f>IF($B21="","",VLOOKUP($B21,'Conductor-Guarda-Azafata'!$B$8:$AN$271,5))</f>
        <v/>
      </c>
      <c r="E21" s="33"/>
      <c r="F21" s="52" t="s">
        <v>270</v>
      </c>
      <c r="G21" s="92" t="s">
        <v>225</v>
      </c>
      <c r="H21" s="92" t="s">
        <v>225</v>
      </c>
      <c r="I21" s="92" t="s">
        <v>225</v>
      </c>
      <c r="J21" s="92" t="s">
        <v>251</v>
      </c>
      <c r="K21" s="92" t="s">
        <v>225</v>
      </c>
      <c r="L21" s="92" t="s">
        <v>225</v>
      </c>
      <c r="M21" s="64" t="s">
        <v>225</v>
      </c>
      <c r="N21" s="53" t="s">
        <v>266</v>
      </c>
      <c r="O21" s="92" t="s">
        <v>225</v>
      </c>
      <c r="P21" s="92" t="s">
        <v>225</v>
      </c>
      <c r="Q21" s="64" t="s">
        <v>225</v>
      </c>
      <c r="R21" s="87"/>
    </row>
    <row r="22" spans="2:18" ht="20.100000000000001" customHeight="1" x14ac:dyDescent="0.25">
      <c r="B22" s="75" t="str">
        <f>IF('Conductor-Guarda-Azafata'!B22="","",'Conductor-Guarda-Azafata'!B22)</f>
        <v/>
      </c>
      <c r="C22" s="76" t="str">
        <f>IF($B22="","",VLOOKUP($B22,'Conductor-Guarda-Azafata'!$B$8:$AN$271,4,FALSE))</f>
        <v/>
      </c>
      <c r="D22" s="77" t="str">
        <f>IF($B22="","",VLOOKUP($B22,'Conductor-Guarda-Azafata'!$B$8:$AN$271,5))</f>
        <v/>
      </c>
      <c r="E22" s="33"/>
      <c r="F22" s="52" t="s">
        <v>252</v>
      </c>
      <c r="G22" s="4"/>
      <c r="H22" s="4"/>
      <c r="I22" s="4"/>
      <c r="J22" s="4"/>
      <c r="K22" s="4"/>
      <c r="L22" s="4"/>
      <c r="M22" s="64"/>
      <c r="N22" s="53" t="s">
        <v>252</v>
      </c>
      <c r="O22" s="4"/>
      <c r="P22" s="4"/>
      <c r="Q22" s="64"/>
    </row>
    <row r="23" spans="2:18" ht="20.100000000000001" customHeight="1" x14ac:dyDescent="0.25">
      <c r="B23" s="75" t="str">
        <f>IF('Conductor-Guarda-Azafata'!B23="","",'Conductor-Guarda-Azafata'!B23)</f>
        <v/>
      </c>
      <c r="C23" s="76" t="str">
        <f>IF($B23="","",VLOOKUP($B23,'Conductor-Guarda-Azafata'!$B$8:$AN$271,4,FALSE))</f>
        <v/>
      </c>
      <c r="D23" s="77" t="str">
        <f>IF($B23="","",VLOOKUP($B23,'Conductor-Guarda-Azafata'!$B$8:$AN$271,5))</f>
        <v/>
      </c>
      <c r="E23" s="33"/>
      <c r="F23" s="52" t="s">
        <v>272</v>
      </c>
      <c r="G23" s="92" t="s">
        <v>225</v>
      </c>
      <c r="H23" s="92" t="s">
        <v>226</v>
      </c>
      <c r="I23" s="92" t="s">
        <v>225</v>
      </c>
      <c r="J23" s="92" t="s">
        <v>225</v>
      </c>
      <c r="K23" s="92" t="s">
        <v>225</v>
      </c>
      <c r="L23" s="92" t="s">
        <v>225</v>
      </c>
      <c r="M23" s="64" t="s">
        <v>225</v>
      </c>
      <c r="N23" s="53" t="s">
        <v>271</v>
      </c>
      <c r="O23" s="92" t="s">
        <v>225</v>
      </c>
      <c r="P23" s="92" t="s">
        <v>225</v>
      </c>
      <c r="Q23" s="64" t="s">
        <v>225</v>
      </c>
    </row>
    <row r="24" spans="2:18" ht="20.100000000000001" customHeight="1" x14ac:dyDescent="0.25">
      <c r="B24" s="75" t="str">
        <f>IF('Conductor-Guarda-Azafata'!B24="","",'Conductor-Guarda-Azafata'!B24)</f>
        <v/>
      </c>
      <c r="C24" s="76" t="str">
        <f>IF($B24="","",VLOOKUP($B24,'Conductor-Guarda-Azafata'!$B$8:$AN$271,4,FALSE))</f>
        <v/>
      </c>
      <c r="D24" s="77" t="str">
        <f>IF($B24="","",VLOOKUP($B24,'Conductor-Guarda-Azafata'!$B$8:$AN$271,5))</f>
        <v/>
      </c>
      <c r="E24" s="33"/>
      <c r="F24" s="52" t="s">
        <v>272</v>
      </c>
      <c r="G24" s="92" t="s">
        <v>225</v>
      </c>
      <c r="H24" s="92" t="s">
        <v>225</v>
      </c>
      <c r="I24" s="92" t="s">
        <v>225</v>
      </c>
      <c r="J24" s="92" t="s">
        <v>228</v>
      </c>
      <c r="K24" s="92" t="s">
        <v>225</v>
      </c>
      <c r="L24" s="92" t="s">
        <v>225</v>
      </c>
      <c r="M24" s="64" t="s">
        <v>225</v>
      </c>
      <c r="N24" s="53" t="s">
        <v>271</v>
      </c>
      <c r="O24" s="92" t="s">
        <v>225</v>
      </c>
      <c r="P24" s="92" t="s">
        <v>225</v>
      </c>
      <c r="Q24" s="64" t="s">
        <v>225</v>
      </c>
    </row>
    <row r="25" spans="2:18" ht="20.100000000000001" customHeight="1" x14ac:dyDescent="0.25">
      <c r="B25" s="75" t="str">
        <f>IF('Conductor-Guarda-Azafata'!B25="","",'Conductor-Guarda-Azafata'!B25)</f>
        <v/>
      </c>
      <c r="C25" s="76" t="str">
        <f>IF($B25="","",VLOOKUP($B25,'Conductor-Guarda-Azafata'!$B$8:$AN$271,4,FALSE))</f>
        <v/>
      </c>
      <c r="D25" s="77" t="str">
        <f>IF($B25="","",VLOOKUP($B25,'Conductor-Guarda-Azafata'!$B$8:$AN$271,5))</f>
        <v/>
      </c>
      <c r="E25" s="33"/>
      <c r="F25" s="52" t="s">
        <v>266</v>
      </c>
      <c r="G25" s="92" t="s">
        <v>225</v>
      </c>
      <c r="H25" s="92" t="s">
        <v>225</v>
      </c>
      <c r="I25" s="92" t="s">
        <v>225</v>
      </c>
      <c r="J25" s="92" t="s">
        <v>228</v>
      </c>
      <c r="K25" s="92" t="s">
        <v>225</v>
      </c>
      <c r="L25" s="92" t="s">
        <v>225</v>
      </c>
      <c r="M25" s="64" t="s">
        <v>225</v>
      </c>
      <c r="N25" s="53" t="s">
        <v>266</v>
      </c>
      <c r="O25" s="92" t="s">
        <v>225</v>
      </c>
      <c r="P25" s="92" t="s">
        <v>225</v>
      </c>
      <c r="Q25" s="64" t="s">
        <v>225</v>
      </c>
    </row>
    <row r="26" spans="2:18" ht="20.100000000000001" customHeight="1" x14ac:dyDescent="0.25">
      <c r="B26" s="75" t="str">
        <f>IF('Conductor-Guarda-Azafata'!B26="","",'Conductor-Guarda-Azafata'!B26)</f>
        <v/>
      </c>
      <c r="C26" s="76" t="str">
        <f>IF($B26="","",VLOOKUP($B26,'Conductor-Guarda-Azafata'!$B$8:$AN$271,4,FALSE))</f>
        <v/>
      </c>
      <c r="D26" s="77" t="str">
        <f>IF($B26="","",VLOOKUP($B26,'Conductor-Guarda-Azafata'!$B$8:$AN$271,5))</f>
        <v/>
      </c>
      <c r="E26" s="33"/>
      <c r="F26" s="52" t="s">
        <v>252</v>
      </c>
      <c r="G26" s="4"/>
      <c r="H26" s="4"/>
      <c r="I26" s="4"/>
      <c r="J26" s="4"/>
      <c r="K26" s="4"/>
      <c r="L26" s="4"/>
      <c r="M26" s="64"/>
      <c r="N26" s="53" t="s">
        <v>252</v>
      </c>
      <c r="O26" s="4"/>
      <c r="P26" s="4"/>
      <c r="Q26" s="64"/>
    </row>
    <row r="27" spans="2:18" ht="20.100000000000001" customHeight="1" x14ac:dyDescent="0.25">
      <c r="B27" s="75" t="str">
        <f>IF('Conductor-Guarda-Azafata'!B27="","",'Conductor-Guarda-Azafata'!B27)</f>
        <v/>
      </c>
      <c r="C27" s="76">
        <v>43320</v>
      </c>
      <c r="D27" s="77" t="str">
        <f>IF($B27="","",VLOOKUP($B27,'Conductor-Guarda-Azafata'!$B$8:$AN$271,5))</f>
        <v/>
      </c>
      <c r="E27" s="33"/>
      <c r="F27" s="52" t="s">
        <v>255</v>
      </c>
      <c r="G27" s="92" t="s">
        <v>225</v>
      </c>
      <c r="H27" s="92" t="s">
        <v>225</v>
      </c>
      <c r="I27" s="92" t="s">
        <v>225</v>
      </c>
      <c r="J27" s="92" t="s">
        <v>225</v>
      </c>
      <c r="K27" s="92" t="s">
        <v>225</v>
      </c>
      <c r="L27" s="92" t="s">
        <v>225</v>
      </c>
      <c r="M27" s="64" t="s">
        <v>225</v>
      </c>
      <c r="N27" s="53" t="s">
        <v>255</v>
      </c>
      <c r="O27" s="92" t="s">
        <v>225</v>
      </c>
      <c r="P27" s="92" t="s">
        <v>225</v>
      </c>
      <c r="Q27" s="64" t="s">
        <v>225</v>
      </c>
    </row>
    <row r="28" spans="2:18" ht="20.100000000000001" customHeight="1" x14ac:dyDescent="0.25">
      <c r="B28" s="75" t="str">
        <f>IF('Conductor-Guarda-Azafata'!B28="","",'Conductor-Guarda-Azafata'!B28)</f>
        <v/>
      </c>
      <c r="C28" s="76" t="str">
        <f>IF($B28="","",VLOOKUP($B28,'Conductor-Guarda-Azafata'!$B$8:$AN$271,4,FALSE))</f>
        <v/>
      </c>
      <c r="D28" s="77" t="str">
        <f>IF($B28="","",VLOOKUP($B28,'Conductor-Guarda-Azafata'!$B$8:$AN$271,5))</f>
        <v/>
      </c>
      <c r="E28" s="33"/>
      <c r="F28" s="52" t="s">
        <v>255</v>
      </c>
      <c r="G28" s="92" t="s">
        <v>225</v>
      </c>
      <c r="H28" s="92" t="s">
        <v>225</v>
      </c>
      <c r="I28" s="92" t="s">
        <v>225</v>
      </c>
      <c r="J28" s="92" t="s">
        <v>225</v>
      </c>
      <c r="K28" s="92" t="s">
        <v>225</v>
      </c>
      <c r="L28" s="92" t="s">
        <v>225</v>
      </c>
      <c r="M28" s="64" t="s">
        <v>225</v>
      </c>
      <c r="N28" s="53" t="s">
        <v>255</v>
      </c>
      <c r="O28" s="92" t="s">
        <v>225</v>
      </c>
      <c r="P28" s="92" t="s">
        <v>225</v>
      </c>
      <c r="Q28" s="64" t="s">
        <v>225</v>
      </c>
    </row>
    <row r="29" spans="2:18" ht="20.100000000000001" customHeight="1" x14ac:dyDescent="0.25">
      <c r="B29" s="75" t="str">
        <f>IF('Conductor-Guarda-Azafata'!B29="","",'Conductor-Guarda-Azafata'!B29)</f>
        <v/>
      </c>
      <c r="C29" s="76" t="str">
        <f>IF($B29="","",VLOOKUP($B29,'Conductor-Guarda-Azafata'!$B$8:$AN$271,4,FALSE))</f>
        <v/>
      </c>
      <c r="D29" s="77" t="str">
        <f>IF($B29="","",VLOOKUP($B29,'Conductor-Guarda-Azafata'!$B$8:$AN$271,5))</f>
        <v/>
      </c>
      <c r="E29" s="33"/>
      <c r="F29" s="52" t="s">
        <v>255</v>
      </c>
      <c r="G29" s="92" t="s">
        <v>225</v>
      </c>
      <c r="H29" s="92" t="s">
        <v>225</v>
      </c>
      <c r="I29" s="92" t="s">
        <v>225</v>
      </c>
      <c r="J29" s="92" t="s">
        <v>225</v>
      </c>
      <c r="K29" s="92" t="s">
        <v>225</v>
      </c>
      <c r="L29" s="92" t="s">
        <v>225</v>
      </c>
      <c r="M29" s="64" t="s">
        <v>225</v>
      </c>
      <c r="N29" s="53" t="s">
        <v>255</v>
      </c>
      <c r="O29" s="92" t="s">
        <v>225</v>
      </c>
      <c r="P29" s="92" t="s">
        <v>225</v>
      </c>
      <c r="Q29" s="64" t="s">
        <v>225</v>
      </c>
    </row>
    <row r="30" spans="2:18" ht="20.100000000000001" customHeight="1" x14ac:dyDescent="0.25">
      <c r="B30" s="75" t="str">
        <f>IF('Conductor-Guarda-Azafata'!B30="","",'Conductor-Guarda-Azafata'!B30)</f>
        <v/>
      </c>
      <c r="C30" s="76" t="str">
        <f>IF($B30="","",VLOOKUP($B30,'Conductor-Guarda-Azafata'!$B$8:$AN$271,4,FALSE))</f>
        <v/>
      </c>
      <c r="D30" s="77" t="str">
        <f>IF($B30="","",VLOOKUP($B30,'Conductor-Guarda-Azafata'!$B$8:$AN$271,5))</f>
        <v/>
      </c>
      <c r="E30" s="33"/>
      <c r="F30" s="52" t="s">
        <v>255</v>
      </c>
      <c r="G30" s="92" t="s">
        <v>225</v>
      </c>
      <c r="H30" s="92" t="s">
        <v>225</v>
      </c>
      <c r="I30" s="92" t="s">
        <v>225</v>
      </c>
      <c r="J30" s="92" t="s">
        <v>225</v>
      </c>
      <c r="K30" s="92" t="s">
        <v>225</v>
      </c>
      <c r="L30" s="92" t="s">
        <v>225</v>
      </c>
      <c r="M30" s="64" t="s">
        <v>225</v>
      </c>
      <c r="N30" s="53" t="s">
        <v>255</v>
      </c>
      <c r="O30" s="92" t="s">
        <v>225</v>
      </c>
      <c r="P30" s="92" t="s">
        <v>225</v>
      </c>
      <c r="Q30" s="64" t="s">
        <v>225</v>
      </c>
    </row>
    <row r="31" spans="2:18" ht="20.100000000000001" customHeight="1" x14ac:dyDescent="0.25">
      <c r="B31" s="75" t="str">
        <f>IF('Conductor-Guarda-Azafata'!B31="","",'Conductor-Guarda-Azafata'!B31)</f>
        <v/>
      </c>
      <c r="C31" s="76" t="str">
        <f>IF($B31="","",VLOOKUP($B31,'Conductor-Guarda-Azafata'!$B$8:$AN$271,4,FALSE))</f>
        <v/>
      </c>
      <c r="D31" s="77" t="str">
        <f>IF($B31="","",VLOOKUP($B31,'Conductor-Guarda-Azafata'!$B$8:$AN$271,5))</f>
        <v/>
      </c>
      <c r="E31" s="33"/>
      <c r="F31" s="52" t="s">
        <v>260</v>
      </c>
      <c r="G31" s="92" t="s">
        <v>225</v>
      </c>
      <c r="H31" s="92" t="s">
        <v>225</v>
      </c>
      <c r="I31" s="92" t="s">
        <v>225</v>
      </c>
      <c r="J31" s="92" t="s">
        <v>225</v>
      </c>
      <c r="K31" s="92" t="s">
        <v>225</v>
      </c>
      <c r="L31" s="92" t="s">
        <v>225</v>
      </c>
      <c r="M31" s="64" t="s">
        <v>225</v>
      </c>
      <c r="N31" s="53" t="s">
        <v>260</v>
      </c>
      <c r="O31" s="92" t="s">
        <v>225</v>
      </c>
      <c r="P31" s="92" t="s">
        <v>225</v>
      </c>
      <c r="Q31" s="64" t="s">
        <v>225</v>
      </c>
    </row>
    <row r="32" spans="2:18" ht="20.100000000000001" customHeight="1" x14ac:dyDescent="0.25">
      <c r="B32" s="75" t="str">
        <f>IF('Conductor-Guarda-Azafata'!B32="","",'Conductor-Guarda-Azafata'!B32)</f>
        <v/>
      </c>
      <c r="C32" s="76" t="str">
        <f>IF($B32="","",VLOOKUP($B32,'Conductor-Guarda-Azafata'!$B$8:$AN$271,4,FALSE))</f>
        <v/>
      </c>
      <c r="D32" s="77" t="str">
        <f>IF($B32="","",VLOOKUP($B32,'Conductor-Guarda-Azafata'!$B$8:$AN$271,5))</f>
        <v/>
      </c>
      <c r="E32" s="33"/>
      <c r="F32" s="52" t="s">
        <v>252</v>
      </c>
      <c r="G32" s="4"/>
      <c r="H32" s="4"/>
      <c r="I32" s="4"/>
      <c r="J32" s="4"/>
      <c r="K32" s="4"/>
      <c r="L32" s="4"/>
      <c r="M32" s="64"/>
      <c r="N32" s="53" t="s">
        <v>252</v>
      </c>
      <c r="O32" s="4"/>
      <c r="P32" s="4"/>
      <c r="Q32" s="64"/>
    </row>
    <row r="33" spans="2:17" ht="20.100000000000001" customHeight="1" x14ac:dyDescent="0.25">
      <c r="B33" s="75" t="str">
        <f>IF('Conductor-Guarda-Azafata'!B33="","",'Conductor-Guarda-Azafata'!B33)</f>
        <v/>
      </c>
      <c r="C33" s="76" t="str">
        <f>IF($B33="","",VLOOKUP($B33,'Conductor-Guarda-Azafata'!$B$8:$AN$271,4,FALSE))</f>
        <v/>
      </c>
      <c r="D33" s="77" t="str">
        <f>IF($B33="","",VLOOKUP($B33,'Conductor-Guarda-Azafata'!$B$8:$AN$271,5))</f>
        <v/>
      </c>
      <c r="E33" s="33"/>
      <c r="F33" s="52" t="s">
        <v>255</v>
      </c>
      <c r="G33" s="92" t="s">
        <v>225</v>
      </c>
      <c r="H33" s="92" t="s">
        <v>225</v>
      </c>
      <c r="I33" s="92" t="s">
        <v>225</v>
      </c>
      <c r="J33" s="92" t="s">
        <v>225</v>
      </c>
      <c r="K33" s="92" t="s">
        <v>225</v>
      </c>
      <c r="L33" s="92" t="s">
        <v>225</v>
      </c>
      <c r="M33" s="64" t="s">
        <v>225</v>
      </c>
      <c r="N33" s="53" t="s">
        <v>255</v>
      </c>
      <c r="O33" s="92" t="s">
        <v>225</v>
      </c>
      <c r="P33" s="92" t="s">
        <v>225</v>
      </c>
      <c r="Q33" s="64" t="s">
        <v>225</v>
      </c>
    </row>
    <row r="34" spans="2:17" ht="20.100000000000001" customHeight="1" x14ac:dyDescent="0.25">
      <c r="B34" s="75" t="str">
        <f>IF('Conductor-Guarda-Azafata'!B34="","",'Conductor-Guarda-Azafata'!B34)</f>
        <v/>
      </c>
      <c r="C34" s="76" t="str">
        <f>IF($B34="","",VLOOKUP($B34,'Conductor-Guarda-Azafata'!$B$8:$AN$271,4,FALSE))</f>
        <v/>
      </c>
      <c r="D34" s="77" t="str">
        <f>IF($B34="","",VLOOKUP($B34,'Conductor-Guarda-Azafata'!$B$8:$AN$271,5))</f>
        <v/>
      </c>
      <c r="E34" s="33"/>
      <c r="F34" s="52" t="s">
        <v>252</v>
      </c>
      <c r="G34" s="4"/>
      <c r="H34" s="4"/>
      <c r="I34" s="4"/>
      <c r="J34" s="4"/>
      <c r="K34" s="4"/>
      <c r="L34" s="4"/>
      <c r="M34" s="64"/>
      <c r="N34" s="53" t="s">
        <v>252</v>
      </c>
      <c r="O34" s="4"/>
      <c r="P34" s="4"/>
      <c r="Q34" s="64"/>
    </row>
    <row r="35" spans="2:17" ht="20.100000000000001" customHeight="1" x14ac:dyDescent="0.25">
      <c r="B35" s="75" t="str">
        <f>IF('Conductor-Guarda-Azafata'!B35="","",'Conductor-Guarda-Azafata'!B35)</f>
        <v/>
      </c>
      <c r="C35" s="76" t="str">
        <f>IF($B35="","",VLOOKUP($B35,'Conductor-Guarda-Azafata'!$B$8:$AN$271,4,FALSE))</f>
        <v/>
      </c>
      <c r="D35" s="77" t="str">
        <f>IF($B35="","",VLOOKUP($B35,'Conductor-Guarda-Azafata'!$B$8:$AN$271,5))</f>
        <v/>
      </c>
      <c r="E35" s="33"/>
      <c r="F35" s="52" t="s">
        <v>255</v>
      </c>
      <c r="G35" s="92" t="s">
        <v>225</v>
      </c>
      <c r="H35" s="92" t="s">
        <v>225</v>
      </c>
      <c r="I35" s="92" t="s">
        <v>225</v>
      </c>
      <c r="J35" s="92" t="s">
        <v>225</v>
      </c>
      <c r="K35" s="92" t="s">
        <v>225</v>
      </c>
      <c r="L35" s="92" t="s">
        <v>225</v>
      </c>
      <c r="M35" s="64" t="s">
        <v>225</v>
      </c>
      <c r="N35" s="53" t="s">
        <v>255</v>
      </c>
      <c r="O35" s="92" t="s">
        <v>225</v>
      </c>
      <c r="P35" s="92" t="s">
        <v>225</v>
      </c>
      <c r="Q35" s="64" t="s">
        <v>225</v>
      </c>
    </row>
    <row r="36" spans="2:17" ht="20.100000000000001" customHeight="1" x14ac:dyDescent="0.25">
      <c r="B36" s="75" t="str">
        <f>IF('Conductor-Guarda-Azafata'!B36="","",'Conductor-Guarda-Azafata'!B36)</f>
        <v/>
      </c>
      <c r="C36" s="76" t="str">
        <f>IF($B36="","",VLOOKUP($B36,'Conductor-Guarda-Azafata'!$B$8:$AN$271,4,FALSE))</f>
        <v/>
      </c>
      <c r="D36" s="77" t="str">
        <f>IF($B36="","",VLOOKUP($B36,'Conductor-Guarda-Azafata'!$B$8:$AN$271,5))</f>
        <v/>
      </c>
      <c r="E36" s="33"/>
      <c r="F36" s="52" t="s">
        <v>255</v>
      </c>
      <c r="G36" s="92" t="s">
        <v>225</v>
      </c>
      <c r="H36" s="92" t="s">
        <v>225</v>
      </c>
      <c r="I36" s="92" t="s">
        <v>225</v>
      </c>
      <c r="J36" s="92" t="s">
        <v>225</v>
      </c>
      <c r="K36" s="92" t="s">
        <v>225</v>
      </c>
      <c r="L36" s="92" t="s">
        <v>225</v>
      </c>
      <c r="M36" s="64" t="s">
        <v>225</v>
      </c>
      <c r="N36" s="53" t="s">
        <v>255</v>
      </c>
      <c r="O36" s="92" t="s">
        <v>225</v>
      </c>
      <c r="P36" s="92" t="s">
        <v>225</v>
      </c>
      <c r="Q36" s="64" t="s">
        <v>225</v>
      </c>
    </row>
    <row r="37" spans="2:17" ht="20.100000000000001" customHeight="1" x14ac:dyDescent="0.25">
      <c r="B37" s="75" t="str">
        <f>IF('Conductor-Guarda-Azafata'!B37="","",'Conductor-Guarda-Azafata'!B37)</f>
        <v/>
      </c>
      <c r="C37" s="76" t="str">
        <f>IF($B37="","",VLOOKUP($B37,'Conductor-Guarda-Azafata'!$B$8:$AN$271,4,FALSE))</f>
        <v/>
      </c>
      <c r="D37" s="77" t="str">
        <f>IF($B37="","",VLOOKUP($B37,'Conductor-Guarda-Azafata'!$B$8:$AN$271,5))</f>
        <v/>
      </c>
      <c r="E37" s="33"/>
      <c r="F37" s="52" t="s">
        <v>260</v>
      </c>
      <c r="G37" s="92" t="s">
        <v>225</v>
      </c>
      <c r="H37" s="92" t="s">
        <v>225</v>
      </c>
      <c r="I37" s="92" t="s">
        <v>225</v>
      </c>
      <c r="J37" s="92" t="s">
        <v>225</v>
      </c>
      <c r="K37" s="92" t="s">
        <v>225</v>
      </c>
      <c r="L37" s="92" t="s">
        <v>225</v>
      </c>
      <c r="M37" s="64" t="s">
        <v>225</v>
      </c>
      <c r="N37" s="53" t="s">
        <v>260</v>
      </c>
      <c r="O37" s="92" t="s">
        <v>225</v>
      </c>
      <c r="P37" s="92" t="s">
        <v>225</v>
      </c>
      <c r="Q37" s="64" t="s">
        <v>225</v>
      </c>
    </row>
    <row r="38" spans="2:17" ht="20.100000000000001" customHeight="1" x14ac:dyDescent="0.25">
      <c r="B38" s="75" t="str">
        <f>IF('Conductor-Guarda-Azafata'!B38="","",'Conductor-Guarda-Azafata'!B38)</f>
        <v/>
      </c>
      <c r="C38" s="76" t="str">
        <f>IF($B38="","",VLOOKUP($B38,'Conductor-Guarda-Azafata'!$B$8:$AN$271,4,FALSE))</f>
        <v/>
      </c>
      <c r="D38" s="77" t="str">
        <f>IF($B38="","",VLOOKUP($B38,'Conductor-Guarda-Azafata'!$B$8:$AN$271,5))</f>
        <v/>
      </c>
      <c r="E38" s="33"/>
      <c r="F38" s="52" t="s">
        <v>260</v>
      </c>
      <c r="G38" s="92" t="s">
        <v>225</v>
      </c>
      <c r="H38" s="92" t="s">
        <v>225</v>
      </c>
      <c r="I38" s="92" t="s">
        <v>225</v>
      </c>
      <c r="J38" s="92" t="s">
        <v>225</v>
      </c>
      <c r="K38" s="92" t="s">
        <v>225</v>
      </c>
      <c r="L38" s="92" t="s">
        <v>225</v>
      </c>
      <c r="M38" s="64" t="s">
        <v>225</v>
      </c>
      <c r="N38" s="53" t="s">
        <v>260</v>
      </c>
      <c r="O38" s="92" t="s">
        <v>225</v>
      </c>
      <c r="P38" s="92" t="s">
        <v>225</v>
      </c>
      <c r="Q38" s="64" t="s">
        <v>225</v>
      </c>
    </row>
    <row r="39" spans="2:17" ht="20.100000000000001" customHeight="1" x14ac:dyDescent="0.25">
      <c r="B39" s="75" t="str">
        <f>IF('Conductor-Guarda-Azafata'!B39="","",'Conductor-Guarda-Azafata'!B39)</f>
        <v/>
      </c>
      <c r="C39" s="76" t="str">
        <f>IF($B39="","",VLOOKUP($B39,'Conductor-Guarda-Azafata'!$B$8:$AN$271,4,FALSE))</f>
        <v/>
      </c>
      <c r="D39" s="77" t="str">
        <f>IF($B39="","",VLOOKUP($B39,'Conductor-Guarda-Azafata'!$B$8:$AN$271,5))</f>
        <v/>
      </c>
      <c r="E39" s="33"/>
      <c r="F39" s="52" t="s">
        <v>262</v>
      </c>
      <c r="G39" s="92" t="s">
        <v>225</v>
      </c>
      <c r="H39" s="92" t="s">
        <v>225</v>
      </c>
      <c r="I39" s="92" t="s">
        <v>225</v>
      </c>
      <c r="J39" s="92" t="s">
        <v>225</v>
      </c>
      <c r="K39" s="92" t="s">
        <v>225</v>
      </c>
      <c r="L39" s="92" t="s">
        <v>225</v>
      </c>
      <c r="M39" s="64" t="s">
        <v>225</v>
      </c>
      <c r="N39" s="53" t="s">
        <v>260</v>
      </c>
      <c r="O39" s="92" t="s">
        <v>225</v>
      </c>
      <c r="P39" s="92" t="s">
        <v>225</v>
      </c>
      <c r="Q39" s="64" t="s">
        <v>225</v>
      </c>
    </row>
    <row r="40" spans="2:17" ht="20.100000000000001" customHeight="1" x14ac:dyDescent="0.25">
      <c r="B40" s="75" t="str">
        <f>IF('Conductor-Guarda-Azafata'!B40="","",'Conductor-Guarda-Azafata'!B40)</f>
        <v/>
      </c>
      <c r="C40" s="76" t="str">
        <f>IF($B40="","",VLOOKUP($B40,'Conductor-Guarda-Azafata'!$B$8:$AN$271,4,FALSE))</f>
        <v/>
      </c>
      <c r="D40" s="77" t="str">
        <f>IF($B40="","",VLOOKUP($B40,'Conductor-Guarda-Azafata'!$B$8:$AN$271,5))</f>
        <v/>
      </c>
      <c r="E40" s="33"/>
      <c r="F40" s="52" t="s">
        <v>283</v>
      </c>
      <c r="G40" s="92" t="s">
        <v>225</v>
      </c>
      <c r="H40" s="92" t="s">
        <v>225</v>
      </c>
      <c r="I40" s="92" t="s">
        <v>225</v>
      </c>
      <c r="J40" s="92" t="s">
        <v>225</v>
      </c>
      <c r="K40" s="92" t="s">
        <v>225</v>
      </c>
      <c r="L40" s="92" t="s">
        <v>225</v>
      </c>
      <c r="M40" s="64" t="s">
        <v>225</v>
      </c>
      <c r="N40" s="53" t="s">
        <v>284</v>
      </c>
      <c r="O40" s="92" t="s">
        <v>225</v>
      </c>
      <c r="P40" s="92" t="s">
        <v>225</v>
      </c>
      <c r="Q40" s="64" t="s">
        <v>225</v>
      </c>
    </row>
    <row r="41" spans="2:17" ht="20.100000000000001" customHeight="1" x14ac:dyDescent="0.25">
      <c r="B41" s="75" t="str">
        <f>IF('Conductor-Guarda-Azafata'!B41="","",'Conductor-Guarda-Azafata'!B41)</f>
        <v/>
      </c>
      <c r="C41" s="76" t="str">
        <f>IF($B41="","",VLOOKUP($B41,'Conductor-Guarda-Azafata'!$B$8:$AN$271,4,FALSE))</f>
        <v/>
      </c>
      <c r="D41" s="77" t="str">
        <f>IF($B41="","",VLOOKUP($B41,'Conductor-Guarda-Azafata'!$B$8:$AN$271,5))</f>
        <v/>
      </c>
      <c r="E41" s="33"/>
      <c r="F41" s="52" t="s">
        <v>283</v>
      </c>
      <c r="G41" s="92" t="s">
        <v>225</v>
      </c>
      <c r="H41" s="92" t="s">
        <v>225</v>
      </c>
      <c r="I41" s="92" t="s">
        <v>225</v>
      </c>
      <c r="J41" s="92" t="s">
        <v>225</v>
      </c>
      <c r="K41" s="92" t="s">
        <v>225</v>
      </c>
      <c r="L41" s="92" t="s">
        <v>225</v>
      </c>
      <c r="M41" s="64" t="s">
        <v>225</v>
      </c>
      <c r="N41" s="53" t="s">
        <v>284</v>
      </c>
      <c r="O41" s="92" t="s">
        <v>225</v>
      </c>
      <c r="P41" s="92" t="s">
        <v>225</v>
      </c>
      <c r="Q41" s="64" t="s">
        <v>225</v>
      </c>
    </row>
    <row r="42" spans="2:17" ht="20.100000000000001" customHeight="1" x14ac:dyDescent="0.25">
      <c r="B42" s="75" t="str">
        <f>IF('Conductor-Guarda-Azafata'!B42="","",'Conductor-Guarda-Azafata'!B42)</f>
        <v/>
      </c>
      <c r="C42" s="76" t="str">
        <f>IF($B42="","",VLOOKUP($B42,'Conductor-Guarda-Azafata'!$B$8:$AN$271,4,FALSE))</f>
        <v/>
      </c>
      <c r="D42" s="77" t="str">
        <f>IF($B42="","",VLOOKUP($B42,'Conductor-Guarda-Azafata'!$B$8:$AN$271,5))</f>
        <v/>
      </c>
      <c r="E42" s="33"/>
      <c r="F42" s="52" t="s">
        <v>252</v>
      </c>
      <c r="G42" s="4"/>
      <c r="H42" s="4"/>
      <c r="I42" s="4"/>
      <c r="J42" s="4"/>
      <c r="K42" s="4"/>
      <c r="L42" s="4"/>
      <c r="M42" s="64"/>
      <c r="N42" s="53" t="s">
        <v>252</v>
      </c>
      <c r="O42" s="4"/>
      <c r="P42" s="4"/>
      <c r="Q42" s="64"/>
    </row>
    <row r="43" spans="2:17" ht="20.100000000000001" customHeight="1" x14ac:dyDescent="0.25">
      <c r="B43" s="75" t="str">
        <f>IF('Conductor-Guarda-Azafata'!B43="","",'Conductor-Guarda-Azafata'!B43)</f>
        <v/>
      </c>
      <c r="C43" s="76" t="str">
        <f>IF($B43="","",VLOOKUP($B43,'Conductor-Guarda-Azafata'!$B$8:$AN$271,4,FALSE))</f>
        <v/>
      </c>
      <c r="D43" s="77" t="str">
        <f>IF($B43="","",VLOOKUP($B43,'Conductor-Guarda-Azafata'!$B$8:$AN$271,5))</f>
        <v/>
      </c>
      <c r="E43" s="33"/>
      <c r="F43" s="52" t="s">
        <v>285</v>
      </c>
      <c r="G43" s="92" t="s">
        <v>225</v>
      </c>
      <c r="H43" s="92" t="s">
        <v>225</v>
      </c>
      <c r="I43" s="92" t="s">
        <v>225</v>
      </c>
      <c r="J43" s="92" t="s">
        <v>225</v>
      </c>
      <c r="K43" s="92" t="s">
        <v>225</v>
      </c>
      <c r="L43" s="92" t="s">
        <v>225</v>
      </c>
      <c r="M43" s="64" t="s">
        <v>225</v>
      </c>
      <c r="N43" s="53" t="s">
        <v>266</v>
      </c>
      <c r="O43" s="92" t="s">
        <v>225</v>
      </c>
      <c r="P43" s="92" t="s">
        <v>225</v>
      </c>
      <c r="Q43" s="64" t="s">
        <v>225</v>
      </c>
    </row>
    <row r="44" spans="2:17" ht="20.100000000000001" customHeight="1" x14ac:dyDescent="0.25">
      <c r="B44" s="75" t="str">
        <f>IF('Conductor-Guarda-Azafata'!B44="","",'Conductor-Guarda-Azafata'!B44)</f>
        <v/>
      </c>
      <c r="C44" s="76" t="str">
        <f>IF($B44="","",VLOOKUP($B44,'Conductor-Guarda-Azafata'!$B$8:$AN$271,4,FALSE))</f>
        <v/>
      </c>
      <c r="D44" s="77" t="str">
        <f>IF($B44="","",VLOOKUP($B44,'Conductor-Guarda-Azafata'!$B$8:$AN$271,5))</f>
        <v/>
      </c>
      <c r="E44" s="33"/>
      <c r="F44" s="52" t="s">
        <v>285</v>
      </c>
      <c r="G44" s="92" t="s">
        <v>225</v>
      </c>
      <c r="H44" s="92" t="s">
        <v>225</v>
      </c>
      <c r="I44" s="92" t="s">
        <v>225</v>
      </c>
      <c r="J44" s="92" t="s">
        <v>225</v>
      </c>
      <c r="K44" s="92" t="s">
        <v>225</v>
      </c>
      <c r="L44" s="92" t="s">
        <v>225</v>
      </c>
      <c r="M44" s="64" t="s">
        <v>225</v>
      </c>
      <c r="N44" s="53" t="s">
        <v>266</v>
      </c>
      <c r="O44" s="92" t="s">
        <v>225</v>
      </c>
      <c r="P44" s="92" t="s">
        <v>225</v>
      </c>
      <c r="Q44" s="64" t="s">
        <v>225</v>
      </c>
    </row>
    <row r="45" spans="2:17" ht="20.100000000000001" customHeight="1" x14ac:dyDescent="0.25">
      <c r="B45" s="75" t="str">
        <f>IF('Conductor-Guarda-Azafata'!B45="","",'Conductor-Guarda-Azafata'!B45)</f>
        <v/>
      </c>
      <c r="C45" s="76" t="str">
        <f>IF($B45="","",VLOOKUP($B45,'Conductor-Guarda-Azafata'!$B$8:$AN$271,4,FALSE))</f>
        <v/>
      </c>
      <c r="D45" s="77" t="str">
        <f>IF($B45="","",VLOOKUP($B45,'Conductor-Guarda-Azafata'!$B$8:$AN$271,5))</f>
        <v/>
      </c>
      <c r="E45" s="33"/>
      <c r="F45" s="52" t="s">
        <v>261</v>
      </c>
      <c r="G45" s="4"/>
      <c r="H45" s="4"/>
      <c r="I45" s="4"/>
      <c r="J45" s="4"/>
      <c r="K45" s="4"/>
      <c r="L45" s="4"/>
      <c r="M45" s="64"/>
      <c r="N45" s="53" t="s">
        <v>261</v>
      </c>
      <c r="O45" s="4"/>
      <c r="P45" s="4"/>
      <c r="Q45" s="64"/>
    </row>
    <row r="46" spans="2:17" ht="20.100000000000001" customHeight="1" x14ac:dyDescent="0.25">
      <c r="B46" s="75" t="str">
        <f>IF('Conductor-Guarda-Azafata'!B46="","",'Conductor-Guarda-Azafata'!B46)</f>
        <v/>
      </c>
      <c r="C46" s="76" t="str">
        <f>IF($B46="","",VLOOKUP($B46,'Conductor-Guarda-Azafata'!$B$8:$AN$271,4,FALSE))</f>
        <v/>
      </c>
      <c r="D46" s="77" t="str">
        <f>IF($B46="","",VLOOKUP($B46,'Conductor-Guarda-Azafata'!$B$8:$AN$271,5))</f>
        <v/>
      </c>
      <c r="E46" s="33"/>
      <c r="F46" s="52" t="s">
        <v>266</v>
      </c>
      <c r="G46" s="92" t="s">
        <v>225</v>
      </c>
      <c r="H46" s="92" t="s">
        <v>225</v>
      </c>
      <c r="I46" s="92" t="s">
        <v>225</v>
      </c>
      <c r="J46" s="92" t="s">
        <v>225</v>
      </c>
      <c r="K46" s="92" t="s">
        <v>225</v>
      </c>
      <c r="L46" s="92" t="s">
        <v>225</v>
      </c>
      <c r="M46" s="64" t="s">
        <v>225</v>
      </c>
      <c r="N46" s="53" t="s">
        <v>266</v>
      </c>
      <c r="O46" s="92" t="s">
        <v>225</v>
      </c>
      <c r="P46" s="92" t="s">
        <v>225</v>
      </c>
      <c r="Q46" s="64" t="s">
        <v>225</v>
      </c>
    </row>
    <row r="47" spans="2:17" ht="20.100000000000001" customHeight="1" x14ac:dyDescent="0.25">
      <c r="B47" s="75" t="str">
        <f>IF('Conductor-Guarda-Azafata'!B47="","",'Conductor-Guarda-Azafata'!B47)</f>
        <v/>
      </c>
      <c r="C47" s="76" t="str">
        <f>IF($B47="","",VLOOKUP($B47,'Conductor-Guarda-Azafata'!$B$8:$AN$271,4,FALSE))</f>
        <v/>
      </c>
      <c r="D47" s="77" t="str">
        <f>IF($B47="","",VLOOKUP($B47,'Conductor-Guarda-Azafata'!$B$8:$AN$271,5))</f>
        <v/>
      </c>
      <c r="E47" s="33"/>
      <c r="F47" s="52" t="s">
        <v>285</v>
      </c>
      <c r="G47" s="92" t="s">
        <v>225</v>
      </c>
      <c r="H47" s="92" t="s">
        <v>225</v>
      </c>
      <c r="I47" s="92" t="s">
        <v>225</v>
      </c>
      <c r="J47" s="92" t="s">
        <v>225</v>
      </c>
      <c r="K47" s="92" t="s">
        <v>225</v>
      </c>
      <c r="L47" s="92" t="s">
        <v>225</v>
      </c>
      <c r="M47" s="64" t="s">
        <v>225</v>
      </c>
      <c r="N47" s="53" t="s">
        <v>266</v>
      </c>
      <c r="O47" s="92" t="s">
        <v>225</v>
      </c>
      <c r="P47" s="92" t="s">
        <v>225</v>
      </c>
      <c r="Q47" s="64" t="s">
        <v>225</v>
      </c>
    </row>
    <row r="48" spans="2:17" ht="20.100000000000001" customHeight="1" x14ac:dyDescent="0.25">
      <c r="B48" s="75" t="str">
        <f>IF('Conductor-Guarda-Azafata'!B48="","",'Conductor-Guarda-Azafata'!B48)</f>
        <v/>
      </c>
      <c r="C48" s="76" t="str">
        <f>IF($B48="","",VLOOKUP($B48,'Conductor-Guarda-Azafata'!$B$8:$AN$271,4,FALSE))</f>
        <v/>
      </c>
      <c r="D48" s="77" t="str">
        <f>IF($B48="","",VLOOKUP($B48,'Conductor-Guarda-Azafata'!$B$8:$AN$271,5))</f>
        <v/>
      </c>
      <c r="E48" s="33"/>
      <c r="F48" s="52" t="s">
        <v>287</v>
      </c>
      <c r="G48" s="92" t="s">
        <v>225</v>
      </c>
      <c r="H48" s="92" t="s">
        <v>225</v>
      </c>
      <c r="I48" s="92" t="s">
        <v>225</v>
      </c>
      <c r="J48" s="92" t="s">
        <v>225</v>
      </c>
      <c r="K48" s="92" t="s">
        <v>225</v>
      </c>
      <c r="L48" s="92" t="s">
        <v>225</v>
      </c>
      <c r="M48" s="64" t="s">
        <v>225</v>
      </c>
      <c r="N48" s="53" t="s">
        <v>266</v>
      </c>
      <c r="O48" s="92" t="s">
        <v>225</v>
      </c>
      <c r="P48" s="92" t="s">
        <v>225</v>
      </c>
      <c r="Q48" s="64" t="s">
        <v>225</v>
      </c>
    </row>
    <row r="49" spans="2:17" ht="20.100000000000001" customHeight="1" x14ac:dyDescent="0.25">
      <c r="B49" s="75" t="str">
        <f>IF('Conductor-Guarda-Azafata'!B49="","",'Conductor-Guarda-Azafata'!B49)</f>
        <v/>
      </c>
      <c r="C49" s="76" t="str">
        <f>IF($B49="","",VLOOKUP($B49,'Conductor-Guarda-Azafata'!$B$8:$AN$271,4,FALSE))</f>
        <v/>
      </c>
      <c r="D49" s="77" t="str">
        <f>IF($B49="","",VLOOKUP($B49,'Conductor-Guarda-Azafata'!$B$8:$AN$271,5))</f>
        <v/>
      </c>
      <c r="E49" s="33"/>
      <c r="F49" s="52" t="s">
        <v>266</v>
      </c>
      <c r="G49" s="92" t="s">
        <v>225</v>
      </c>
      <c r="H49" s="92" t="s">
        <v>225</v>
      </c>
      <c r="I49" s="92" t="s">
        <v>225</v>
      </c>
      <c r="J49" s="92" t="s">
        <v>225</v>
      </c>
      <c r="K49" s="92" t="s">
        <v>225</v>
      </c>
      <c r="L49" s="92" t="s">
        <v>225</v>
      </c>
      <c r="M49" s="64" t="s">
        <v>225</v>
      </c>
      <c r="N49" s="53" t="s">
        <v>266</v>
      </c>
      <c r="O49" s="92" t="s">
        <v>225</v>
      </c>
      <c r="P49" s="92" t="s">
        <v>225</v>
      </c>
      <c r="Q49" s="64" t="s">
        <v>225</v>
      </c>
    </row>
    <row r="50" spans="2:17" ht="20.100000000000001" customHeight="1" x14ac:dyDescent="0.25">
      <c r="B50" s="75" t="str">
        <f>IF('Conductor-Guarda-Azafata'!B50="","",'Conductor-Guarda-Azafata'!B50)</f>
        <v/>
      </c>
      <c r="C50" s="76" t="str">
        <f>IF($B50="","",VLOOKUP($B50,'Conductor-Guarda-Azafata'!$B$8:$AN$271,4,FALSE))</f>
        <v/>
      </c>
      <c r="D50" s="77" t="str">
        <f>IF($B50="","",VLOOKUP($B50,'Conductor-Guarda-Azafata'!$B$8:$AN$271,5))</f>
        <v/>
      </c>
      <c r="E50" s="33"/>
      <c r="F50" s="52" t="s">
        <v>266</v>
      </c>
      <c r="G50" s="92" t="s">
        <v>225</v>
      </c>
      <c r="H50" s="92" t="s">
        <v>225</v>
      </c>
      <c r="I50" s="92" t="s">
        <v>225</v>
      </c>
      <c r="J50" s="92" t="s">
        <v>225</v>
      </c>
      <c r="K50" s="92" t="s">
        <v>225</v>
      </c>
      <c r="L50" s="92" t="s">
        <v>225</v>
      </c>
      <c r="M50" s="64" t="s">
        <v>225</v>
      </c>
      <c r="N50" s="53" t="s">
        <v>266</v>
      </c>
      <c r="O50" s="92" t="s">
        <v>225</v>
      </c>
      <c r="P50" s="92" t="s">
        <v>225</v>
      </c>
      <c r="Q50" s="64" t="s">
        <v>225</v>
      </c>
    </row>
    <row r="51" spans="2:17" ht="20.100000000000001" customHeight="1" x14ac:dyDescent="0.25">
      <c r="B51" s="75" t="str">
        <f>IF('Conductor-Guarda-Azafata'!B51="","",'Conductor-Guarda-Azafata'!B51)</f>
        <v/>
      </c>
      <c r="C51" s="76" t="str">
        <f>IF($B51="","",VLOOKUP($B51,'Conductor-Guarda-Azafata'!$B$8:$AN$271,4,FALSE))</f>
        <v/>
      </c>
      <c r="D51" s="77" t="str">
        <f>IF($B51="","",VLOOKUP($B51,'Conductor-Guarda-Azafata'!$B$8:$AN$271,5))</f>
        <v/>
      </c>
      <c r="E51" s="33"/>
      <c r="F51" s="52" t="s">
        <v>266</v>
      </c>
      <c r="G51" s="92" t="s">
        <v>225</v>
      </c>
      <c r="H51" s="92" t="s">
        <v>225</v>
      </c>
      <c r="I51" s="92" t="s">
        <v>225</v>
      </c>
      <c r="J51" s="92" t="s">
        <v>225</v>
      </c>
      <c r="K51" s="92" t="s">
        <v>251</v>
      </c>
      <c r="L51" s="92" t="s">
        <v>225</v>
      </c>
      <c r="M51" s="64" t="s">
        <v>225</v>
      </c>
      <c r="N51" s="53" t="s">
        <v>266</v>
      </c>
      <c r="O51" s="92" t="s">
        <v>225</v>
      </c>
      <c r="P51" s="92" t="s">
        <v>225</v>
      </c>
      <c r="Q51" s="64" t="s">
        <v>225</v>
      </c>
    </row>
    <row r="52" spans="2:17" ht="20.100000000000001" customHeight="1" x14ac:dyDescent="0.25">
      <c r="B52" s="75" t="str">
        <f>IF('Conductor-Guarda-Azafata'!B52="","",'Conductor-Guarda-Azafata'!B52)</f>
        <v/>
      </c>
      <c r="C52" s="76" t="str">
        <f>IF($B52="","",VLOOKUP($B52,'Conductor-Guarda-Azafata'!$B$8:$AN$271,4,FALSE))</f>
        <v/>
      </c>
      <c r="D52" s="77" t="str">
        <f>IF($B52="","",VLOOKUP($B52,'Conductor-Guarda-Azafata'!$B$8:$AN$271,5))</f>
        <v/>
      </c>
      <c r="E52" s="33"/>
      <c r="F52" s="52" t="s">
        <v>252</v>
      </c>
      <c r="G52" s="4"/>
      <c r="H52" s="4"/>
      <c r="I52" s="4"/>
      <c r="J52" s="4"/>
      <c r="K52" s="4"/>
      <c r="L52" s="4"/>
      <c r="M52" s="64"/>
      <c r="N52" s="53" t="s">
        <v>252</v>
      </c>
      <c r="O52" s="4"/>
      <c r="P52" s="4"/>
      <c r="Q52" s="64"/>
    </row>
    <row r="53" spans="2:17" ht="20.100000000000001" customHeight="1" x14ac:dyDescent="0.25">
      <c r="B53" s="75" t="str">
        <f>IF('Conductor-Guarda-Azafata'!B53="","",'Conductor-Guarda-Azafata'!B53)</f>
        <v/>
      </c>
      <c r="C53" s="76" t="str">
        <f>IF($B53="","",VLOOKUP($B53,'Conductor-Guarda-Azafata'!$B$8:$AN$271,4,FALSE))</f>
        <v/>
      </c>
      <c r="D53" s="77" t="str">
        <f>IF($B53="","",VLOOKUP($B53,'Conductor-Guarda-Azafata'!$B$8:$AN$271,5))</f>
        <v/>
      </c>
      <c r="E53" s="33"/>
      <c r="F53" s="52" t="s">
        <v>288</v>
      </c>
      <c r="G53" s="92" t="s">
        <v>225</v>
      </c>
      <c r="H53" s="92" t="s">
        <v>225</v>
      </c>
      <c r="I53" s="92" t="s">
        <v>225</v>
      </c>
      <c r="J53" s="92" t="s">
        <v>225</v>
      </c>
      <c r="K53" s="92" t="s">
        <v>225</v>
      </c>
      <c r="L53" s="92" t="s">
        <v>225</v>
      </c>
      <c r="M53" s="64" t="s">
        <v>225</v>
      </c>
      <c r="N53" s="53" t="s">
        <v>266</v>
      </c>
      <c r="O53" s="92" t="s">
        <v>225</v>
      </c>
      <c r="P53" s="92" t="s">
        <v>225</v>
      </c>
      <c r="Q53" s="64" t="s">
        <v>225</v>
      </c>
    </row>
    <row r="54" spans="2:17" ht="20.100000000000001" customHeight="1" x14ac:dyDescent="0.25">
      <c r="B54" s="75" t="str">
        <f>IF('Conductor-Guarda-Azafata'!B54="","",'Conductor-Guarda-Azafata'!B54)</f>
        <v/>
      </c>
      <c r="C54" s="76" t="str">
        <f>IF($B54="","",VLOOKUP($B54,'Conductor-Guarda-Azafata'!$B$8:$AN$271,4,FALSE))</f>
        <v/>
      </c>
      <c r="D54" s="77" t="str">
        <f>IF($B54="","",VLOOKUP($B54,'Conductor-Guarda-Azafata'!$B$8:$AN$271,5))</f>
        <v/>
      </c>
      <c r="E54" s="33"/>
      <c r="F54" s="52" t="s">
        <v>288</v>
      </c>
      <c r="G54" s="92" t="s">
        <v>225</v>
      </c>
      <c r="H54" s="92" t="s">
        <v>225</v>
      </c>
      <c r="I54" s="92" t="s">
        <v>225</v>
      </c>
      <c r="J54" s="92" t="s">
        <v>225</v>
      </c>
      <c r="K54" s="92" t="s">
        <v>225</v>
      </c>
      <c r="L54" s="92" t="s">
        <v>225</v>
      </c>
      <c r="M54" s="64" t="s">
        <v>225</v>
      </c>
      <c r="N54" s="53" t="s">
        <v>266</v>
      </c>
      <c r="O54" s="92" t="s">
        <v>225</v>
      </c>
      <c r="P54" s="92" t="s">
        <v>225</v>
      </c>
      <c r="Q54" s="64" t="s">
        <v>225</v>
      </c>
    </row>
    <row r="55" spans="2:17" ht="20.100000000000001" customHeight="1" x14ac:dyDescent="0.25">
      <c r="B55" s="75" t="str">
        <f>IF('Conductor-Guarda-Azafata'!B55="","",'Conductor-Guarda-Azafata'!B55)</f>
        <v/>
      </c>
      <c r="C55" s="76" t="str">
        <f>IF($B55="","",VLOOKUP($B55,'Conductor-Guarda-Azafata'!$B$8:$AN$271,4,FALSE))</f>
        <v/>
      </c>
      <c r="D55" s="77" t="str">
        <f>IF($B55="","",VLOOKUP($B55,'Conductor-Guarda-Azafata'!$B$8:$AN$271,5))</f>
        <v/>
      </c>
      <c r="E55" s="33"/>
      <c r="F55" s="52" t="s">
        <v>258</v>
      </c>
      <c r="G55" s="92" t="s">
        <v>225</v>
      </c>
      <c r="H55" s="92" t="s">
        <v>225</v>
      </c>
      <c r="I55" s="92" t="s">
        <v>225</v>
      </c>
      <c r="J55" s="92" t="s">
        <v>225</v>
      </c>
      <c r="K55" s="92" t="s">
        <v>225</v>
      </c>
      <c r="L55" s="92" t="s">
        <v>225</v>
      </c>
      <c r="M55" s="64" t="s">
        <v>225</v>
      </c>
      <c r="N55" s="53" t="s">
        <v>258</v>
      </c>
      <c r="O55" s="92" t="s">
        <v>225</v>
      </c>
      <c r="P55" s="92" t="s">
        <v>225</v>
      </c>
      <c r="Q55" s="64" t="s">
        <v>225</v>
      </c>
    </row>
    <row r="56" spans="2:17" ht="20.100000000000001" customHeight="1" x14ac:dyDescent="0.25">
      <c r="B56" s="75" t="str">
        <f>IF('Conductor-Guarda-Azafata'!B56="","",'Conductor-Guarda-Azafata'!B56)</f>
        <v/>
      </c>
      <c r="C56" s="76" t="str">
        <f>IF($B56="","",VLOOKUP($B56,'Conductor-Guarda-Azafata'!$B$8:$AN$271,4,FALSE))</f>
        <v/>
      </c>
      <c r="D56" s="77" t="str">
        <f>IF($B56="","",VLOOKUP($B56,'Conductor-Guarda-Azafata'!$B$8:$AN$271,5))</f>
        <v/>
      </c>
      <c r="E56" s="33"/>
      <c r="F56" s="52" t="s">
        <v>254</v>
      </c>
      <c r="G56" s="92" t="s">
        <v>225</v>
      </c>
      <c r="H56" s="92" t="s">
        <v>225</v>
      </c>
      <c r="I56" s="92" t="s">
        <v>225</v>
      </c>
      <c r="J56" s="92" t="s">
        <v>225</v>
      </c>
      <c r="K56" s="92" t="s">
        <v>225</v>
      </c>
      <c r="L56" s="92" t="s">
        <v>225</v>
      </c>
      <c r="M56" s="64" t="s">
        <v>225</v>
      </c>
      <c r="N56" s="53" t="s">
        <v>271</v>
      </c>
      <c r="O56" s="92" t="s">
        <v>225</v>
      </c>
      <c r="P56" s="92" t="s">
        <v>225</v>
      </c>
      <c r="Q56" s="64" t="s">
        <v>225</v>
      </c>
    </row>
    <row r="57" spans="2:17" ht="20.100000000000001" customHeight="1" x14ac:dyDescent="0.25">
      <c r="B57" s="75" t="str">
        <f>IF('Conductor-Guarda-Azafata'!B57="","",'Conductor-Guarda-Azafata'!B57)</f>
        <v/>
      </c>
      <c r="C57" s="76" t="str">
        <f>IF($B57="","",VLOOKUP($B57,'Conductor-Guarda-Azafata'!$B$8:$AN$271,4,FALSE))</f>
        <v/>
      </c>
      <c r="D57" s="77" t="str">
        <f>IF($B57="","",VLOOKUP($B57,'Conductor-Guarda-Azafata'!$B$8:$AN$271,5))</f>
        <v/>
      </c>
      <c r="E57" s="33"/>
      <c r="F57" s="52" t="s">
        <v>254</v>
      </c>
      <c r="G57" s="92" t="s">
        <v>225</v>
      </c>
      <c r="H57" s="92" t="s">
        <v>225</v>
      </c>
      <c r="I57" s="92" t="s">
        <v>225</v>
      </c>
      <c r="J57" s="92" t="s">
        <v>225</v>
      </c>
      <c r="K57" s="92" t="s">
        <v>225</v>
      </c>
      <c r="L57" s="92" t="s">
        <v>225</v>
      </c>
      <c r="M57" s="64" t="s">
        <v>225</v>
      </c>
      <c r="N57" s="53" t="s">
        <v>271</v>
      </c>
      <c r="O57" s="92" t="s">
        <v>225</v>
      </c>
      <c r="P57" s="92" t="s">
        <v>225</v>
      </c>
      <c r="Q57" s="64" t="s">
        <v>225</v>
      </c>
    </row>
    <row r="58" spans="2:17" ht="20.100000000000001" customHeight="1" x14ac:dyDescent="0.25">
      <c r="B58" s="75" t="str">
        <f>IF('Conductor-Guarda-Azafata'!B58="","",'Conductor-Guarda-Azafata'!B58)</f>
        <v/>
      </c>
      <c r="C58" s="76" t="str">
        <f>IF($B58="","",VLOOKUP($B58,'Conductor-Guarda-Azafata'!$B$8:$AN$271,4,FALSE))</f>
        <v/>
      </c>
      <c r="D58" s="77" t="str">
        <f>IF($B58="","",VLOOKUP($B58,'Conductor-Guarda-Azafata'!$B$8:$AN$271,5))</f>
        <v/>
      </c>
      <c r="E58" s="33"/>
      <c r="F58" s="52" t="s">
        <v>249</v>
      </c>
      <c r="G58" s="92" t="s">
        <v>225</v>
      </c>
      <c r="H58" s="92" t="s">
        <v>225</v>
      </c>
      <c r="I58" s="92" t="s">
        <v>225</v>
      </c>
      <c r="J58" s="92" t="s">
        <v>225</v>
      </c>
      <c r="K58" s="92" t="s">
        <v>225</v>
      </c>
      <c r="L58" s="92" t="s">
        <v>225</v>
      </c>
      <c r="M58" s="64" t="s">
        <v>225</v>
      </c>
      <c r="N58" s="53" t="s">
        <v>271</v>
      </c>
      <c r="O58" s="92" t="s">
        <v>225</v>
      </c>
      <c r="P58" s="92" t="s">
        <v>225</v>
      </c>
      <c r="Q58" s="64" t="s">
        <v>225</v>
      </c>
    </row>
    <row r="59" spans="2:17" ht="20.100000000000001" customHeight="1" x14ac:dyDescent="0.25">
      <c r="B59" s="75" t="str">
        <f>IF('Conductor-Guarda-Azafata'!B59="","",'Conductor-Guarda-Azafata'!B59)</f>
        <v/>
      </c>
      <c r="C59" s="76" t="str">
        <f>IF($B59="","",VLOOKUP($B59,'Conductor-Guarda-Azafata'!$B$8:$AN$271,4,FALSE))</f>
        <v/>
      </c>
      <c r="D59" s="77" t="str">
        <f>IF($B59="","",VLOOKUP($B59,'Conductor-Guarda-Azafata'!$B$8:$AN$271,5))</f>
        <v/>
      </c>
      <c r="E59" s="33"/>
      <c r="F59" s="52" t="s">
        <v>256</v>
      </c>
      <c r="G59" s="92" t="s">
        <v>225</v>
      </c>
      <c r="H59" s="92" t="s">
        <v>225</v>
      </c>
      <c r="I59" s="92" t="s">
        <v>225</v>
      </c>
      <c r="J59" s="92" t="s">
        <v>225</v>
      </c>
      <c r="K59" s="92" t="s">
        <v>14</v>
      </c>
      <c r="L59" s="92" t="s">
        <v>225</v>
      </c>
      <c r="M59" s="64"/>
      <c r="N59" s="53" t="s">
        <v>266</v>
      </c>
      <c r="O59" s="92" t="s">
        <v>225</v>
      </c>
      <c r="P59" s="92" t="s">
        <v>225</v>
      </c>
      <c r="Q59" s="64" t="s">
        <v>225</v>
      </c>
    </row>
    <row r="60" spans="2:17" ht="20.100000000000001" customHeight="1" x14ac:dyDescent="0.25">
      <c r="B60" s="75" t="str">
        <f>IF('Conductor-Guarda-Azafata'!B60="","",'Conductor-Guarda-Azafata'!B60)</f>
        <v/>
      </c>
      <c r="C60" s="76" t="str">
        <f>IF($B60="","",VLOOKUP($B60,'Conductor-Guarda-Azafata'!$B$8:$AN$271,4,FALSE))</f>
        <v/>
      </c>
      <c r="D60" s="77" t="str">
        <f>IF($B60="","",VLOOKUP($B60,'Conductor-Guarda-Azafata'!$B$8:$AN$271,5))</f>
        <v/>
      </c>
      <c r="E60" s="33"/>
      <c r="F60" s="52" t="s">
        <v>252</v>
      </c>
      <c r="G60" s="4"/>
      <c r="H60" s="4"/>
      <c r="I60" s="4"/>
      <c r="J60" s="4"/>
      <c r="K60" s="4"/>
      <c r="L60" s="4"/>
      <c r="M60" s="64"/>
      <c r="N60" s="53" t="s">
        <v>252</v>
      </c>
      <c r="O60" s="4"/>
      <c r="P60" s="4"/>
      <c r="Q60" s="64"/>
    </row>
    <row r="61" spans="2:17" ht="20.100000000000001" customHeight="1" x14ac:dyDescent="0.25">
      <c r="B61" s="75" t="str">
        <f>IF('Conductor-Guarda-Azafata'!B61="","",'Conductor-Guarda-Azafata'!B61)</f>
        <v/>
      </c>
      <c r="C61" s="76" t="str">
        <f>IF($B61="","",VLOOKUP($B61,'Conductor-Guarda-Azafata'!$B$8:$AN$271,4,FALSE))</f>
        <v/>
      </c>
      <c r="D61" s="77" t="str">
        <f>IF($B61="","",VLOOKUP($B61,'Conductor-Guarda-Azafata'!$B$8:$AN$271,5))</f>
        <v/>
      </c>
      <c r="E61" s="33"/>
      <c r="F61" s="52" t="s">
        <v>268</v>
      </c>
      <c r="G61" s="92" t="s">
        <v>225</v>
      </c>
      <c r="H61" s="92" t="s">
        <v>225</v>
      </c>
      <c r="I61" s="92" t="s">
        <v>225</v>
      </c>
      <c r="J61" s="92" t="s">
        <v>225</v>
      </c>
      <c r="K61" s="92" t="s">
        <v>225</v>
      </c>
      <c r="L61" s="92" t="s">
        <v>225</v>
      </c>
      <c r="M61" s="64" t="s">
        <v>225</v>
      </c>
      <c r="N61" s="53" t="s">
        <v>263</v>
      </c>
      <c r="O61" s="92" t="s">
        <v>225</v>
      </c>
      <c r="P61" s="92" t="s">
        <v>225</v>
      </c>
      <c r="Q61" s="64" t="s">
        <v>225</v>
      </c>
    </row>
    <row r="62" spans="2:17" ht="20.100000000000001" customHeight="1" x14ac:dyDescent="0.25">
      <c r="B62" s="75" t="str">
        <f>IF('Conductor-Guarda-Azafata'!B62="","",'Conductor-Guarda-Azafata'!B62)</f>
        <v/>
      </c>
      <c r="C62" s="76" t="str">
        <f>IF($B62="","",VLOOKUP($B62,'Conductor-Guarda-Azafata'!$B$8:$AN$271,4,FALSE))</f>
        <v/>
      </c>
      <c r="D62" s="77" t="str">
        <f>IF($B62="","",VLOOKUP($B62,'Conductor-Guarda-Azafata'!$B$8:$AN$271,5))</f>
        <v/>
      </c>
      <c r="E62" s="33"/>
      <c r="F62" s="52" t="s">
        <v>268</v>
      </c>
      <c r="G62" s="92" t="s">
        <v>225</v>
      </c>
      <c r="H62" s="92" t="s">
        <v>225</v>
      </c>
      <c r="I62" s="92" t="s">
        <v>225</v>
      </c>
      <c r="J62" s="92" t="s">
        <v>225</v>
      </c>
      <c r="K62" s="92" t="s">
        <v>225</v>
      </c>
      <c r="L62" s="92" t="s">
        <v>225</v>
      </c>
      <c r="M62" s="64" t="s">
        <v>225</v>
      </c>
      <c r="N62" s="53" t="s">
        <v>263</v>
      </c>
      <c r="O62" s="92" t="s">
        <v>225</v>
      </c>
      <c r="P62" s="92" t="s">
        <v>225</v>
      </c>
      <c r="Q62" s="64" t="s">
        <v>225</v>
      </c>
    </row>
    <row r="63" spans="2:17" ht="20.100000000000001" customHeight="1" x14ac:dyDescent="0.25">
      <c r="B63" s="75" t="str">
        <f>IF('Conductor-Guarda-Azafata'!B63="","",'Conductor-Guarda-Azafata'!B63)</f>
        <v/>
      </c>
      <c r="C63" s="76" t="str">
        <f>IF($B63="","",VLOOKUP($B63,'Conductor-Guarda-Azafata'!$B$8:$AN$271,4,FALSE))</f>
        <v/>
      </c>
      <c r="D63" s="77" t="str">
        <f>IF($B63="","",VLOOKUP($B63,'Conductor-Guarda-Azafata'!$B$8:$AN$271,5))</f>
        <v/>
      </c>
      <c r="E63" s="33"/>
      <c r="F63" s="12" t="str">
        <f>IF(E63="","",VLOOKUP(E63,Personal!$A$1:$F$501,2,FALSE))</f>
        <v/>
      </c>
      <c r="G63" s="4"/>
      <c r="H63" s="4"/>
      <c r="I63" s="4"/>
      <c r="J63" s="4"/>
      <c r="K63" s="4"/>
      <c r="L63" s="4"/>
      <c r="M63" s="64"/>
      <c r="N63" s="95"/>
      <c r="O63" s="4"/>
      <c r="P63" s="4"/>
      <c r="Q63" s="64"/>
    </row>
    <row r="64" spans="2:17" ht="20.100000000000001" customHeight="1" x14ac:dyDescent="0.25">
      <c r="B64" s="75" t="str">
        <f>IF('Conductor-Guarda-Azafata'!B64="","",'Conductor-Guarda-Azafata'!B64)</f>
        <v/>
      </c>
      <c r="C64" s="76" t="str">
        <f>IF($B64="","",VLOOKUP($B64,'Conductor-Guarda-Azafata'!$B$8:$AN$271,4,FALSE))</f>
        <v/>
      </c>
      <c r="D64" s="77" t="str">
        <f>IF($B64="","",VLOOKUP($B64,'Conductor-Guarda-Azafata'!$B$8:$AN$271,5))</f>
        <v/>
      </c>
      <c r="E64" s="33"/>
      <c r="F64" s="12" t="str">
        <f>IF(E64="","",VLOOKUP(E64,Personal!$A$1:$F$501,2,FALSE))</f>
        <v/>
      </c>
      <c r="G64" s="4"/>
      <c r="H64" s="4"/>
      <c r="I64" s="4"/>
      <c r="J64" s="4"/>
      <c r="K64" s="4"/>
      <c r="L64" s="4"/>
      <c r="M64" s="64"/>
      <c r="N64" s="95"/>
      <c r="O64" s="4"/>
      <c r="P64" s="4"/>
      <c r="Q64" s="64"/>
    </row>
    <row r="65" spans="2:17" ht="20.100000000000001" customHeight="1" x14ac:dyDescent="0.25">
      <c r="B65" s="75" t="str">
        <f>IF('Conductor-Guarda-Azafata'!B65="","",'Conductor-Guarda-Azafata'!B65)</f>
        <v/>
      </c>
      <c r="C65" s="76" t="str">
        <f>IF($B65="","",VLOOKUP($B65,'Conductor-Guarda-Azafata'!$B$8:$AN$271,4,FALSE))</f>
        <v/>
      </c>
      <c r="D65" s="77" t="str">
        <f>IF($B65="","",VLOOKUP($B65,'Conductor-Guarda-Azafata'!$B$8:$AN$271,5))</f>
        <v/>
      </c>
      <c r="E65" s="33"/>
      <c r="F65" s="12" t="str">
        <f>IF(E65="","",VLOOKUP(E65,Personal!$A$1:$F$501,2,FALSE))</f>
        <v/>
      </c>
      <c r="G65" s="4"/>
      <c r="H65" s="4"/>
      <c r="I65" s="4"/>
      <c r="J65" s="4"/>
      <c r="K65" s="4"/>
      <c r="L65" s="4"/>
      <c r="M65" s="64"/>
      <c r="N65" s="95"/>
      <c r="O65" s="4"/>
      <c r="P65" s="4"/>
      <c r="Q65" s="64"/>
    </row>
    <row r="66" spans="2:17" ht="20.100000000000001" customHeight="1" x14ac:dyDescent="0.25">
      <c r="B66" s="75" t="str">
        <f>IF('Conductor-Guarda-Azafata'!B66="","",'Conductor-Guarda-Azafata'!B66)</f>
        <v/>
      </c>
      <c r="C66" s="76" t="str">
        <f>IF($B66="","",VLOOKUP($B66,'Conductor-Guarda-Azafata'!$B$8:$AN$271,4,FALSE))</f>
        <v/>
      </c>
      <c r="D66" s="77" t="str">
        <f>IF($B66="","",VLOOKUP($B66,'Conductor-Guarda-Azafata'!$B$8:$AN$271,5))</f>
        <v/>
      </c>
      <c r="E66" s="33"/>
      <c r="F66" s="12" t="str">
        <f>IF(E66="","",VLOOKUP(E66,Personal!$A$1:$F$501,2,FALSE))</f>
        <v/>
      </c>
      <c r="G66" s="4"/>
      <c r="H66" s="4"/>
      <c r="I66" s="4"/>
      <c r="J66" s="4"/>
      <c r="K66" s="4"/>
      <c r="L66" s="4"/>
      <c r="M66" s="64"/>
      <c r="N66" s="95"/>
      <c r="O66" s="4"/>
      <c r="P66" s="4"/>
      <c r="Q66" s="64"/>
    </row>
    <row r="67" spans="2:17" ht="20.100000000000001" customHeight="1" x14ac:dyDescent="0.25">
      <c r="B67" s="75" t="str">
        <f>IF('Conductor-Guarda-Azafata'!B67="","",'Conductor-Guarda-Azafata'!B67)</f>
        <v/>
      </c>
      <c r="C67" s="76" t="str">
        <f>IF($B67="","",VLOOKUP($B67,'Conductor-Guarda-Azafata'!$B$8:$AN$271,4,FALSE))</f>
        <v/>
      </c>
      <c r="D67" s="77" t="str">
        <f>IF($B67="","",VLOOKUP($B67,'Conductor-Guarda-Azafata'!$B$8:$AN$271,5))</f>
        <v/>
      </c>
      <c r="E67" s="33"/>
      <c r="F67" s="12" t="str">
        <f>IF(E67="","",VLOOKUP(E67,Personal!$A$1:$F$501,2,FALSE))</f>
        <v/>
      </c>
      <c r="G67" s="4"/>
      <c r="H67" s="4"/>
      <c r="I67" s="4"/>
      <c r="J67" s="4"/>
      <c r="K67" s="4"/>
      <c r="L67" s="4"/>
      <c r="M67" s="64"/>
      <c r="N67" s="95"/>
      <c r="O67" s="4"/>
      <c r="P67" s="4"/>
      <c r="Q67" s="64"/>
    </row>
    <row r="68" spans="2:17" ht="20.100000000000001" customHeight="1" x14ac:dyDescent="0.25">
      <c r="B68" s="75" t="str">
        <f>IF('Conductor-Guarda-Azafata'!B68="","",'Conductor-Guarda-Azafata'!B68)</f>
        <v/>
      </c>
      <c r="C68" s="76" t="str">
        <f>IF($B68="","",VLOOKUP($B68,'Conductor-Guarda-Azafata'!$B$8:$AN$271,4,FALSE))</f>
        <v/>
      </c>
      <c r="D68" s="77" t="str">
        <f>IF($B68="","",VLOOKUP($B68,'Conductor-Guarda-Azafata'!$B$8:$AN$271,5))</f>
        <v/>
      </c>
      <c r="E68" s="33"/>
      <c r="F68" s="12" t="str">
        <f>IF(E68="","",VLOOKUP(E68,Personal!$A$1:$F$501,2,FALSE))</f>
        <v/>
      </c>
      <c r="G68" s="4"/>
      <c r="H68" s="4"/>
      <c r="I68" s="4"/>
      <c r="J68" s="4"/>
      <c r="K68" s="4"/>
      <c r="L68" s="4"/>
      <c r="M68" s="64"/>
      <c r="N68" s="95"/>
      <c r="O68" s="4"/>
      <c r="P68" s="4"/>
      <c r="Q68" s="64"/>
    </row>
    <row r="69" spans="2:17" ht="20.100000000000001" customHeight="1" x14ac:dyDescent="0.25">
      <c r="B69" s="75" t="str">
        <f>IF('Conductor-Guarda-Azafata'!B69="","",'Conductor-Guarda-Azafata'!B69)</f>
        <v/>
      </c>
      <c r="C69" s="76" t="str">
        <f>IF($B69="","",VLOOKUP($B69,'Conductor-Guarda-Azafata'!$B$8:$AN$271,4,FALSE))</f>
        <v/>
      </c>
      <c r="D69" s="77" t="str">
        <f>IF($B69="","",VLOOKUP($B69,'Conductor-Guarda-Azafata'!$B$8:$AN$271,5))</f>
        <v/>
      </c>
      <c r="E69" s="33"/>
      <c r="F69" s="12" t="str">
        <f>IF(E69="","",VLOOKUP(E69,Personal!$A$1:$F$501,2,FALSE))</f>
        <v/>
      </c>
      <c r="G69" s="4"/>
      <c r="H69" s="4"/>
      <c r="I69" s="4"/>
      <c r="J69" s="4"/>
      <c r="K69" s="4"/>
      <c r="L69" s="4"/>
      <c r="M69" s="64"/>
      <c r="N69" s="95"/>
      <c r="O69" s="4"/>
      <c r="P69" s="4"/>
      <c r="Q69" s="64"/>
    </row>
    <row r="70" spans="2:17" ht="20.100000000000001" customHeight="1" x14ac:dyDescent="0.25">
      <c r="B70" s="75" t="str">
        <f>IF('Conductor-Guarda-Azafata'!B70="","",'Conductor-Guarda-Azafata'!B70)</f>
        <v/>
      </c>
      <c r="C70" s="76" t="str">
        <f>IF($B70="","",VLOOKUP($B70,'Conductor-Guarda-Azafata'!$B$8:$AN$271,4,FALSE))</f>
        <v/>
      </c>
      <c r="D70" s="77" t="str">
        <f>IF($B70="","",VLOOKUP($B70,'Conductor-Guarda-Azafata'!$B$8:$AN$271,5))</f>
        <v/>
      </c>
      <c r="E70" s="33"/>
      <c r="F70" s="12" t="str">
        <f>IF(E70="","",VLOOKUP(E70,Personal!$A$1:$F$501,2,FALSE))</f>
        <v/>
      </c>
      <c r="G70" s="4"/>
      <c r="H70" s="4"/>
      <c r="I70" s="4"/>
      <c r="J70" s="4"/>
      <c r="K70" s="4"/>
      <c r="L70" s="4"/>
      <c r="M70" s="64"/>
      <c r="N70" s="95"/>
      <c r="O70" s="4"/>
      <c r="P70" s="4"/>
      <c r="Q70" s="64"/>
    </row>
    <row r="71" spans="2:17" ht="20.100000000000001" customHeight="1" x14ac:dyDescent="0.25">
      <c r="B71" s="75" t="str">
        <f>IF('Conductor-Guarda-Azafata'!B71="","",'Conductor-Guarda-Azafata'!B71)</f>
        <v/>
      </c>
      <c r="C71" s="76" t="str">
        <f>IF($B71="","",VLOOKUP($B71,'Conductor-Guarda-Azafata'!$B$8:$AN$271,4,FALSE))</f>
        <v/>
      </c>
      <c r="D71" s="77" t="str">
        <f>IF($B71="","",VLOOKUP($B71,'Conductor-Guarda-Azafata'!$B$8:$AN$271,5))</f>
        <v/>
      </c>
      <c r="E71" s="33"/>
      <c r="F71" s="12" t="str">
        <f>IF(E71="","",VLOOKUP(E71,Personal!$A$1:$F$501,2,FALSE))</f>
        <v/>
      </c>
      <c r="G71" s="4"/>
      <c r="H71" s="4"/>
      <c r="I71" s="4"/>
      <c r="J71" s="4"/>
      <c r="K71" s="4"/>
      <c r="L71" s="4"/>
      <c r="M71" s="64"/>
      <c r="N71" s="95"/>
      <c r="O71" s="4"/>
      <c r="P71" s="4"/>
      <c r="Q71" s="64"/>
    </row>
    <row r="72" spans="2:17" ht="20.100000000000001" customHeight="1" x14ac:dyDescent="0.25">
      <c r="B72" s="75" t="str">
        <f>IF('Conductor-Guarda-Azafata'!B72="","",'Conductor-Guarda-Azafata'!B72)</f>
        <v/>
      </c>
      <c r="C72" s="76" t="str">
        <f>IF($B72="","",VLOOKUP($B72,'Conductor-Guarda-Azafata'!$B$8:$AN$271,4,FALSE))</f>
        <v/>
      </c>
      <c r="D72" s="77" t="str">
        <f>IF($B72="","",VLOOKUP($B72,'Conductor-Guarda-Azafata'!$B$8:$AN$271,5))</f>
        <v/>
      </c>
      <c r="E72" s="33"/>
      <c r="F72" s="12" t="str">
        <f>IF(E72="","",VLOOKUP(E72,Personal!$A$1:$F$501,2,FALSE))</f>
        <v/>
      </c>
      <c r="G72" s="4"/>
      <c r="H72" s="4"/>
      <c r="I72" s="4"/>
      <c r="J72" s="4"/>
      <c r="K72" s="4"/>
      <c r="L72" s="4"/>
      <c r="M72" s="64"/>
      <c r="N72" s="95"/>
      <c r="O72" s="4"/>
      <c r="P72" s="4"/>
      <c r="Q72" s="64"/>
    </row>
    <row r="73" spans="2:17" ht="20.100000000000001" customHeight="1" x14ac:dyDescent="0.25">
      <c r="B73" s="75" t="str">
        <f>IF('Conductor-Guarda-Azafata'!B73="","",'Conductor-Guarda-Azafata'!B73)</f>
        <v/>
      </c>
      <c r="C73" s="76" t="str">
        <f>IF($B73="","",VLOOKUP($B73,'Conductor-Guarda-Azafata'!$B$8:$AN$271,4,FALSE))</f>
        <v/>
      </c>
      <c r="D73" s="77" t="str">
        <f>IF($B73="","",VLOOKUP($B73,'Conductor-Guarda-Azafata'!$B$8:$AN$271,5))</f>
        <v/>
      </c>
      <c r="E73" s="33"/>
      <c r="F73" s="12" t="str">
        <f>IF(E73="","",VLOOKUP(E73,Personal!$A$1:$F$501,2,FALSE))</f>
        <v/>
      </c>
      <c r="G73" s="4"/>
      <c r="H73" s="4"/>
      <c r="I73" s="4"/>
      <c r="J73" s="4"/>
      <c r="K73" s="4"/>
      <c r="L73" s="4"/>
      <c r="M73" s="64"/>
      <c r="N73" s="95"/>
      <c r="O73" s="4"/>
      <c r="P73" s="4"/>
      <c r="Q73" s="64"/>
    </row>
    <row r="74" spans="2:17" ht="20.100000000000001" customHeight="1" x14ac:dyDescent="0.25">
      <c r="B74" s="75" t="str">
        <f>IF('Conductor-Guarda-Azafata'!B74="","",'Conductor-Guarda-Azafata'!B74)</f>
        <v/>
      </c>
      <c r="C74" s="76" t="str">
        <f>IF($B74="","",VLOOKUP($B74,'Conductor-Guarda-Azafata'!$B$8:$AN$271,4,FALSE))</f>
        <v/>
      </c>
      <c r="D74" s="77" t="str">
        <f>IF($B74="","",VLOOKUP($B74,'Conductor-Guarda-Azafata'!$B$8:$AN$271,5))</f>
        <v/>
      </c>
      <c r="E74" s="33"/>
      <c r="F74" s="12" t="str">
        <f>IF(E74="","",VLOOKUP(E74,Personal!$A$1:$F$501,2,FALSE))</f>
        <v/>
      </c>
      <c r="G74" s="4"/>
      <c r="H74" s="4"/>
      <c r="I74" s="4"/>
      <c r="J74" s="4"/>
      <c r="K74" s="4"/>
      <c r="L74" s="4"/>
      <c r="M74" s="64"/>
      <c r="N74" s="95"/>
      <c r="O74" s="4"/>
      <c r="P74" s="4"/>
      <c r="Q74" s="64"/>
    </row>
    <row r="75" spans="2:17" ht="20.100000000000001" customHeight="1" x14ac:dyDescent="0.25">
      <c r="B75" s="75" t="str">
        <f>IF('Conductor-Guarda-Azafata'!B75="","",'Conductor-Guarda-Azafata'!B75)</f>
        <v/>
      </c>
      <c r="C75" s="76" t="str">
        <f>IF($B75="","",VLOOKUP($B75,'Conductor-Guarda-Azafata'!$B$8:$AN$271,4,FALSE))</f>
        <v/>
      </c>
      <c r="D75" s="77" t="str">
        <f>IF($B75="","",VLOOKUP($B75,'Conductor-Guarda-Azafata'!$B$8:$AN$271,5))</f>
        <v/>
      </c>
      <c r="E75" s="33"/>
      <c r="F75" s="12" t="str">
        <f>IF(E75="","",VLOOKUP(E75,Personal!$A$1:$F$501,2,FALSE))</f>
        <v/>
      </c>
      <c r="G75" s="4"/>
      <c r="H75" s="4"/>
      <c r="I75" s="4"/>
      <c r="J75" s="4"/>
      <c r="K75" s="4"/>
      <c r="L75" s="4"/>
      <c r="M75" s="64"/>
      <c r="N75" s="95"/>
      <c r="O75" s="4"/>
      <c r="P75" s="4"/>
      <c r="Q75" s="64"/>
    </row>
    <row r="76" spans="2:17" ht="20.100000000000001" customHeight="1" x14ac:dyDescent="0.25">
      <c r="B76" s="75" t="str">
        <f>IF('Conductor-Guarda-Azafata'!B76="","",'Conductor-Guarda-Azafata'!B76)</f>
        <v/>
      </c>
      <c r="C76" s="76" t="str">
        <f>IF($B76="","",VLOOKUP($B76,'Conductor-Guarda-Azafata'!$B$8:$AN$271,4,FALSE))</f>
        <v/>
      </c>
      <c r="D76" s="77" t="str">
        <f>IF($B76="","",VLOOKUP($B76,'Conductor-Guarda-Azafata'!$B$8:$AN$271,5))</f>
        <v/>
      </c>
      <c r="E76" s="33"/>
      <c r="F76" s="12" t="str">
        <f>IF(E76="","",VLOOKUP(E76,Personal!$A$1:$F$501,2,FALSE))</f>
        <v/>
      </c>
      <c r="G76" s="4"/>
      <c r="H76" s="4"/>
      <c r="I76" s="4"/>
      <c r="J76" s="4"/>
      <c r="K76" s="4"/>
      <c r="L76" s="4"/>
      <c r="M76" s="64"/>
      <c r="N76" s="95"/>
      <c r="O76" s="4"/>
      <c r="P76" s="4"/>
      <c r="Q76" s="64"/>
    </row>
    <row r="77" spans="2:17" ht="20.100000000000001" customHeight="1" x14ac:dyDescent="0.25">
      <c r="B77" s="75" t="str">
        <f>IF('Conductor-Guarda-Azafata'!B77="","",'Conductor-Guarda-Azafata'!B77)</f>
        <v/>
      </c>
      <c r="C77" s="76" t="str">
        <f>IF($B77="","",VLOOKUP($B77,'Conductor-Guarda-Azafata'!$B$8:$AN$271,4,FALSE))</f>
        <v/>
      </c>
      <c r="D77" s="77" t="str">
        <f>IF($B77="","",VLOOKUP($B77,'Conductor-Guarda-Azafata'!$B$8:$AN$271,5))</f>
        <v/>
      </c>
      <c r="E77" s="33"/>
      <c r="F77" s="12" t="str">
        <f>IF(E77="","",VLOOKUP(E77,Personal!$A$1:$F$501,2,FALSE))</f>
        <v/>
      </c>
      <c r="G77" s="4"/>
      <c r="H77" s="4"/>
      <c r="I77" s="4"/>
      <c r="J77" s="4"/>
      <c r="K77" s="4"/>
      <c r="L77" s="4"/>
      <c r="M77" s="64"/>
      <c r="N77" s="95"/>
      <c r="O77" s="4"/>
      <c r="P77" s="4"/>
      <c r="Q77" s="64"/>
    </row>
    <row r="78" spans="2:17" ht="20.100000000000001" customHeight="1" x14ac:dyDescent="0.25">
      <c r="B78" s="75" t="str">
        <f>IF('Conductor-Guarda-Azafata'!B78="","",'Conductor-Guarda-Azafata'!B78)</f>
        <v/>
      </c>
      <c r="C78" s="76" t="str">
        <f>IF($B78="","",VLOOKUP($B78,'Conductor-Guarda-Azafata'!$B$8:$AN$271,4,FALSE))</f>
        <v/>
      </c>
      <c r="D78" s="77" t="str">
        <f>IF($B78="","",VLOOKUP($B78,'Conductor-Guarda-Azafata'!$B$8:$AN$271,5))</f>
        <v/>
      </c>
      <c r="E78" s="33"/>
      <c r="F78" s="12" t="str">
        <f>IF(E78="","",VLOOKUP(E78,Personal!$A$1:$F$501,2,FALSE))</f>
        <v/>
      </c>
      <c r="G78" s="4"/>
      <c r="H78" s="4"/>
      <c r="I78" s="4"/>
      <c r="J78" s="4"/>
      <c r="K78" s="4"/>
      <c r="L78" s="4"/>
      <c r="M78" s="64"/>
      <c r="N78" s="95"/>
      <c r="O78" s="4"/>
      <c r="P78" s="4"/>
      <c r="Q78" s="64"/>
    </row>
    <row r="79" spans="2:17" ht="20.100000000000001" customHeight="1" x14ac:dyDescent="0.25">
      <c r="B79" s="75" t="str">
        <f>IF('Conductor-Guarda-Azafata'!B79="","",'Conductor-Guarda-Azafata'!B79)</f>
        <v/>
      </c>
      <c r="C79" s="76" t="str">
        <f>IF($B79="","",VLOOKUP($B79,'Conductor-Guarda-Azafata'!$B$8:$AN$271,4,FALSE))</f>
        <v/>
      </c>
      <c r="D79" s="77" t="str">
        <f>IF($B79="","",VLOOKUP($B79,'Conductor-Guarda-Azafata'!$B$8:$AN$271,5))</f>
        <v/>
      </c>
      <c r="E79" s="33"/>
      <c r="F79" s="12" t="str">
        <f>IF(E79="","",VLOOKUP(E79,Personal!$A$1:$F$501,2,FALSE))</f>
        <v/>
      </c>
      <c r="G79" s="4"/>
      <c r="H79" s="4"/>
      <c r="I79" s="4"/>
      <c r="J79" s="4"/>
      <c r="K79" s="4"/>
      <c r="L79" s="4"/>
      <c r="M79" s="64"/>
      <c r="N79" s="95"/>
      <c r="O79" s="4"/>
      <c r="P79" s="4"/>
      <c r="Q79" s="64"/>
    </row>
    <row r="80" spans="2:17" ht="20.100000000000001" customHeight="1" x14ac:dyDescent="0.25">
      <c r="B80" s="75" t="str">
        <f>IF('Conductor-Guarda-Azafata'!B80="","",'Conductor-Guarda-Azafata'!B80)</f>
        <v/>
      </c>
      <c r="C80" s="76" t="str">
        <f>IF($B80="","",VLOOKUP($B80,'Conductor-Guarda-Azafata'!$B$8:$AN$271,4,FALSE))</f>
        <v/>
      </c>
      <c r="D80" s="77" t="str">
        <f>IF($B80="","",VLOOKUP($B80,'Conductor-Guarda-Azafata'!$B$8:$AN$271,5))</f>
        <v/>
      </c>
      <c r="E80" s="33"/>
      <c r="F80" s="12" t="str">
        <f>IF(E80="","",VLOOKUP(E80,Personal!$A$1:$F$501,2,FALSE))</f>
        <v/>
      </c>
      <c r="G80" s="4"/>
      <c r="H80" s="4"/>
      <c r="I80" s="4"/>
      <c r="J80" s="4"/>
      <c r="K80" s="4"/>
      <c r="L80" s="4"/>
      <c r="M80" s="64"/>
      <c r="N80" s="95"/>
      <c r="O80" s="4"/>
      <c r="P80" s="4"/>
      <c r="Q80" s="64"/>
    </row>
    <row r="81" spans="2:17" ht="20.100000000000001" customHeight="1" x14ac:dyDescent="0.25">
      <c r="B81" s="75" t="str">
        <f>IF('Conductor-Guarda-Azafata'!B81="","",'Conductor-Guarda-Azafata'!B81)</f>
        <v/>
      </c>
      <c r="C81" s="76" t="str">
        <f>IF($B81="","",VLOOKUP($B81,'Conductor-Guarda-Azafata'!$B$8:$AN$271,4,FALSE))</f>
        <v/>
      </c>
      <c r="D81" s="77" t="str">
        <f>IF($B81="","",VLOOKUP($B81,'Conductor-Guarda-Azafata'!$B$8:$AN$271,5))</f>
        <v/>
      </c>
      <c r="E81" s="33"/>
      <c r="F81" s="12" t="str">
        <f>IF(E81="","",VLOOKUP(E81,Personal!$A$1:$F$501,2,FALSE))</f>
        <v/>
      </c>
      <c r="G81" s="4"/>
      <c r="H81" s="4"/>
      <c r="I81" s="4"/>
      <c r="J81" s="4"/>
      <c r="K81" s="4"/>
      <c r="L81" s="4"/>
      <c r="M81" s="64"/>
      <c r="N81" s="95"/>
      <c r="O81" s="4"/>
      <c r="P81" s="4"/>
      <c r="Q81" s="64"/>
    </row>
    <row r="82" spans="2:17" ht="20.100000000000001" customHeight="1" x14ac:dyDescent="0.25">
      <c r="B82" s="75" t="str">
        <f>IF('Conductor-Guarda-Azafata'!B82="","",'Conductor-Guarda-Azafata'!B82)</f>
        <v/>
      </c>
      <c r="C82" s="76" t="str">
        <f>IF($B82="","",VLOOKUP($B82,'Conductor-Guarda-Azafata'!$B$8:$AN$271,4,FALSE))</f>
        <v/>
      </c>
      <c r="D82" s="77" t="str">
        <f>IF($B82="","",VLOOKUP($B82,'Conductor-Guarda-Azafata'!$B$8:$AN$271,5))</f>
        <v/>
      </c>
      <c r="E82" s="33"/>
      <c r="F82" s="12" t="str">
        <f>IF(E82="","",VLOOKUP(E82,Personal!$A$1:$F$501,2,FALSE))</f>
        <v/>
      </c>
      <c r="G82" s="4"/>
      <c r="H82" s="4"/>
      <c r="I82" s="4"/>
      <c r="J82" s="4"/>
      <c r="K82" s="4"/>
      <c r="L82" s="4"/>
      <c r="M82" s="64"/>
      <c r="N82" s="95"/>
      <c r="O82" s="4"/>
      <c r="P82" s="4"/>
      <c r="Q82" s="64"/>
    </row>
    <row r="83" spans="2:17" ht="20.100000000000001" customHeight="1" x14ac:dyDescent="0.25">
      <c r="B83" s="75" t="str">
        <f>IF('Conductor-Guarda-Azafata'!B83="","",'Conductor-Guarda-Azafata'!B83)</f>
        <v/>
      </c>
      <c r="C83" s="76" t="str">
        <f>IF($B83="","",VLOOKUP($B83,'Conductor-Guarda-Azafata'!$B$8:$AN$271,4,FALSE))</f>
        <v/>
      </c>
      <c r="D83" s="77" t="str">
        <f>IF($B83="","",VLOOKUP($B83,'Conductor-Guarda-Azafata'!$B$8:$AN$271,5))</f>
        <v/>
      </c>
      <c r="E83" s="33"/>
      <c r="F83" s="12" t="str">
        <f>IF(E83="","",VLOOKUP(E83,Personal!$A$1:$F$501,2,FALSE))</f>
        <v/>
      </c>
      <c r="G83" s="4"/>
      <c r="H83" s="4"/>
      <c r="I83" s="4"/>
      <c r="J83" s="4"/>
      <c r="K83" s="4"/>
      <c r="L83" s="4"/>
      <c r="M83" s="64"/>
      <c r="N83" s="95"/>
      <c r="O83" s="4"/>
      <c r="P83" s="4"/>
      <c r="Q83" s="64"/>
    </row>
    <row r="84" spans="2:17" ht="20.100000000000001" customHeight="1" x14ac:dyDescent="0.25">
      <c r="B84" s="75" t="str">
        <f>IF('Conductor-Guarda-Azafata'!B84="","",'Conductor-Guarda-Azafata'!B84)</f>
        <v/>
      </c>
      <c r="C84" s="76" t="str">
        <f>IF($B84="","",VLOOKUP($B84,'Conductor-Guarda-Azafata'!$B$8:$AN$271,4,FALSE))</f>
        <v/>
      </c>
      <c r="D84" s="77" t="str">
        <f>IF($B84="","",VLOOKUP($B84,'Conductor-Guarda-Azafata'!$B$8:$AN$271,5))</f>
        <v/>
      </c>
      <c r="E84" s="33"/>
      <c r="F84" s="12" t="str">
        <f>IF(E84="","",VLOOKUP(E84,Personal!$A$1:$F$501,2,FALSE))</f>
        <v/>
      </c>
      <c r="G84" s="4"/>
      <c r="H84" s="4"/>
      <c r="I84" s="4"/>
      <c r="J84" s="4"/>
      <c r="K84" s="4"/>
      <c r="L84" s="4"/>
      <c r="M84" s="64"/>
      <c r="N84" s="95"/>
      <c r="O84" s="4"/>
      <c r="P84" s="4"/>
      <c r="Q84" s="64"/>
    </row>
    <row r="85" spans="2:17" ht="20.100000000000001" customHeight="1" x14ac:dyDescent="0.25">
      <c r="B85" s="75" t="str">
        <f>IF('Conductor-Guarda-Azafata'!B85="","",'Conductor-Guarda-Azafata'!B85)</f>
        <v/>
      </c>
      <c r="C85" s="76" t="str">
        <f>IF($B85="","",VLOOKUP($B85,'Conductor-Guarda-Azafata'!$B$8:$AN$271,4,FALSE))</f>
        <v/>
      </c>
      <c r="D85" s="77" t="str">
        <f>IF($B85="","",VLOOKUP($B85,'Conductor-Guarda-Azafata'!$B$8:$AN$271,5))</f>
        <v/>
      </c>
      <c r="E85" s="33"/>
      <c r="F85" s="12" t="str">
        <f>IF(E85="","",VLOOKUP(E85,Personal!$A$1:$F$501,2,FALSE))</f>
        <v/>
      </c>
      <c r="G85" s="4"/>
      <c r="H85" s="4"/>
      <c r="I85" s="4"/>
      <c r="J85" s="4"/>
      <c r="K85" s="4"/>
      <c r="L85" s="4"/>
      <c r="M85" s="64"/>
      <c r="N85" s="95"/>
      <c r="O85" s="4"/>
      <c r="P85" s="4"/>
      <c r="Q85" s="64"/>
    </row>
    <row r="86" spans="2:17" ht="20.100000000000001" customHeight="1" x14ac:dyDescent="0.25">
      <c r="B86" s="75" t="str">
        <f>IF('Conductor-Guarda-Azafata'!B86="","",'Conductor-Guarda-Azafata'!B86)</f>
        <v/>
      </c>
      <c r="C86" s="76" t="str">
        <f>IF($B86="","",VLOOKUP($B86,'Conductor-Guarda-Azafata'!$B$8:$AN$271,4,FALSE))</f>
        <v/>
      </c>
      <c r="D86" s="77" t="str">
        <f>IF($B86="","",VLOOKUP($B86,'Conductor-Guarda-Azafata'!$B$8:$AN$271,5))</f>
        <v/>
      </c>
      <c r="E86" s="33"/>
      <c r="F86" s="12" t="str">
        <f>IF(E86="","",VLOOKUP(E86,Personal!$A$1:$F$501,2,FALSE))</f>
        <v/>
      </c>
      <c r="G86" s="4"/>
      <c r="H86" s="4"/>
      <c r="I86" s="4"/>
      <c r="J86" s="4"/>
      <c r="K86" s="4"/>
      <c r="L86" s="4"/>
      <c r="M86" s="64"/>
      <c r="N86" s="95"/>
      <c r="O86" s="4"/>
      <c r="P86" s="4"/>
      <c r="Q86" s="64"/>
    </row>
    <row r="87" spans="2:17" ht="20.100000000000001" customHeight="1" x14ac:dyDescent="0.25">
      <c r="B87" s="75" t="str">
        <f>IF('Conductor-Guarda-Azafata'!B87="","",'Conductor-Guarda-Azafata'!B87)</f>
        <v/>
      </c>
      <c r="C87" s="76" t="str">
        <f>IF($B87="","",VLOOKUP($B87,'Conductor-Guarda-Azafata'!$B$8:$AN$271,4,FALSE))</f>
        <v/>
      </c>
      <c r="D87" s="77" t="str">
        <f>IF($B87="","",VLOOKUP($B87,'Conductor-Guarda-Azafata'!$B$8:$AN$271,5))</f>
        <v/>
      </c>
      <c r="E87" s="33"/>
      <c r="F87" s="12" t="str">
        <f>IF(E87="","",VLOOKUP(E87,Personal!$A$1:$F$501,2,FALSE))</f>
        <v/>
      </c>
      <c r="G87" s="4"/>
      <c r="H87" s="4"/>
      <c r="I87" s="4"/>
      <c r="J87" s="4"/>
      <c r="K87" s="4"/>
      <c r="L87" s="4"/>
      <c r="M87" s="64"/>
      <c r="N87" s="95"/>
      <c r="O87" s="4"/>
      <c r="P87" s="4"/>
      <c r="Q87" s="64"/>
    </row>
    <row r="88" spans="2:17" ht="20.100000000000001" customHeight="1" x14ac:dyDescent="0.25">
      <c r="B88" s="75" t="str">
        <f>IF('Conductor-Guarda-Azafata'!B88="","",'Conductor-Guarda-Azafata'!B88)</f>
        <v/>
      </c>
      <c r="C88" s="76" t="str">
        <f>IF($B88="","",VLOOKUP($B88,'Conductor-Guarda-Azafata'!$B$8:$AN$271,4,FALSE))</f>
        <v/>
      </c>
      <c r="D88" s="77" t="str">
        <f>IF($B88="","",VLOOKUP($B88,'Conductor-Guarda-Azafata'!$B$8:$AN$271,5))</f>
        <v/>
      </c>
      <c r="E88" s="33"/>
      <c r="F88" s="12" t="str">
        <f>IF(E88="","",VLOOKUP(E88,Personal!$A$1:$F$501,2,FALSE))</f>
        <v/>
      </c>
      <c r="G88" s="4"/>
      <c r="H88" s="4"/>
      <c r="I88" s="4"/>
      <c r="J88" s="4"/>
      <c r="K88" s="4"/>
      <c r="L88" s="4"/>
      <c r="M88" s="64"/>
      <c r="N88" s="95"/>
      <c r="O88" s="4"/>
      <c r="P88" s="4"/>
      <c r="Q88" s="64"/>
    </row>
    <row r="89" spans="2:17" ht="20.100000000000001" customHeight="1" x14ac:dyDescent="0.25">
      <c r="B89" s="75" t="str">
        <f>IF('Conductor-Guarda-Azafata'!B89="","",'Conductor-Guarda-Azafata'!B89)</f>
        <v/>
      </c>
      <c r="C89" s="76" t="str">
        <f>IF($B89="","",VLOOKUP($B89,'Conductor-Guarda-Azafata'!$B$8:$AN$271,4,FALSE))</f>
        <v/>
      </c>
      <c r="D89" s="77" t="str">
        <f>IF($B89="","",VLOOKUP($B89,'Conductor-Guarda-Azafata'!$B$8:$AN$271,5))</f>
        <v/>
      </c>
      <c r="E89" s="33"/>
      <c r="F89" s="12" t="str">
        <f>IF(E89="","",VLOOKUP(E89,Personal!$A$1:$F$501,2,FALSE))</f>
        <v/>
      </c>
      <c r="G89" s="4"/>
      <c r="H89" s="4"/>
      <c r="I89" s="4"/>
      <c r="J89" s="4"/>
      <c r="K89" s="4"/>
      <c r="L89" s="4"/>
      <c r="M89" s="64"/>
      <c r="N89" s="95"/>
      <c r="O89" s="4"/>
      <c r="P89" s="4"/>
      <c r="Q89" s="64"/>
    </row>
    <row r="90" spans="2:17" ht="20.100000000000001" customHeight="1" x14ac:dyDescent="0.25">
      <c r="B90" s="75" t="str">
        <f>IF('Conductor-Guarda-Azafata'!B90="","",'Conductor-Guarda-Azafata'!B90)</f>
        <v/>
      </c>
      <c r="C90" s="76" t="str">
        <f>IF($B90="","",VLOOKUP($B90,'Conductor-Guarda-Azafata'!$B$8:$AN$271,4,FALSE))</f>
        <v/>
      </c>
      <c r="D90" s="77" t="str">
        <f>IF($B90="","",VLOOKUP($B90,'Conductor-Guarda-Azafata'!$B$8:$AN$271,5))</f>
        <v/>
      </c>
      <c r="E90" s="33"/>
      <c r="F90" s="12" t="str">
        <f>IF(E90="","",VLOOKUP(E90,Personal!$A$1:$F$501,2,FALSE))</f>
        <v/>
      </c>
      <c r="G90" s="4"/>
      <c r="H90" s="4"/>
      <c r="I90" s="4"/>
      <c r="J90" s="4"/>
      <c r="K90" s="4"/>
      <c r="L90" s="4"/>
      <c r="M90" s="64"/>
      <c r="N90" s="95"/>
      <c r="O90" s="4"/>
      <c r="P90" s="4"/>
      <c r="Q90" s="64"/>
    </row>
    <row r="91" spans="2:17" ht="20.100000000000001" customHeight="1" x14ac:dyDescent="0.25">
      <c r="B91" s="75" t="str">
        <f>IF('Conductor-Guarda-Azafata'!B91="","",'Conductor-Guarda-Azafata'!B91)</f>
        <v/>
      </c>
      <c r="C91" s="76" t="str">
        <f>IF($B91="","",VLOOKUP($B91,'Conductor-Guarda-Azafata'!$B$8:$AN$271,4,FALSE))</f>
        <v/>
      </c>
      <c r="D91" s="77" t="str">
        <f>IF($B91="","",VLOOKUP($B91,'Conductor-Guarda-Azafata'!$B$8:$AN$271,5))</f>
        <v/>
      </c>
      <c r="E91" s="33"/>
      <c r="F91" s="12" t="str">
        <f>IF(E91="","",VLOOKUP(E91,Personal!$A$1:$F$501,2,FALSE))</f>
        <v/>
      </c>
      <c r="G91" s="4"/>
      <c r="H91" s="4"/>
      <c r="I91" s="4"/>
      <c r="J91" s="4"/>
      <c r="K91" s="4"/>
      <c r="L91" s="4"/>
      <c r="M91" s="64"/>
      <c r="N91" s="95"/>
      <c r="O91" s="4"/>
      <c r="P91" s="4"/>
      <c r="Q91" s="64"/>
    </row>
    <row r="92" spans="2:17" ht="20.100000000000001" customHeight="1" x14ac:dyDescent="0.25">
      <c r="B92" s="75" t="str">
        <f>IF('Conductor-Guarda-Azafata'!B92="","",'Conductor-Guarda-Azafata'!B92)</f>
        <v/>
      </c>
      <c r="C92" s="76" t="str">
        <f>IF($B92="","",VLOOKUP($B92,'Conductor-Guarda-Azafata'!$B$8:$AN$271,4,FALSE))</f>
        <v/>
      </c>
      <c r="D92" s="77" t="str">
        <f>IF($B92="","",VLOOKUP($B92,'Conductor-Guarda-Azafata'!$B$8:$AN$271,5))</f>
        <v/>
      </c>
      <c r="E92" s="33"/>
      <c r="F92" s="12" t="str">
        <f>IF(E92="","",VLOOKUP(E92,Personal!$A$1:$F$501,2,FALSE))</f>
        <v/>
      </c>
      <c r="G92" s="4"/>
      <c r="H92" s="4"/>
      <c r="I92" s="4"/>
      <c r="J92" s="4"/>
      <c r="K92" s="4"/>
      <c r="L92" s="4"/>
      <c r="M92" s="64"/>
      <c r="N92" s="95"/>
      <c r="O92" s="4"/>
      <c r="P92" s="4"/>
      <c r="Q92" s="64"/>
    </row>
    <row r="93" spans="2:17" ht="20.100000000000001" customHeight="1" x14ac:dyDescent="0.25">
      <c r="B93" s="75" t="str">
        <f>IF('Conductor-Guarda-Azafata'!B93="","",'Conductor-Guarda-Azafata'!B93)</f>
        <v/>
      </c>
      <c r="C93" s="76" t="str">
        <f>IF($B93="","",VLOOKUP($B93,'Conductor-Guarda-Azafata'!$B$8:$AN$271,4,FALSE))</f>
        <v/>
      </c>
      <c r="D93" s="77" t="str">
        <f>IF($B93="","",VLOOKUP($B93,'Conductor-Guarda-Azafata'!$B$8:$AN$271,5))</f>
        <v/>
      </c>
      <c r="E93" s="33"/>
      <c r="F93" s="12" t="str">
        <f>IF(E93="","",VLOOKUP(E93,Personal!$A$1:$F$501,2,FALSE))</f>
        <v/>
      </c>
      <c r="G93" s="4"/>
      <c r="H93" s="4"/>
      <c r="I93" s="4"/>
      <c r="J93" s="4"/>
      <c r="K93" s="4"/>
      <c r="L93" s="4"/>
      <c r="M93" s="64"/>
      <c r="N93" s="95"/>
      <c r="O93" s="4"/>
      <c r="P93" s="4"/>
      <c r="Q93" s="64"/>
    </row>
    <row r="94" spans="2:17" ht="20.100000000000001" customHeight="1" x14ac:dyDescent="0.25">
      <c r="B94" s="75" t="str">
        <f>IF('Conductor-Guarda-Azafata'!B94="","",'Conductor-Guarda-Azafata'!B94)</f>
        <v/>
      </c>
      <c r="C94" s="76" t="str">
        <f>IF($B94="","",VLOOKUP($B94,'Conductor-Guarda-Azafata'!$B$8:$AN$271,4,FALSE))</f>
        <v/>
      </c>
      <c r="D94" s="77" t="str">
        <f>IF($B94="","",VLOOKUP($B94,'Conductor-Guarda-Azafata'!$B$8:$AN$271,5))</f>
        <v/>
      </c>
      <c r="E94" s="33"/>
      <c r="F94" s="12" t="str">
        <f>IF(E94="","",VLOOKUP(E94,Personal!$A$1:$F$501,2,FALSE))</f>
        <v/>
      </c>
      <c r="G94" s="4"/>
      <c r="H94" s="4"/>
      <c r="I94" s="4"/>
      <c r="J94" s="4"/>
      <c r="K94" s="4"/>
      <c r="L94" s="4"/>
      <c r="M94" s="64"/>
      <c r="N94" s="95"/>
      <c r="O94" s="4"/>
      <c r="P94" s="4"/>
      <c r="Q94" s="64"/>
    </row>
    <row r="95" spans="2:17" ht="20.100000000000001" customHeight="1" x14ac:dyDescent="0.25">
      <c r="B95" s="75" t="str">
        <f>IF('Conductor-Guarda-Azafata'!B95="","",'Conductor-Guarda-Azafata'!B95)</f>
        <v/>
      </c>
      <c r="C95" s="76" t="str">
        <f>IF($B95="","",VLOOKUP($B95,'Conductor-Guarda-Azafata'!$B$8:$AN$271,4,FALSE))</f>
        <v/>
      </c>
      <c r="D95" s="77" t="str">
        <f>IF($B95="","",VLOOKUP($B95,'Conductor-Guarda-Azafata'!$B$8:$AN$271,5))</f>
        <v/>
      </c>
      <c r="E95" s="33"/>
      <c r="F95" s="12" t="str">
        <f>IF(E95="","",VLOOKUP(E95,Personal!$A$1:$F$501,2,FALSE))</f>
        <v/>
      </c>
      <c r="G95" s="4"/>
      <c r="H95" s="4"/>
      <c r="I95" s="4"/>
      <c r="J95" s="4"/>
      <c r="K95" s="4"/>
      <c r="L95" s="4"/>
      <c r="M95" s="64"/>
      <c r="N95" s="95"/>
      <c r="O95" s="4"/>
      <c r="P95" s="4"/>
      <c r="Q95" s="64"/>
    </row>
    <row r="96" spans="2:17" ht="20.100000000000001" customHeight="1" x14ac:dyDescent="0.25">
      <c r="B96" s="75" t="str">
        <f>IF('Conductor-Guarda-Azafata'!B96="","",'Conductor-Guarda-Azafata'!B96)</f>
        <v/>
      </c>
      <c r="C96" s="76" t="str">
        <f>IF($B96="","",VLOOKUP($B96,'Conductor-Guarda-Azafata'!$B$8:$AN$271,4,FALSE))</f>
        <v/>
      </c>
      <c r="D96" s="77" t="str">
        <f>IF($B96="","",VLOOKUP($B96,'Conductor-Guarda-Azafata'!$B$8:$AN$271,5))</f>
        <v/>
      </c>
      <c r="E96" s="33"/>
      <c r="F96" s="12" t="str">
        <f>IF(E96="","",VLOOKUP(E96,Personal!$A$1:$F$501,2,FALSE))</f>
        <v/>
      </c>
      <c r="G96" s="4"/>
      <c r="H96" s="4"/>
      <c r="I96" s="4"/>
      <c r="J96" s="4"/>
      <c r="K96" s="4"/>
      <c r="L96" s="4"/>
      <c r="M96" s="64"/>
      <c r="N96" s="95"/>
      <c r="O96" s="4"/>
      <c r="P96" s="4"/>
      <c r="Q96" s="64"/>
    </row>
    <row r="97" spans="2:17" ht="20.100000000000001" customHeight="1" x14ac:dyDescent="0.25">
      <c r="B97" s="75" t="str">
        <f>IF('Conductor-Guarda-Azafata'!B97="","",'Conductor-Guarda-Azafata'!B97)</f>
        <v/>
      </c>
      <c r="C97" s="76" t="str">
        <f>IF($B97="","",VLOOKUP($B97,'Conductor-Guarda-Azafata'!$B$8:$AN$271,4,FALSE))</f>
        <v/>
      </c>
      <c r="D97" s="77" t="str">
        <f>IF($B97="","",VLOOKUP($B97,'Conductor-Guarda-Azafata'!$B$8:$AN$271,5))</f>
        <v/>
      </c>
      <c r="E97" s="33"/>
      <c r="F97" s="12" t="str">
        <f>IF(E97="","",VLOOKUP(E97,Personal!$A$1:$F$501,2,FALSE))</f>
        <v/>
      </c>
      <c r="G97" s="4"/>
      <c r="H97" s="4"/>
      <c r="I97" s="4"/>
      <c r="J97" s="4"/>
      <c r="K97" s="4"/>
      <c r="L97" s="4"/>
      <c r="M97" s="64"/>
      <c r="N97" s="95"/>
      <c r="O97" s="4"/>
      <c r="P97" s="4"/>
      <c r="Q97" s="64"/>
    </row>
    <row r="98" spans="2:17" ht="20.100000000000001" customHeight="1" x14ac:dyDescent="0.25">
      <c r="B98" s="75" t="str">
        <f>IF('Conductor-Guarda-Azafata'!B98="","",'Conductor-Guarda-Azafata'!B98)</f>
        <v/>
      </c>
      <c r="C98" s="76" t="str">
        <f>IF($B98="","",VLOOKUP($B98,'Conductor-Guarda-Azafata'!$B$8:$AN$271,4,FALSE))</f>
        <v/>
      </c>
      <c r="D98" s="77" t="str">
        <f>IF($B98="","",VLOOKUP($B98,'Conductor-Guarda-Azafata'!$B$8:$AN$271,5))</f>
        <v/>
      </c>
      <c r="E98" s="33"/>
      <c r="F98" s="12" t="str">
        <f>IF(E98="","",VLOOKUP(E98,Personal!$A$1:$F$501,2,FALSE))</f>
        <v/>
      </c>
      <c r="G98" s="4"/>
      <c r="H98" s="4"/>
      <c r="I98" s="4"/>
      <c r="J98" s="4"/>
      <c r="K98" s="4"/>
      <c r="L98" s="4"/>
      <c r="M98" s="64"/>
      <c r="N98" s="95"/>
      <c r="O98" s="4"/>
      <c r="P98" s="4"/>
      <c r="Q98" s="64"/>
    </row>
    <row r="99" spans="2:17" ht="20.100000000000001" customHeight="1" x14ac:dyDescent="0.25">
      <c r="B99" s="75" t="str">
        <f>IF('Conductor-Guarda-Azafata'!B99="","",'Conductor-Guarda-Azafata'!B99)</f>
        <v/>
      </c>
      <c r="C99" s="76" t="str">
        <f>IF($B99="","",VLOOKUP($B99,'Conductor-Guarda-Azafata'!$B$8:$AN$271,4,FALSE))</f>
        <v/>
      </c>
      <c r="D99" s="77" t="str">
        <f>IF($B99="","",VLOOKUP($B99,'Conductor-Guarda-Azafata'!$B$8:$AN$271,5))</f>
        <v/>
      </c>
      <c r="E99" s="33"/>
      <c r="F99" s="12" t="str">
        <f>IF(E99="","",VLOOKUP(E99,Personal!$A$1:$F$501,2,FALSE))</f>
        <v/>
      </c>
      <c r="G99" s="4"/>
      <c r="H99" s="4"/>
      <c r="I99" s="4"/>
      <c r="J99" s="4"/>
      <c r="K99" s="4"/>
      <c r="L99" s="4"/>
      <c r="M99" s="64"/>
      <c r="N99" s="95"/>
      <c r="O99" s="4"/>
      <c r="P99" s="4"/>
      <c r="Q99" s="64"/>
    </row>
    <row r="100" spans="2:17" ht="20.100000000000001" customHeight="1" x14ac:dyDescent="0.25">
      <c r="B100" s="75" t="str">
        <f>IF('Conductor-Guarda-Azafata'!B100="","",'Conductor-Guarda-Azafata'!B100)</f>
        <v/>
      </c>
      <c r="C100" s="76" t="str">
        <f>IF($B100="","",VLOOKUP($B100,'Conductor-Guarda-Azafata'!$B$8:$AN$271,4,FALSE))</f>
        <v/>
      </c>
      <c r="D100" s="77" t="str">
        <f>IF($B100="","",VLOOKUP($B100,'Conductor-Guarda-Azafata'!$B$8:$AN$271,5))</f>
        <v/>
      </c>
      <c r="E100" s="33"/>
      <c r="F100" s="12" t="str">
        <f>IF(E100="","",VLOOKUP(E100,Personal!$A$1:$F$501,2,FALSE))</f>
        <v/>
      </c>
      <c r="G100" s="4"/>
      <c r="H100" s="4"/>
      <c r="I100" s="4"/>
      <c r="J100" s="4"/>
      <c r="K100" s="4"/>
      <c r="L100" s="4"/>
      <c r="M100" s="64"/>
      <c r="N100" s="95"/>
      <c r="O100" s="4"/>
      <c r="P100" s="4"/>
      <c r="Q100" s="64"/>
    </row>
    <row r="101" spans="2:17" ht="20.100000000000001" customHeight="1" x14ac:dyDescent="0.25">
      <c r="B101" s="75" t="str">
        <f>IF('Conductor-Guarda-Azafata'!B101="","",'Conductor-Guarda-Azafata'!B101)</f>
        <v/>
      </c>
      <c r="C101" s="76" t="str">
        <f>IF($B101="","",VLOOKUP($B101,'Conductor-Guarda-Azafata'!$B$8:$AN$271,4,FALSE))</f>
        <v/>
      </c>
      <c r="D101" s="77" t="str">
        <f>IF($B101="","",VLOOKUP($B101,'Conductor-Guarda-Azafata'!$B$8:$AN$271,5))</f>
        <v/>
      </c>
      <c r="E101" s="33"/>
      <c r="F101" s="12" t="str">
        <f>IF(E101="","",VLOOKUP(E101,Personal!$A$1:$F$501,2,FALSE))</f>
        <v/>
      </c>
      <c r="G101" s="4"/>
      <c r="H101" s="4"/>
      <c r="I101" s="4"/>
      <c r="J101" s="4"/>
      <c r="K101" s="4"/>
      <c r="L101" s="4"/>
      <c r="M101" s="64"/>
      <c r="N101" s="95"/>
      <c r="O101" s="4"/>
      <c r="P101" s="4"/>
      <c r="Q101" s="64"/>
    </row>
    <row r="102" spans="2:17" ht="20.100000000000001" customHeight="1" x14ac:dyDescent="0.25">
      <c r="B102" s="75" t="str">
        <f>IF('Conductor-Guarda-Azafata'!B102="","",'Conductor-Guarda-Azafata'!B102)</f>
        <v/>
      </c>
      <c r="C102" s="76" t="str">
        <f>IF($B102="","",VLOOKUP($B102,'Conductor-Guarda-Azafata'!$B$8:$AN$271,4,FALSE))</f>
        <v/>
      </c>
      <c r="D102" s="77" t="str">
        <f>IF($B102="","",VLOOKUP($B102,'Conductor-Guarda-Azafata'!$B$8:$AN$271,5))</f>
        <v/>
      </c>
      <c r="E102" s="33"/>
      <c r="F102" s="12" t="str">
        <f>IF(E102="","",VLOOKUP(E102,Personal!$A$1:$F$501,2,FALSE))</f>
        <v/>
      </c>
      <c r="G102" s="4"/>
      <c r="H102" s="4"/>
      <c r="I102" s="4"/>
      <c r="J102" s="4"/>
      <c r="K102" s="4"/>
      <c r="L102" s="4"/>
      <c r="M102" s="64"/>
      <c r="N102" s="95"/>
      <c r="O102" s="4"/>
      <c r="P102" s="4"/>
      <c r="Q102" s="64"/>
    </row>
    <row r="103" spans="2:17" ht="20.100000000000001" customHeight="1" x14ac:dyDescent="0.25">
      <c r="B103" s="75" t="str">
        <f>IF('Conductor-Guarda-Azafata'!B103="","",'Conductor-Guarda-Azafata'!B103)</f>
        <v/>
      </c>
      <c r="C103" s="76" t="str">
        <f>IF($B103="","",VLOOKUP($B103,'Conductor-Guarda-Azafata'!$B$8:$AN$271,4,FALSE))</f>
        <v/>
      </c>
      <c r="D103" s="77" t="str">
        <f>IF($B103="","",VLOOKUP($B103,'Conductor-Guarda-Azafata'!$B$8:$AN$271,5))</f>
        <v/>
      </c>
      <c r="E103" s="33"/>
      <c r="F103" s="12" t="str">
        <f>IF(E103="","",VLOOKUP(E103,Personal!$A$1:$F$501,2,FALSE))</f>
        <v/>
      </c>
      <c r="G103" s="4"/>
      <c r="H103" s="4"/>
      <c r="I103" s="4"/>
      <c r="J103" s="4"/>
      <c r="K103" s="4"/>
      <c r="L103" s="4"/>
      <c r="M103" s="64"/>
      <c r="N103" s="95"/>
      <c r="O103" s="4"/>
      <c r="P103" s="4"/>
      <c r="Q103" s="64"/>
    </row>
    <row r="104" spans="2:17" ht="20.100000000000001" customHeight="1" x14ac:dyDescent="0.25">
      <c r="B104" s="75" t="str">
        <f>IF('Conductor-Guarda-Azafata'!B104="","",'Conductor-Guarda-Azafata'!B104)</f>
        <v/>
      </c>
      <c r="C104" s="76" t="str">
        <f>IF($B104="","",VLOOKUP($B104,'Conductor-Guarda-Azafata'!$B$8:$AN$271,4,FALSE))</f>
        <v/>
      </c>
      <c r="D104" s="77" t="str">
        <f>IF($B104="","",VLOOKUP($B104,'Conductor-Guarda-Azafata'!$B$8:$AN$271,5))</f>
        <v/>
      </c>
      <c r="E104" s="33"/>
      <c r="F104" s="12" t="str">
        <f>IF(E104="","",VLOOKUP(E104,Personal!$A$1:$F$501,2,FALSE))</f>
        <v/>
      </c>
      <c r="G104" s="4"/>
      <c r="H104" s="4"/>
      <c r="I104" s="4"/>
      <c r="J104" s="4"/>
      <c r="K104" s="4"/>
      <c r="L104" s="4"/>
      <c r="M104" s="64"/>
      <c r="N104" s="95"/>
      <c r="O104" s="4"/>
      <c r="P104" s="4"/>
      <c r="Q104" s="64"/>
    </row>
    <row r="105" spans="2:17" ht="20.100000000000001" customHeight="1" x14ac:dyDescent="0.25">
      <c r="B105" s="75" t="str">
        <f>IF('Conductor-Guarda-Azafata'!B105="","",'Conductor-Guarda-Azafata'!B105)</f>
        <v/>
      </c>
      <c r="C105" s="76" t="str">
        <f>IF($B105="","",VLOOKUP($B105,'Conductor-Guarda-Azafata'!$B$8:$AN$271,4,FALSE))</f>
        <v/>
      </c>
      <c r="D105" s="77" t="str">
        <f>IF($B105="","",VLOOKUP($B105,'Conductor-Guarda-Azafata'!$B$8:$AN$271,5))</f>
        <v/>
      </c>
      <c r="E105" s="33"/>
      <c r="F105" s="12" t="str">
        <f>IF(E105="","",VLOOKUP(E105,Personal!$A$1:$F$501,2,FALSE))</f>
        <v/>
      </c>
      <c r="G105" s="4"/>
      <c r="H105" s="4"/>
      <c r="I105" s="4"/>
      <c r="J105" s="4"/>
      <c r="K105" s="4"/>
      <c r="L105" s="4"/>
      <c r="M105" s="64"/>
      <c r="N105" s="95"/>
      <c r="O105" s="4"/>
      <c r="P105" s="4"/>
      <c r="Q105" s="64"/>
    </row>
    <row r="106" spans="2:17" ht="20.100000000000001" customHeight="1" x14ac:dyDescent="0.25">
      <c r="B106" s="75" t="str">
        <f>IF('Conductor-Guarda-Azafata'!B106="","",'Conductor-Guarda-Azafata'!B106)</f>
        <v/>
      </c>
      <c r="C106" s="76" t="str">
        <f>IF($B106="","",VLOOKUP($B106,'Conductor-Guarda-Azafata'!$B$8:$AN$271,4,FALSE))</f>
        <v/>
      </c>
      <c r="D106" s="77" t="str">
        <f>IF($B106="","",VLOOKUP($B106,'Conductor-Guarda-Azafata'!$B$8:$AN$271,5))</f>
        <v/>
      </c>
      <c r="E106" s="33"/>
      <c r="F106" s="12" t="str">
        <f>IF(E106="","",VLOOKUP(E106,Personal!$A$1:$F$501,2,FALSE))</f>
        <v/>
      </c>
      <c r="G106" s="4"/>
      <c r="H106" s="4"/>
      <c r="I106" s="4"/>
      <c r="J106" s="4"/>
      <c r="K106" s="4"/>
      <c r="L106" s="4"/>
      <c r="M106" s="64"/>
      <c r="N106" s="95"/>
      <c r="O106" s="4"/>
      <c r="P106" s="4"/>
      <c r="Q106" s="64"/>
    </row>
    <row r="107" spans="2:17" ht="20.100000000000001" customHeight="1" x14ac:dyDescent="0.25">
      <c r="B107" s="75" t="str">
        <f>IF('Conductor-Guarda-Azafata'!B107="","",'Conductor-Guarda-Azafata'!B107)</f>
        <v/>
      </c>
      <c r="C107" s="76" t="str">
        <f>IF($B107="","",VLOOKUP($B107,'Conductor-Guarda-Azafata'!$B$8:$AN$271,4,FALSE))</f>
        <v/>
      </c>
      <c r="D107" s="77" t="str">
        <f>IF($B107="","",VLOOKUP($B107,'Conductor-Guarda-Azafata'!$B$8:$AN$271,5))</f>
        <v/>
      </c>
      <c r="E107" s="33"/>
      <c r="F107" s="12" t="str">
        <f>IF(E107="","",VLOOKUP(E107,Personal!$A$1:$F$501,2,FALSE))</f>
        <v/>
      </c>
      <c r="G107" s="4"/>
      <c r="H107" s="4"/>
      <c r="I107" s="4"/>
      <c r="J107" s="4"/>
      <c r="K107" s="4"/>
      <c r="L107" s="4"/>
      <c r="M107" s="64"/>
      <c r="N107" s="95"/>
      <c r="O107" s="4"/>
      <c r="P107" s="4"/>
      <c r="Q107" s="64"/>
    </row>
    <row r="108" spans="2:17" ht="20.100000000000001" customHeight="1" x14ac:dyDescent="0.25">
      <c r="B108" s="75" t="str">
        <f>IF('Conductor-Guarda-Azafata'!B108="","",'Conductor-Guarda-Azafata'!B108)</f>
        <v/>
      </c>
      <c r="C108" s="76" t="str">
        <f>IF($B108="","",VLOOKUP($B108,'Conductor-Guarda-Azafata'!$B$8:$AN$271,4,FALSE))</f>
        <v/>
      </c>
      <c r="D108" s="77" t="str">
        <f>IF($B108="","",VLOOKUP($B108,'Conductor-Guarda-Azafata'!$B$8:$AN$271,5))</f>
        <v/>
      </c>
      <c r="E108" s="33"/>
      <c r="F108" s="12" t="str">
        <f>IF(E108="","",VLOOKUP(E108,Personal!$A$1:$F$501,2,FALSE))</f>
        <v/>
      </c>
      <c r="G108" s="4"/>
      <c r="H108" s="4"/>
      <c r="I108" s="4"/>
      <c r="J108" s="4"/>
      <c r="K108" s="4"/>
      <c r="L108" s="4"/>
      <c r="M108" s="64"/>
      <c r="N108" s="95"/>
      <c r="O108" s="4"/>
      <c r="P108" s="4"/>
      <c r="Q108" s="64"/>
    </row>
    <row r="109" spans="2:17" ht="20.100000000000001" customHeight="1" x14ac:dyDescent="0.25">
      <c r="B109" s="75" t="str">
        <f>IF('Conductor-Guarda-Azafata'!B109="","",'Conductor-Guarda-Azafata'!B109)</f>
        <v/>
      </c>
      <c r="C109" s="76" t="str">
        <f>IF($B109="","",VLOOKUP($B109,'Conductor-Guarda-Azafata'!$B$8:$AN$271,4,FALSE))</f>
        <v/>
      </c>
      <c r="D109" s="77" t="str">
        <f>IF($B109="","",VLOOKUP($B109,'Conductor-Guarda-Azafata'!$B$8:$AN$271,5))</f>
        <v/>
      </c>
      <c r="E109" s="33"/>
      <c r="F109" s="12" t="str">
        <f>IF(E109="","",VLOOKUP(E109,Personal!$A$1:$F$501,2,FALSE))</f>
        <v/>
      </c>
      <c r="G109" s="4"/>
      <c r="H109" s="4"/>
      <c r="I109" s="4"/>
      <c r="J109" s="4"/>
      <c r="K109" s="4"/>
      <c r="L109" s="4"/>
      <c r="M109" s="64"/>
      <c r="N109" s="95"/>
      <c r="O109" s="4"/>
      <c r="P109" s="4"/>
      <c r="Q109" s="64"/>
    </row>
    <row r="110" spans="2:17" ht="20.100000000000001" customHeight="1" x14ac:dyDescent="0.25">
      <c r="B110" s="75" t="str">
        <f>IF('Conductor-Guarda-Azafata'!B110="","",'Conductor-Guarda-Azafata'!B110)</f>
        <v/>
      </c>
      <c r="C110" s="76" t="str">
        <f>IF($B110="","",VLOOKUP($B110,'Conductor-Guarda-Azafata'!$B$8:$AN$271,4,FALSE))</f>
        <v/>
      </c>
      <c r="D110" s="77" t="str">
        <f>IF($B110="","",VLOOKUP($B110,'Conductor-Guarda-Azafata'!$B$8:$AN$271,5))</f>
        <v/>
      </c>
      <c r="E110" s="33"/>
      <c r="F110" s="12" t="str">
        <f>IF(E110="","",VLOOKUP(E110,Personal!$A$1:$F$501,2,FALSE))</f>
        <v/>
      </c>
      <c r="G110" s="4"/>
      <c r="H110" s="4"/>
      <c r="I110" s="4"/>
      <c r="J110" s="4"/>
      <c r="K110" s="4"/>
      <c r="L110" s="4"/>
      <c r="M110" s="64"/>
      <c r="N110" s="95"/>
      <c r="O110" s="4"/>
      <c r="P110" s="4"/>
      <c r="Q110" s="64"/>
    </row>
    <row r="111" spans="2:17" ht="20.100000000000001" customHeight="1" x14ac:dyDescent="0.25">
      <c r="B111" s="75" t="str">
        <f>IF('Conductor-Guarda-Azafata'!B111="","",'Conductor-Guarda-Azafata'!B111)</f>
        <v/>
      </c>
      <c r="C111" s="76" t="str">
        <f>IF($B111="","",VLOOKUP($B111,'Conductor-Guarda-Azafata'!$B$8:$AN$271,4,FALSE))</f>
        <v/>
      </c>
      <c r="D111" s="77" t="str">
        <f>IF($B111="","",VLOOKUP($B111,'Conductor-Guarda-Azafata'!$B$8:$AN$271,5))</f>
        <v/>
      </c>
      <c r="E111" s="33"/>
      <c r="F111" s="12" t="str">
        <f>IF(E111="","",VLOOKUP(E111,Personal!$A$1:$F$501,2,FALSE))</f>
        <v/>
      </c>
      <c r="G111" s="4"/>
      <c r="H111" s="4"/>
      <c r="I111" s="4"/>
      <c r="J111" s="4"/>
      <c r="K111" s="4"/>
      <c r="L111" s="4"/>
      <c r="M111" s="64"/>
      <c r="N111" s="95"/>
      <c r="O111" s="4"/>
      <c r="P111" s="4"/>
      <c r="Q111" s="64"/>
    </row>
    <row r="112" spans="2:17" ht="20.100000000000001" customHeight="1" x14ac:dyDescent="0.25">
      <c r="B112" s="75" t="str">
        <f>IF('Conductor-Guarda-Azafata'!B112="","",'Conductor-Guarda-Azafata'!B112)</f>
        <v/>
      </c>
      <c r="C112" s="76" t="str">
        <f>IF($B112="","",VLOOKUP($B112,'Conductor-Guarda-Azafata'!$B$8:$AN$271,4,FALSE))</f>
        <v/>
      </c>
      <c r="D112" s="77" t="str">
        <f>IF($B112="","",VLOOKUP($B112,'Conductor-Guarda-Azafata'!$B$8:$AN$271,5))</f>
        <v/>
      </c>
      <c r="E112" s="33"/>
      <c r="F112" s="12" t="str">
        <f>IF(E112="","",VLOOKUP(E112,Personal!$A$1:$F$501,2,FALSE))</f>
        <v/>
      </c>
      <c r="G112" s="4"/>
      <c r="H112" s="4"/>
      <c r="I112" s="4"/>
      <c r="J112" s="4"/>
      <c r="K112" s="4"/>
      <c r="L112" s="4"/>
      <c r="M112" s="64"/>
      <c r="N112" s="95"/>
      <c r="O112" s="4"/>
      <c r="P112" s="4"/>
      <c r="Q112" s="64"/>
    </row>
    <row r="113" spans="2:17" ht="20.100000000000001" customHeight="1" x14ac:dyDescent="0.25">
      <c r="B113" s="75" t="str">
        <f>IF('Conductor-Guarda-Azafata'!B113="","",'Conductor-Guarda-Azafata'!B113)</f>
        <v/>
      </c>
      <c r="C113" s="76" t="str">
        <f>IF($B113="","",VLOOKUP($B113,'Conductor-Guarda-Azafata'!$B$8:$AN$271,4,FALSE))</f>
        <v/>
      </c>
      <c r="D113" s="77" t="str">
        <f>IF($B113="","",VLOOKUP($B113,'Conductor-Guarda-Azafata'!$B$8:$AN$271,5))</f>
        <v/>
      </c>
      <c r="E113" s="33"/>
      <c r="F113" s="12" t="str">
        <f>IF(E113="","",VLOOKUP(E113,Personal!$A$1:$F$501,2,FALSE))</f>
        <v/>
      </c>
      <c r="G113" s="4"/>
      <c r="H113" s="4"/>
      <c r="I113" s="4"/>
      <c r="J113" s="4"/>
      <c r="K113" s="4"/>
      <c r="L113" s="4"/>
      <c r="M113" s="64"/>
      <c r="N113" s="95"/>
      <c r="O113" s="4"/>
      <c r="P113" s="4"/>
      <c r="Q113" s="64"/>
    </row>
    <row r="114" spans="2:17" ht="20.100000000000001" customHeight="1" x14ac:dyDescent="0.25">
      <c r="B114" s="75" t="str">
        <f>IF('Conductor-Guarda-Azafata'!B114="","",'Conductor-Guarda-Azafata'!B114)</f>
        <v/>
      </c>
      <c r="C114" s="76" t="str">
        <f>IF($B114="","",VLOOKUP($B114,'Conductor-Guarda-Azafata'!$B$8:$AN$271,4,FALSE))</f>
        <v/>
      </c>
      <c r="D114" s="77" t="str">
        <f>IF($B114="","",VLOOKUP($B114,'Conductor-Guarda-Azafata'!$B$8:$AN$271,5))</f>
        <v/>
      </c>
      <c r="E114" s="33"/>
      <c r="F114" s="12" t="str">
        <f>IF(E114="","",VLOOKUP(E114,Personal!$A$1:$F$501,2,FALSE))</f>
        <v/>
      </c>
      <c r="G114" s="4"/>
      <c r="H114" s="4"/>
      <c r="I114" s="4"/>
      <c r="J114" s="4"/>
      <c r="K114" s="4"/>
      <c r="L114" s="4"/>
      <c r="M114" s="64"/>
      <c r="N114" s="95"/>
      <c r="O114" s="4"/>
      <c r="P114" s="4"/>
      <c r="Q114" s="64"/>
    </row>
    <row r="115" spans="2:17" ht="20.100000000000001" customHeight="1" x14ac:dyDescent="0.25">
      <c r="B115" s="75" t="str">
        <f>IF('Conductor-Guarda-Azafata'!B115="","",'Conductor-Guarda-Azafata'!B115)</f>
        <v/>
      </c>
      <c r="C115" s="76" t="str">
        <f>IF($B115="","",VLOOKUP($B115,'Conductor-Guarda-Azafata'!$B$8:$AN$271,4,FALSE))</f>
        <v/>
      </c>
      <c r="D115" s="77" t="str">
        <f>IF($B115="","",VLOOKUP($B115,'Conductor-Guarda-Azafata'!$B$8:$AN$271,5))</f>
        <v/>
      </c>
      <c r="E115" s="33"/>
      <c r="F115" s="12" t="str">
        <f>IF(E115="","",VLOOKUP(E115,Personal!$A$1:$F$501,2,FALSE))</f>
        <v/>
      </c>
      <c r="G115" s="4"/>
      <c r="H115" s="4"/>
      <c r="I115" s="4"/>
      <c r="J115" s="4"/>
      <c r="K115" s="4"/>
      <c r="L115" s="4"/>
      <c r="M115" s="64"/>
      <c r="N115" s="95"/>
      <c r="O115" s="4"/>
      <c r="P115" s="4"/>
      <c r="Q115" s="64"/>
    </row>
    <row r="116" spans="2:17" ht="20.100000000000001" customHeight="1" x14ac:dyDescent="0.25">
      <c r="B116" s="75" t="str">
        <f>IF('Conductor-Guarda-Azafata'!B116="","",'Conductor-Guarda-Azafata'!B116)</f>
        <v/>
      </c>
      <c r="C116" s="76" t="str">
        <f>IF($B116="","",VLOOKUP($B116,'Conductor-Guarda-Azafata'!$B$8:$AN$271,4,FALSE))</f>
        <v/>
      </c>
      <c r="D116" s="77" t="str">
        <f>IF($B116="","",VLOOKUP($B116,'Conductor-Guarda-Azafata'!$B$8:$AN$271,5))</f>
        <v/>
      </c>
      <c r="E116" s="33"/>
      <c r="F116" s="12" t="str">
        <f>IF(E116="","",VLOOKUP(E116,Personal!$A$1:$F$501,2,FALSE))</f>
        <v/>
      </c>
      <c r="G116" s="4"/>
      <c r="H116" s="4"/>
      <c r="I116" s="4"/>
      <c r="J116" s="4"/>
      <c r="K116" s="4"/>
      <c r="L116" s="4"/>
      <c r="M116" s="64"/>
      <c r="N116" s="95"/>
      <c r="O116" s="4"/>
      <c r="P116" s="4"/>
      <c r="Q116" s="64"/>
    </row>
    <row r="117" spans="2:17" ht="20.100000000000001" customHeight="1" x14ac:dyDescent="0.25">
      <c r="B117" s="75" t="str">
        <f>IF('Conductor-Guarda-Azafata'!B117="","",'Conductor-Guarda-Azafata'!B117)</f>
        <v/>
      </c>
      <c r="C117" s="76" t="str">
        <f>IF($B117="","",VLOOKUP($B117,'Conductor-Guarda-Azafata'!$B$8:$AN$271,4,FALSE))</f>
        <v/>
      </c>
      <c r="D117" s="77" t="str">
        <f>IF($B117="","",VLOOKUP($B117,'Conductor-Guarda-Azafata'!$B$8:$AN$271,5))</f>
        <v/>
      </c>
      <c r="E117" s="33"/>
      <c r="F117" s="12" t="str">
        <f>IF(E117="","",VLOOKUP(E117,Personal!$A$1:$F$501,2,FALSE))</f>
        <v/>
      </c>
      <c r="G117" s="4"/>
      <c r="H117" s="4"/>
      <c r="I117" s="4"/>
      <c r="J117" s="4"/>
      <c r="K117" s="4"/>
      <c r="L117" s="4"/>
      <c r="M117" s="64"/>
      <c r="N117" s="95"/>
      <c r="O117" s="4"/>
      <c r="P117" s="4"/>
      <c r="Q117" s="64"/>
    </row>
    <row r="118" spans="2:17" ht="20.100000000000001" customHeight="1" x14ac:dyDescent="0.25">
      <c r="B118" s="75" t="str">
        <f>IF('Conductor-Guarda-Azafata'!B118="","",'Conductor-Guarda-Azafata'!B118)</f>
        <v/>
      </c>
      <c r="C118" s="76" t="str">
        <f>IF($B118="","",VLOOKUP($B118,'Conductor-Guarda-Azafata'!$B$8:$AN$271,4,FALSE))</f>
        <v/>
      </c>
      <c r="D118" s="77" t="str">
        <f>IF($B118="","",VLOOKUP($B118,'Conductor-Guarda-Azafata'!$B$8:$AN$271,5))</f>
        <v/>
      </c>
      <c r="E118" s="33"/>
      <c r="F118" s="12" t="str">
        <f>IF(E118="","",VLOOKUP(E118,Personal!$A$1:$F$501,2,FALSE))</f>
        <v/>
      </c>
      <c r="G118" s="4"/>
      <c r="H118" s="4"/>
      <c r="I118" s="4"/>
      <c r="J118" s="4"/>
      <c r="K118" s="4"/>
      <c r="L118" s="4"/>
      <c r="M118" s="64"/>
      <c r="N118" s="95"/>
      <c r="O118" s="4"/>
      <c r="P118" s="4"/>
      <c r="Q118" s="64"/>
    </row>
    <row r="119" spans="2:17" ht="20.100000000000001" customHeight="1" x14ac:dyDescent="0.25">
      <c r="B119" s="75" t="str">
        <f>IF('Conductor-Guarda-Azafata'!B119="","",'Conductor-Guarda-Azafata'!B119)</f>
        <v/>
      </c>
      <c r="C119" s="76" t="str">
        <f>IF($B119="","",VLOOKUP($B119,'Conductor-Guarda-Azafata'!$B$8:$AN$271,4,FALSE))</f>
        <v/>
      </c>
      <c r="D119" s="77" t="str">
        <f>IF($B119="","",VLOOKUP($B119,'Conductor-Guarda-Azafata'!$B$8:$AN$271,5))</f>
        <v/>
      </c>
      <c r="E119" s="33"/>
      <c r="F119" s="12" t="str">
        <f>IF(E119="","",VLOOKUP(E119,Personal!$A$1:$F$501,2,FALSE))</f>
        <v/>
      </c>
      <c r="G119" s="4"/>
      <c r="H119" s="4"/>
      <c r="I119" s="4"/>
      <c r="J119" s="4"/>
      <c r="K119" s="4"/>
      <c r="L119" s="4"/>
      <c r="M119" s="64"/>
      <c r="N119" s="95"/>
      <c r="O119" s="4"/>
      <c r="P119" s="4"/>
      <c r="Q119" s="64"/>
    </row>
    <row r="120" spans="2:17" ht="20.100000000000001" customHeight="1" x14ac:dyDescent="0.25">
      <c r="B120" s="75" t="str">
        <f>IF('Conductor-Guarda-Azafata'!B120="","",'Conductor-Guarda-Azafata'!B120)</f>
        <v/>
      </c>
      <c r="C120" s="76" t="str">
        <f>IF($B120="","",VLOOKUP($B120,'Conductor-Guarda-Azafata'!$B$8:$AN$271,4,FALSE))</f>
        <v/>
      </c>
      <c r="D120" s="77" t="str">
        <f>IF($B120="","",VLOOKUP($B120,'Conductor-Guarda-Azafata'!$B$8:$AN$271,5))</f>
        <v/>
      </c>
      <c r="E120" s="33"/>
      <c r="F120" s="12" t="str">
        <f>IF(E120="","",VLOOKUP(E120,Personal!$A$1:$F$501,2,FALSE))</f>
        <v/>
      </c>
      <c r="G120" s="4"/>
      <c r="H120" s="4"/>
      <c r="I120" s="4"/>
      <c r="J120" s="4"/>
      <c r="K120" s="4"/>
      <c r="L120" s="4"/>
      <c r="M120" s="64"/>
      <c r="N120" s="95"/>
      <c r="O120" s="4"/>
      <c r="P120" s="4"/>
      <c r="Q120" s="64"/>
    </row>
    <row r="121" spans="2:17" ht="20.100000000000001" customHeight="1" x14ac:dyDescent="0.25">
      <c r="B121" s="75" t="str">
        <f>IF('Conductor-Guarda-Azafata'!B121="","",'Conductor-Guarda-Azafata'!B121)</f>
        <v/>
      </c>
      <c r="C121" s="76" t="str">
        <f>IF($B121="","",VLOOKUP($B121,'Conductor-Guarda-Azafata'!$B$8:$AN$271,4,FALSE))</f>
        <v/>
      </c>
      <c r="D121" s="77" t="str">
        <f>IF($B121="","",VLOOKUP($B121,'Conductor-Guarda-Azafata'!$B$8:$AN$271,5))</f>
        <v/>
      </c>
      <c r="E121" s="33"/>
      <c r="F121" s="12" t="str">
        <f>IF(E121="","",VLOOKUP(E121,Personal!$A$1:$F$501,2,FALSE))</f>
        <v/>
      </c>
      <c r="G121" s="4"/>
      <c r="H121" s="4"/>
      <c r="I121" s="4"/>
      <c r="J121" s="4"/>
      <c r="K121" s="4"/>
      <c r="L121" s="4"/>
      <c r="M121" s="64"/>
      <c r="N121" s="95"/>
      <c r="O121" s="4"/>
      <c r="P121" s="4"/>
      <c r="Q121" s="64"/>
    </row>
    <row r="122" spans="2:17" ht="20.100000000000001" customHeight="1" x14ac:dyDescent="0.25">
      <c r="B122" s="75" t="str">
        <f>IF('Conductor-Guarda-Azafata'!B122="","",'Conductor-Guarda-Azafata'!B122)</f>
        <v/>
      </c>
      <c r="C122" s="76" t="str">
        <f>IF($B122="","",VLOOKUP($B122,'Conductor-Guarda-Azafata'!$B$8:$AN$271,4,FALSE))</f>
        <v/>
      </c>
      <c r="D122" s="77" t="str">
        <f>IF($B122="","",VLOOKUP($B122,'Conductor-Guarda-Azafata'!$B$8:$AN$271,5))</f>
        <v/>
      </c>
      <c r="E122" s="33"/>
      <c r="F122" s="12" t="str">
        <f>IF(E122="","",VLOOKUP(E122,Personal!$A$1:$F$501,2,FALSE))</f>
        <v/>
      </c>
      <c r="G122" s="4"/>
      <c r="H122" s="4"/>
      <c r="I122" s="4"/>
      <c r="J122" s="4"/>
      <c r="K122" s="4"/>
      <c r="L122" s="4"/>
      <c r="M122" s="64"/>
      <c r="N122" s="95"/>
      <c r="O122" s="4"/>
      <c r="P122" s="4"/>
      <c r="Q122" s="64"/>
    </row>
    <row r="123" spans="2:17" ht="20.100000000000001" customHeight="1" x14ac:dyDescent="0.25">
      <c r="B123" s="75" t="str">
        <f>IF('Conductor-Guarda-Azafata'!B123="","",'Conductor-Guarda-Azafata'!B123)</f>
        <v/>
      </c>
      <c r="C123" s="76" t="str">
        <f>IF($B123="","",VLOOKUP($B123,'Conductor-Guarda-Azafata'!$B$8:$AN$271,4,FALSE))</f>
        <v/>
      </c>
      <c r="D123" s="77" t="str">
        <f>IF($B123="","",VLOOKUP($B123,'Conductor-Guarda-Azafata'!$B$8:$AN$271,5))</f>
        <v/>
      </c>
      <c r="E123" s="33"/>
      <c r="F123" s="12" t="str">
        <f>IF(E123="","",VLOOKUP(E123,Personal!$A$1:$F$501,2,FALSE))</f>
        <v/>
      </c>
      <c r="G123" s="4"/>
      <c r="H123" s="4"/>
      <c r="I123" s="4"/>
      <c r="J123" s="4"/>
      <c r="K123" s="4"/>
      <c r="L123" s="4"/>
      <c r="M123" s="64"/>
      <c r="N123" s="95"/>
      <c r="O123" s="4"/>
      <c r="P123" s="4"/>
      <c r="Q123" s="64"/>
    </row>
    <row r="124" spans="2:17" ht="20.100000000000001" customHeight="1" x14ac:dyDescent="0.25">
      <c r="B124" s="75" t="str">
        <f>IF('Conductor-Guarda-Azafata'!B124="","",'Conductor-Guarda-Azafata'!B124)</f>
        <v/>
      </c>
      <c r="C124" s="76" t="str">
        <f>IF($B124="","",VLOOKUP($B124,'Conductor-Guarda-Azafata'!$B$8:$AN$271,4,FALSE))</f>
        <v/>
      </c>
      <c r="D124" s="77" t="str">
        <f>IF($B124="","",VLOOKUP($B124,'Conductor-Guarda-Azafata'!$B$8:$AN$271,5))</f>
        <v/>
      </c>
      <c r="E124" s="33"/>
      <c r="F124" s="12" t="str">
        <f>IF(E124="","",VLOOKUP(E124,Personal!$A$1:$F$501,2,FALSE))</f>
        <v/>
      </c>
      <c r="G124" s="4"/>
      <c r="H124" s="4"/>
      <c r="I124" s="4"/>
      <c r="J124" s="4"/>
      <c r="K124" s="4"/>
      <c r="L124" s="4"/>
      <c r="M124" s="64"/>
      <c r="N124" s="95"/>
      <c r="O124" s="4"/>
      <c r="P124" s="4"/>
      <c r="Q124" s="64"/>
    </row>
    <row r="125" spans="2:17" ht="20.100000000000001" customHeight="1" x14ac:dyDescent="0.25">
      <c r="B125" s="75" t="str">
        <f>IF('Conductor-Guarda-Azafata'!B125="","",'Conductor-Guarda-Azafata'!B125)</f>
        <v/>
      </c>
      <c r="C125" s="76" t="str">
        <f>IF($B125="","",VLOOKUP($B125,'Conductor-Guarda-Azafata'!$B$8:$AN$271,4,FALSE))</f>
        <v/>
      </c>
      <c r="D125" s="77" t="str">
        <f>IF($B125="","",VLOOKUP($B125,'Conductor-Guarda-Azafata'!$B$8:$AN$271,5))</f>
        <v/>
      </c>
      <c r="E125" s="33"/>
      <c r="F125" s="12" t="str">
        <f>IF(E125="","",VLOOKUP(E125,Personal!$A$1:$F$501,2,FALSE))</f>
        <v/>
      </c>
      <c r="G125" s="4"/>
      <c r="H125" s="4"/>
      <c r="I125" s="4"/>
      <c r="J125" s="4"/>
      <c r="K125" s="4"/>
      <c r="L125" s="4"/>
      <c r="M125" s="64"/>
      <c r="N125" s="95"/>
      <c r="O125" s="4"/>
      <c r="P125" s="4"/>
      <c r="Q125" s="64"/>
    </row>
    <row r="126" spans="2:17" ht="20.100000000000001" customHeight="1" x14ac:dyDescent="0.25">
      <c r="B126" s="75" t="str">
        <f>IF('Conductor-Guarda-Azafata'!B126="","",'Conductor-Guarda-Azafata'!B126)</f>
        <v/>
      </c>
      <c r="C126" s="76" t="str">
        <f>IF($B126="","",VLOOKUP($B126,'Conductor-Guarda-Azafata'!$B$8:$AN$271,4,FALSE))</f>
        <v/>
      </c>
      <c r="D126" s="77" t="str">
        <f>IF($B126="","",VLOOKUP($B126,'Conductor-Guarda-Azafata'!$B$8:$AN$271,5))</f>
        <v/>
      </c>
      <c r="E126" s="33"/>
      <c r="F126" s="12" t="str">
        <f>IF(E126="","",VLOOKUP(E126,Personal!$A$1:$F$501,2,FALSE))</f>
        <v/>
      </c>
      <c r="G126" s="4"/>
      <c r="H126" s="4"/>
      <c r="I126" s="4"/>
      <c r="J126" s="4"/>
      <c r="K126" s="4"/>
      <c r="L126" s="4"/>
      <c r="M126" s="64"/>
      <c r="N126" s="95"/>
      <c r="O126" s="4"/>
      <c r="P126" s="4"/>
      <c r="Q126" s="64"/>
    </row>
    <row r="127" spans="2:17" ht="20.100000000000001" customHeight="1" x14ac:dyDescent="0.25">
      <c r="B127" s="75" t="str">
        <f>IF('Conductor-Guarda-Azafata'!B127="","",'Conductor-Guarda-Azafata'!B127)</f>
        <v/>
      </c>
      <c r="C127" s="76" t="str">
        <f>IF($B127="","",VLOOKUP($B127,'Conductor-Guarda-Azafata'!$B$8:$AN$271,4,FALSE))</f>
        <v/>
      </c>
      <c r="D127" s="77" t="str">
        <f>IF($B127="","",VLOOKUP($B127,'Conductor-Guarda-Azafata'!$B$8:$AN$271,5))</f>
        <v/>
      </c>
      <c r="E127" s="33"/>
      <c r="F127" s="12" t="str">
        <f>IF(E127="","",VLOOKUP(E127,Personal!$A$1:$F$501,2,FALSE))</f>
        <v/>
      </c>
      <c r="G127" s="4"/>
      <c r="H127" s="4"/>
      <c r="I127" s="4"/>
      <c r="J127" s="4"/>
      <c r="K127" s="4"/>
      <c r="L127" s="4"/>
      <c r="M127" s="64"/>
      <c r="N127" s="95"/>
      <c r="O127" s="4"/>
      <c r="P127" s="4"/>
      <c r="Q127" s="64"/>
    </row>
    <row r="128" spans="2:17" ht="20.100000000000001" customHeight="1" x14ac:dyDescent="0.25">
      <c r="B128" s="75" t="str">
        <f>IF('Conductor-Guarda-Azafata'!B128="","",'Conductor-Guarda-Azafata'!B128)</f>
        <v/>
      </c>
      <c r="C128" s="76" t="str">
        <f>IF($B128="","",VLOOKUP($B128,'Conductor-Guarda-Azafata'!$B$8:$AN$271,4,FALSE))</f>
        <v/>
      </c>
      <c r="D128" s="77" t="str">
        <f>IF($B128="","",VLOOKUP($B128,'Conductor-Guarda-Azafata'!$B$8:$AN$271,5))</f>
        <v/>
      </c>
      <c r="E128" s="33"/>
      <c r="F128" s="12" t="str">
        <f>IF(E128="","",VLOOKUP(E128,Personal!$A$1:$F$501,2,FALSE))</f>
        <v/>
      </c>
      <c r="G128" s="4"/>
      <c r="H128" s="4"/>
      <c r="I128" s="4"/>
      <c r="J128" s="4"/>
      <c r="K128" s="4"/>
      <c r="L128" s="4"/>
      <c r="M128" s="64"/>
      <c r="N128" s="95"/>
      <c r="O128" s="4"/>
      <c r="P128" s="4"/>
      <c r="Q128" s="64"/>
    </row>
    <row r="129" spans="2:17" ht="20.100000000000001" customHeight="1" x14ac:dyDescent="0.25">
      <c r="B129" s="75" t="str">
        <f>IF('Conductor-Guarda-Azafata'!B129="","",'Conductor-Guarda-Azafata'!B129)</f>
        <v/>
      </c>
      <c r="C129" s="76" t="str">
        <f>IF($B129="","",VLOOKUP($B129,'Conductor-Guarda-Azafata'!$B$8:$AN$271,4,FALSE))</f>
        <v/>
      </c>
      <c r="D129" s="77" t="str">
        <f>IF($B129="","",VLOOKUP($B129,'Conductor-Guarda-Azafata'!$B$8:$AN$271,5))</f>
        <v/>
      </c>
      <c r="E129" s="33"/>
      <c r="F129" s="12" t="str">
        <f>IF(E129="","",VLOOKUP(E129,Personal!$A$1:$F$501,2,FALSE))</f>
        <v/>
      </c>
      <c r="G129" s="4"/>
      <c r="H129" s="4"/>
      <c r="I129" s="4"/>
      <c r="J129" s="4"/>
      <c r="K129" s="4"/>
      <c r="L129" s="4"/>
      <c r="M129" s="64"/>
      <c r="N129" s="95"/>
      <c r="O129" s="4"/>
      <c r="P129" s="4"/>
      <c r="Q129" s="64"/>
    </row>
    <row r="130" spans="2:17" ht="20.100000000000001" customHeight="1" x14ac:dyDescent="0.25">
      <c r="B130" s="75" t="str">
        <f>IF('Conductor-Guarda-Azafata'!B130="","",'Conductor-Guarda-Azafata'!B130)</f>
        <v/>
      </c>
      <c r="C130" s="76" t="str">
        <f>IF($B130="","",VLOOKUP($B130,'Conductor-Guarda-Azafata'!$B$8:$AN$271,4,FALSE))</f>
        <v/>
      </c>
      <c r="D130" s="77" t="str">
        <f>IF($B130="","",VLOOKUP($B130,'Conductor-Guarda-Azafata'!$B$8:$AN$271,5))</f>
        <v/>
      </c>
      <c r="E130" s="33"/>
      <c r="F130" s="12" t="str">
        <f>IF(E130="","",VLOOKUP(E130,Personal!$A$1:$F$501,2,FALSE))</f>
        <v/>
      </c>
      <c r="G130" s="4"/>
      <c r="H130" s="4"/>
      <c r="I130" s="4"/>
      <c r="J130" s="4"/>
      <c r="K130" s="4"/>
      <c r="L130" s="4"/>
      <c r="M130" s="64"/>
      <c r="N130" s="95"/>
      <c r="O130" s="4"/>
      <c r="P130" s="4"/>
      <c r="Q130" s="64"/>
    </row>
    <row r="131" spans="2:17" ht="20.100000000000001" customHeight="1" x14ac:dyDescent="0.25">
      <c r="B131" s="75" t="str">
        <f>IF('Conductor-Guarda-Azafata'!B131="","",'Conductor-Guarda-Azafata'!B131)</f>
        <v/>
      </c>
      <c r="C131" s="76" t="str">
        <f>IF($B131="","",VLOOKUP($B131,'Conductor-Guarda-Azafata'!$B$8:$AN$271,4,FALSE))</f>
        <v/>
      </c>
      <c r="D131" s="77" t="str">
        <f>IF($B131="","",VLOOKUP($B131,'Conductor-Guarda-Azafata'!$B$8:$AN$271,5))</f>
        <v/>
      </c>
      <c r="E131" s="33"/>
      <c r="F131" s="12" t="str">
        <f>IF(E131="","",VLOOKUP(E131,Personal!$A$1:$F$501,2,FALSE))</f>
        <v/>
      </c>
      <c r="G131" s="4"/>
      <c r="H131" s="4"/>
      <c r="I131" s="4"/>
      <c r="J131" s="4"/>
      <c r="K131" s="4"/>
      <c r="L131" s="4"/>
      <c r="M131" s="64"/>
      <c r="N131" s="95"/>
      <c r="O131" s="4"/>
      <c r="P131" s="4"/>
      <c r="Q131" s="64"/>
    </row>
    <row r="132" spans="2:17" ht="20.100000000000001" customHeight="1" x14ac:dyDescent="0.25">
      <c r="B132" s="75" t="str">
        <f>IF('Conductor-Guarda-Azafata'!B132="","",'Conductor-Guarda-Azafata'!B132)</f>
        <v/>
      </c>
      <c r="C132" s="76" t="str">
        <f>IF($B132="","",VLOOKUP($B132,'Conductor-Guarda-Azafata'!$B$8:$AN$271,4,FALSE))</f>
        <v/>
      </c>
      <c r="D132" s="77" t="str">
        <f>IF($B132="","",VLOOKUP($B132,'Conductor-Guarda-Azafata'!$B$8:$AN$271,5))</f>
        <v/>
      </c>
      <c r="E132" s="33"/>
      <c r="F132" s="12" t="str">
        <f>IF(E132="","",VLOOKUP(E132,Personal!$A$1:$F$501,2,FALSE))</f>
        <v/>
      </c>
      <c r="G132" s="4"/>
      <c r="H132" s="4"/>
      <c r="I132" s="4"/>
      <c r="J132" s="4"/>
      <c r="K132" s="4"/>
      <c r="L132" s="4"/>
      <c r="M132" s="64"/>
      <c r="N132" s="95"/>
      <c r="O132" s="4"/>
      <c r="P132" s="4"/>
      <c r="Q132" s="64"/>
    </row>
    <row r="133" spans="2:17" ht="20.100000000000001" customHeight="1" x14ac:dyDescent="0.25">
      <c r="B133" s="75" t="str">
        <f>IF('Conductor-Guarda-Azafata'!B133="","",'Conductor-Guarda-Azafata'!B133)</f>
        <v/>
      </c>
      <c r="C133" s="76" t="str">
        <f>IF($B133="","",VLOOKUP($B133,'Conductor-Guarda-Azafata'!$B$8:$AN$271,4,FALSE))</f>
        <v/>
      </c>
      <c r="D133" s="77" t="str">
        <f>IF($B133="","",VLOOKUP($B133,'Conductor-Guarda-Azafata'!$B$8:$AN$271,5))</f>
        <v/>
      </c>
      <c r="E133" s="33"/>
      <c r="F133" s="12" t="str">
        <f>IF(E133="","",VLOOKUP(E133,Personal!$A$1:$F$501,2,FALSE))</f>
        <v/>
      </c>
      <c r="G133" s="4"/>
      <c r="H133" s="4"/>
      <c r="I133" s="4"/>
      <c r="J133" s="4"/>
      <c r="K133" s="4"/>
      <c r="L133" s="4"/>
      <c r="M133" s="64"/>
      <c r="N133" s="95"/>
      <c r="O133" s="4"/>
      <c r="P133" s="4"/>
      <c r="Q133" s="64"/>
    </row>
    <row r="134" spans="2:17" ht="20.100000000000001" customHeight="1" x14ac:dyDescent="0.25">
      <c r="B134" s="75" t="str">
        <f>IF('Conductor-Guarda-Azafata'!B134="","",'Conductor-Guarda-Azafata'!B134)</f>
        <v/>
      </c>
      <c r="C134" s="76" t="str">
        <f>IF($B134="","",VLOOKUP($B134,'Conductor-Guarda-Azafata'!$B$8:$AN$271,4,FALSE))</f>
        <v/>
      </c>
      <c r="D134" s="77" t="str">
        <f>IF($B134="","",VLOOKUP($B134,'Conductor-Guarda-Azafata'!$B$8:$AN$271,5))</f>
        <v/>
      </c>
      <c r="E134" s="33"/>
      <c r="F134" s="12" t="str">
        <f>IF(E134="","",VLOOKUP(E134,Personal!$A$1:$F$501,2,FALSE))</f>
        <v/>
      </c>
      <c r="G134" s="4"/>
      <c r="H134" s="4"/>
      <c r="I134" s="4"/>
      <c r="J134" s="4"/>
      <c r="K134" s="4"/>
      <c r="L134" s="4"/>
      <c r="M134" s="64"/>
      <c r="N134" s="95"/>
      <c r="O134" s="4"/>
      <c r="P134" s="4"/>
      <c r="Q134" s="64"/>
    </row>
    <row r="135" spans="2:17" ht="20.100000000000001" customHeight="1" x14ac:dyDescent="0.25">
      <c r="B135" s="75" t="str">
        <f>IF('Conductor-Guarda-Azafata'!B135="","",'Conductor-Guarda-Azafata'!B135)</f>
        <v/>
      </c>
      <c r="C135" s="76" t="str">
        <f>IF($B135="","",VLOOKUP($B135,'Conductor-Guarda-Azafata'!$B$8:$AN$271,4,FALSE))</f>
        <v/>
      </c>
      <c r="D135" s="77" t="str">
        <f>IF($B135="","",VLOOKUP($B135,'Conductor-Guarda-Azafata'!$B$8:$AN$271,5))</f>
        <v/>
      </c>
      <c r="E135" s="33"/>
      <c r="F135" s="12" t="str">
        <f>IF(E135="","",VLOOKUP(E135,Personal!$A$1:$F$501,2,FALSE))</f>
        <v/>
      </c>
      <c r="G135" s="4"/>
      <c r="H135" s="4"/>
      <c r="I135" s="4"/>
      <c r="J135" s="4"/>
      <c r="K135" s="4"/>
      <c r="L135" s="4"/>
      <c r="M135" s="64"/>
      <c r="N135" s="95"/>
      <c r="O135" s="4"/>
      <c r="P135" s="4"/>
      <c r="Q135" s="64"/>
    </row>
    <row r="136" spans="2:17" ht="20.100000000000001" customHeight="1" x14ac:dyDescent="0.25">
      <c r="B136" s="75" t="str">
        <f>IF('Conductor-Guarda-Azafata'!B136="","",'Conductor-Guarda-Azafata'!B136)</f>
        <v/>
      </c>
      <c r="C136" s="76" t="str">
        <f>IF($B136="","",VLOOKUP($B136,'Conductor-Guarda-Azafata'!$B$8:$AN$271,4,FALSE))</f>
        <v/>
      </c>
      <c r="D136" s="77" t="str">
        <f>IF($B136="","",VLOOKUP($B136,'Conductor-Guarda-Azafata'!$B$8:$AN$271,5))</f>
        <v/>
      </c>
      <c r="E136" s="33"/>
      <c r="F136" s="12" t="str">
        <f>IF(E136="","",VLOOKUP(E136,Personal!$A$1:$F$501,2,FALSE))</f>
        <v/>
      </c>
      <c r="G136" s="4"/>
      <c r="H136" s="4"/>
      <c r="I136" s="4"/>
      <c r="J136" s="4"/>
      <c r="K136" s="4"/>
      <c r="L136" s="4"/>
      <c r="M136" s="64"/>
      <c r="N136" s="95"/>
      <c r="O136" s="4"/>
      <c r="P136" s="4"/>
      <c r="Q136" s="64"/>
    </row>
    <row r="137" spans="2:17" ht="20.100000000000001" customHeight="1" x14ac:dyDescent="0.25">
      <c r="B137" s="75" t="str">
        <f>IF('Conductor-Guarda-Azafata'!B137="","",'Conductor-Guarda-Azafata'!B137)</f>
        <v/>
      </c>
      <c r="C137" s="76" t="str">
        <f>IF($B137="","",VLOOKUP($B137,'Conductor-Guarda-Azafata'!$B$8:$AN$271,4,FALSE))</f>
        <v/>
      </c>
      <c r="D137" s="77" t="str">
        <f>IF($B137="","",VLOOKUP($B137,'Conductor-Guarda-Azafata'!$B$8:$AN$271,5))</f>
        <v/>
      </c>
      <c r="E137" s="33"/>
      <c r="F137" s="12" t="str">
        <f>IF(E137="","",VLOOKUP(E137,Personal!$A$1:$F$501,2,FALSE))</f>
        <v/>
      </c>
      <c r="G137" s="4"/>
      <c r="H137" s="4"/>
      <c r="I137" s="4"/>
      <c r="J137" s="4"/>
      <c r="K137" s="4"/>
      <c r="L137" s="4"/>
      <c r="M137" s="64"/>
      <c r="N137" s="95"/>
      <c r="O137" s="4"/>
      <c r="P137" s="4"/>
      <c r="Q137" s="64"/>
    </row>
    <row r="138" spans="2:17" ht="20.100000000000001" customHeight="1" x14ac:dyDescent="0.25">
      <c r="B138" s="75" t="str">
        <f>IF('Conductor-Guarda-Azafata'!B138="","",'Conductor-Guarda-Azafata'!B138)</f>
        <v/>
      </c>
      <c r="C138" s="76" t="str">
        <f>IF($B138="","",VLOOKUP($B138,'Conductor-Guarda-Azafata'!$B$8:$AN$271,4,FALSE))</f>
        <v/>
      </c>
      <c r="D138" s="77" t="str">
        <f>IF($B138="","",VLOOKUP($B138,'Conductor-Guarda-Azafata'!$B$8:$AN$271,5))</f>
        <v/>
      </c>
      <c r="E138" s="33"/>
      <c r="F138" s="12" t="str">
        <f>IF(E138="","",VLOOKUP(E138,Personal!$A$1:$F$501,2,FALSE))</f>
        <v/>
      </c>
      <c r="G138" s="4"/>
      <c r="H138" s="4"/>
      <c r="I138" s="4"/>
      <c r="J138" s="4"/>
      <c r="K138" s="4"/>
      <c r="L138" s="4"/>
      <c r="M138" s="64"/>
      <c r="N138" s="95"/>
      <c r="O138" s="4"/>
      <c r="P138" s="4"/>
      <c r="Q138" s="64"/>
    </row>
    <row r="139" spans="2:17" ht="20.100000000000001" customHeight="1" x14ac:dyDescent="0.25">
      <c r="B139" s="75" t="str">
        <f>IF('Conductor-Guarda-Azafata'!B139="","",'Conductor-Guarda-Azafata'!B139)</f>
        <v/>
      </c>
      <c r="C139" s="76" t="str">
        <f>IF($B139="","",VLOOKUP($B139,'Conductor-Guarda-Azafata'!$B$8:$AN$271,4,FALSE))</f>
        <v/>
      </c>
      <c r="D139" s="77" t="str">
        <f>IF($B139="","",VLOOKUP($B139,'Conductor-Guarda-Azafata'!$B$8:$AN$271,5))</f>
        <v/>
      </c>
      <c r="E139" s="33"/>
      <c r="F139" s="12" t="str">
        <f>IF(E139="","",VLOOKUP(E139,Personal!$A$1:$F$501,2,FALSE))</f>
        <v/>
      </c>
      <c r="G139" s="4"/>
      <c r="H139" s="4"/>
      <c r="I139" s="4"/>
      <c r="J139" s="4"/>
      <c r="K139" s="4"/>
      <c r="L139" s="4"/>
      <c r="M139" s="64"/>
      <c r="N139" s="95"/>
      <c r="O139" s="4"/>
      <c r="P139" s="4"/>
      <c r="Q139" s="64"/>
    </row>
    <row r="140" spans="2:17" ht="20.100000000000001" customHeight="1" x14ac:dyDescent="0.25">
      <c r="B140" s="75" t="str">
        <f>IF('Conductor-Guarda-Azafata'!B140="","",'Conductor-Guarda-Azafata'!B140)</f>
        <v/>
      </c>
      <c r="C140" s="76" t="str">
        <f>IF($B140="","",VLOOKUP($B140,'Conductor-Guarda-Azafata'!$B$8:$AN$271,4,FALSE))</f>
        <v/>
      </c>
      <c r="D140" s="77" t="str">
        <f>IF($B140="","",VLOOKUP($B140,'Conductor-Guarda-Azafata'!$B$8:$AN$271,5))</f>
        <v/>
      </c>
      <c r="E140" s="33"/>
      <c r="F140" s="12" t="str">
        <f>IF(E140="","",VLOOKUP(E140,Personal!$A$1:$F$501,2,FALSE))</f>
        <v/>
      </c>
      <c r="G140" s="4"/>
      <c r="H140" s="4"/>
      <c r="I140" s="4"/>
      <c r="J140" s="4"/>
      <c r="K140" s="4"/>
      <c r="L140" s="4"/>
      <c r="M140" s="64"/>
      <c r="N140" s="95"/>
      <c r="O140" s="4"/>
      <c r="P140" s="4"/>
      <c r="Q140" s="64"/>
    </row>
    <row r="141" spans="2:17" ht="20.100000000000001" customHeight="1" x14ac:dyDescent="0.25">
      <c r="B141" s="75" t="str">
        <f>IF('Conductor-Guarda-Azafata'!B141="","",'Conductor-Guarda-Azafata'!B141)</f>
        <v/>
      </c>
      <c r="C141" s="76" t="str">
        <f>IF($B141="","",VLOOKUP($B141,'Conductor-Guarda-Azafata'!$B$8:$AN$271,4,FALSE))</f>
        <v/>
      </c>
      <c r="D141" s="77" t="str">
        <f>IF($B141="","",VLOOKUP($B141,'Conductor-Guarda-Azafata'!$B$8:$AN$271,5))</f>
        <v/>
      </c>
      <c r="E141" s="33"/>
      <c r="F141" s="12" t="str">
        <f>IF(E141="","",VLOOKUP(E141,Personal!$A$1:$F$501,2,FALSE))</f>
        <v/>
      </c>
      <c r="G141" s="4"/>
      <c r="H141" s="4"/>
      <c r="I141" s="4"/>
      <c r="J141" s="4"/>
      <c r="K141" s="4"/>
      <c r="L141" s="4"/>
      <c r="M141" s="64"/>
      <c r="N141" s="95"/>
      <c r="O141" s="4"/>
      <c r="P141" s="4"/>
      <c r="Q141" s="64"/>
    </row>
    <row r="142" spans="2:17" ht="20.100000000000001" customHeight="1" x14ac:dyDescent="0.25">
      <c r="B142" s="75" t="str">
        <f>IF('Conductor-Guarda-Azafata'!B142="","",'Conductor-Guarda-Azafata'!B142)</f>
        <v/>
      </c>
      <c r="C142" s="76" t="str">
        <f>IF($B142="","",VLOOKUP($B142,'Conductor-Guarda-Azafata'!$B$8:$AN$271,4,FALSE))</f>
        <v/>
      </c>
      <c r="D142" s="77" t="str">
        <f>IF($B142="","",VLOOKUP($B142,'Conductor-Guarda-Azafata'!$B$8:$AN$271,5))</f>
        <v/>
      </c>
      <c r="E142" s="33"/>
      <c r="F142" s="12" t="str">
        <f>IF(E142="","",VLOOKUP(E142,Personal!$A$1:$F$501,2,FALSE))</f>
        <v/>
      </c>
      <c r="G142" s="4"/>
      <c r="H142" s="4"/>
      <c r="I142" s="4"/>
      <c r="J142" s="4"/>
      <c r="K142" s="4"/>
      <c r="L142" s="4"/>
      <c r="M142" s="64"/>
      <c r="N142" s="95"/>
      <c r="O142" s="4"/>
      <c r="P142" s="4"/>
      <c r="Q142" s="64"/>
    </row>
    <row r="143" spans="2:17" ht="20.100000000000001" customHeight="1" x14ac:dyDescent="0.25">
      <c r="B143" s="75" t="str">
        <f>IF('Conductor-Guarda-Azafata'!B143="","",'Conductor-Guarda-Azafata'!B143)</f>
        <v/>
      </c>
      <c r="C143" s="76" t="str">
        <f>IF($B143="","",VLOOKUP($B143,'Conductor-Guarda-Azafata'!$B$8:$AN$271,4,FALSE))</f>
        <v/>
      </c>
      <c r="D143" s="77" t="str">
        <f>IF($B143="","",VLOOKUP($B143,'Conductor-Guarda-Azafata'!$B$8:$AN$271,5))</f>
        <v/>
      </c>
      <c r="E143" s="33"/>
      <c r="F143" s="12" t="str">
        <f>IF(E143="","",VLOOKUP(E143,Personal!$A$1:$F$501,2,FALSE))</f>
        <v/>
      </c>
      <c r="G143" s="4"/>
      <c r="H143" s="4"/>
      <c r="I143" s="4"/>
      <c r="J143" s="4"/>
      <c r="K143" s="4"/>
      <c r="L143" s="4"/>
      <c r="M143" s="64"/>
      <c r="N143" s="95"/>
      <c r="O143" s="4"/>
      <c r="P143" s="4"/>
      <c r="Q143" s="64"/>
    </row>
    <row r="144" spans="2:17" ht="20.100000000000001" customHeight="1" x14ac:dyDescent="0.25">
      <c r="B144" s="75" t="str">
        <f>IF('Conductor-Guarda-Azafata'!B144="","",'Conductor-Guarda-Azafata'!B144)</f>
        <v/>
      </c>
      <c r="C144" s="76" t="str">
        <f>IF($B144="","",VLOOKUP($B144,'Conductor-Guarda-Azafata'!$B$8:$AN$271,4,FALSE))</f>
        <v/>
      </c>
      <c r="D144" s="77" t="str">
        <f>IF($B144="","",VLOOKUP($B144,'Conductor-Guarda-Azafata'!$B$8:$AN$271,5))</f>
        <v/>
      </c>
      <c r="E144" s="33"/>
      <c r="F144" s="12" t="str">
        <f>IF(E144="","",VLOOKUP(E144,Personal!$A$1:$F$501,2,FALSE))</f>
        <v/>
      </c>
      <c r="G144" s="4"/>
      <c r="H144" s="4"/>
      <c r="I144" s="4"/>
      <c r="J144" s="4"/>
      <c r="K144" s="4"/>
      <c r="L144" s="4"/>
      <c r="M144" s="64"/>
      <c r="N144" s="95"/>
      <c r="O144" s="4"/>
      <c r="P144" s="4"/>
      <c r="Q144" s="64"/>
    </row>
    <row r="145" spans="2:17" ht="20.100000000000001" customHeight="1" x14ac:dyDescent="0.25">
      <c r="B145" s="75" t="str">
        <f>IF('Conductor-Guarda-Azafata'!B145="","",'Conductor-Guarda-Azafata'!B145)</f>
        <v/>
      </c>
      <c r="C145" s="76" t="str">
        <f>IF($B145="","",VLOOKUP($B145,'Conductor-Guarda-Azafata'!$B$8:$AN$271,4,FALSE))</f>
        <v/>
      </c>
      <c r="D145" s="77" t="str">
        <f>IF($B145="","",VLOOKUP($B145,'Conductor-Guarda-Azafata'!$B$8:$AN$271,5))</f>
        <v/>
      </c>
      <c r="E145" s="33"/>
      <c r="F145" s="12" t="str">
        <f>IF(E145="","",VLOOKUP(E145,Personal!$A$1:$F$501,2,FALSE))</f>
        <v/>
      </c>
      <c r="G145" s="4"/>
      <c r="H145" s="4"/>
      <c r="I145" s="4"/>
      <c r="J145" s="4"/>
      <c r="K145" s="4"/>
      <c r="L145" s="4"/>
      <c r="M145" s="64"/>
      <c r="N145" s="95"/>
      <c r="O145" s="4"/>
      <c r="P145" s="4"/>
      <c r="Q145" s="64"/>
    </row>
    <row r="146" spans="2:17" ht="20.100000000000001" customHeight="1" x14ac:dyDescent="0.25">
      <c r="B146" s="75" t="str">
        <f>IF('Conductor-Guarda-Azafata'!B146="","",'Conductor-Guarda-Azafata'!B146)</f>
        <v/>
      </c>
      <c r="C146" s="76" t="str">
        <f>IF($B146="","",VLOOKUP($B146,'Conductor-Guarda-Azafata'!$B$8:$AN$271,4,FALSE))</f>
        <v/>
      </c>
      <c r="D146" s="77" t="str">
        <f>IF($B146="","",VLOOKUP($B146,'Conductor-Guarda-Azafata'!$B$8:$AN$271,5))</f>
        <v/>
      </c>
      <c r="E146" s="33"/>
      <c r="F146" s="12" t="str">
        <f>IF(E146="","",VLOOKUP(E146,Personal!$A$1:$F$501,2,FALSE))</f>
        <v/>
      </c>
      <c r="G146" s="4"/>
      <c r="H146" s="4"/>
      <c r="I146" s="4"/>
      <c r="J146" s="4"/>
      <c r="K146" s="4"/>
      <c r="L146" s="4"/>
      <c r="M146" s="64"/>
      <c r="N146" s="95"/>
      <c r="O146" s="4"/>
      <c r="P146" s="4"/>
      <c r="Q146" s="64"/>
    </row>
    <row r="147" spans="2:17" ht="20.100000000000001" customHeight="1" x14ac:dyDescent="0.25">
      <c r="B147" s="75" t="str">
        <f>IF('Conductor-Guarda-Azafata'!B147="","",'Conductor-Guarda-Azafata'!B147)</f>
        <v/>
      </c>
      <c r="C147" s="76" t="str">
        <f>IF($B147="","",VLOOKUP($B147,'Conductor-Guarda-Azafata'!$B$8:$AN$271,4,FALSE))</f>
        <v/>
      </c>
      <c r="D147" s="77" t="str">
        <f>IF($B147="","",VLOOKUP($B147,'Conductor-Guarda-Azafata'!$B$8:$AN$271,5))</f>
        <v/>
      </c>
      <c r="E147" s="33"/>
      <c r="F147" s="12" t="str">
        <f>IF(E147="","",VLOOKUP(E147,Personal!$A$1:$F$501,2,FALSE))</f>
        <v/>
      </c>
      <c r="G147" s="4"/>
      <c r="H147" s="4"/>
      <c r="I147" s="4"/>
      <c r="J147" s="4"/>
      <c r="K147" s="4"/>
      <c r="L147" s="4"/>
      <c r="M147" s="64"/>
      <c r="N147" s="95"/>
      <c r="O147" s="4"/>
      <c r="P147" s="4"/>
      <c r="Q147" s="64"/>
    </row>
    <row r="148" spans="2:17" ht="20.100000000000001" customHeight="1" x14ac:dyDescent="0.25">
      <c r="B148" s="75" t="str">
        <f>IF('Conductor-Guarda-Azafata'!B148="","",'Conductor-Guarda-Azafata'!B148)</f>
        <v/>
      </c>
      <c r="C148" s="76" t="str">
        <f>IF($B148="","",VLOOKUP($B148,'Conductor-Guarda-Azafata'!$B$8:$AN$271,4,FALSE))</f>
        <v/>
      </c>
      <c r="D148" s="77" t="str">
        <f>IF($B148="","",VLOOKUP($B148,'Conductor-Guarda-Azafata'!$B$8:$AN$271,5))</f>
        <v/>
      </c>
      <c r="E148" s="33"/>
      <c r="F148" s="12" t="str">
        <f>IF(E148="","",VLOOKUP(E148,Personal!$A$1:$F$501,2,FALSE))</f>
        <v/>
      </c>
      <c r="G148" s="4"/>
      <c r="H148" s="4"/>
      <c r="I148" s="4"/>
      <c r="J148" s="4"/>
      <c r="K148" s="4"/>
      <c r="L148" s="4"/>
      <c r="M148" s="64"/>
      <c r="N148" s="95"/>
      <c r="O148" s="4"/>
      <c r="P148" s="4"/>
      <c r="Q148" s="64"/>
    </row>
    <row r="149" spans="2:17" ht="20.100000000000001" customHeight="1" x14ac:dyDescent="0.25">
      <c r="B149" s="75" t="str">
        <f>IF('Conductor-Guarda-Azafata'!B149="","",'Conductor-Guarda-Azafata'!B149)</f>
        <v/>
      </c>
      <c r="C149" s="76" t="str">
        <f>IF($B149="","",VLOOKUP($B149,'Conductor-Guarda-Azafata'!$B$8:$AN$271,4,FALSE))</f>
        <v/>
      </c>
      <c r="D149" s="77" t="str">
        <f>IF($B149="","",VLOOKUP($B149,'Conductor-Guarda-Azafata'!$B$8:$AN$271,5))</f>
        <v/>
      </c>
      <c r="E149" s="33"/>
      <c r="F149" s="12" t="str">
        <f>IF(E149="","",VLOOKUP(E149,Personal!$A$1:$F$501,2,FALSE))</f>
        <v/>
      </c>
      <c r="G149" s="4"/>
      <c r="H149" s="4"/>
      <c r="I149" s="4"/>
      <c r="J149" s="4"/>
      <c r="K149" s="4"/>
      <c r="L149" s="4"/>
      <c r="M149" s="64"/>
      <c r="N149" s="95"/>
      <c r="O149" s="4"/>
      <c r="P149" s="4"/>
      <c r="Q149" s="64"/>
    </row>
    <row r="150" spans="2:17" ht="20.100000000000001" customHeight="1" x14ac:dyDescent="0.25">
      <c r="B150" s="75" t="str">
        <f>IF('Conductor-Guarda-Azafata'!B150="","",'Conductor-Guarda-Azafata'!B150)</f>
        <v/>
      </c>
      <c r="C150" s="76" t="str">
        <f>IF($B150="","",VLOOKUP($B150,'Conductor-Guarda-Azafata'!$B$8:$AN$271,4,FALSE))</f>
        <v/>
      </c>
      <c r="D150" s="77" t="str">
        <f>IF($B150="","",VLOOKUP($B150,'Conductor-Guarda-Azafata'!$B$8:$AN$271,5))</f>
        <v/>
      </c>
      <c r="E150" s="33"/>
      <c r="F150" s="12" t="str">
        <f>IF(E150="","",VLOOKUP(E150,Personal!$A$1:$F$501,2,FALSE))</f>
        <v/>
      </c>
      <c r="G150" s="4"/>
      <c r="H150" s="4"/>
      <c r="I150" s="4"/>
      <c r="J150" s="4"/>
      <c r="K150" s="4"/>
      <c r="L150" s="4"/>
      <c r="M150" s="64"/>
      <c r="N150" s="95"/>
      <c r="O150" s="4"/>
      <c r="P150" s="4"/>
      <c r="Q150" s="64"/>
    </row>
    <row r="151" spans="2:17" ht="20.100000000000001" customHeight="1" x14ac:dyDescent="0.25">
      <c r="B151" s="75" t="str">
        <f>IF('Conductor-Guarda-Azafata'!B151="","",'Conductor-Guarda-Azafata'!B151)</f>
        <v/>
      </c>
      <c r="C151" s="76" t="str">
        <f>IF($B151="","",VLOOKUP($B151,'Conductor-Guarda-Azafata'!$B$8:$AN$271,4,FALSE))</f>
        <v/>
      </c>
      <c r="D151" s="77" t="str">
        <f>IF($B151="","",VLOOKUP($B151,'Conductor-Guarda-Azafata'!$B$8:$AN$271,5))</f>
        <v/>
      </c>
      <c r="E151" s="33"/>
      <c r="F151" s="12" t="str">
        <f>IF(E151="","",VLOOKUP(E151,Personal!$A$1:$F$501,2,FALSE))</f>
        <v/>
      </c>
      <c r="G151" s="4"/>
      <c r="H151" s="4"/>
      <c r="I151" s="4"/>
      <c r="J151" s="4"/>
      <c r="K151" s="4"/>
      <c r="L151" s="4"/>
      <c r="M151" s="64"/>
      <c r="N151" s="95"/>
      <c r="O151" s="4"/>
      <c r="P151" s="4"/>
      <c r="Q151" s="64"/>
    </row>
    <row r="152" spans="2:17" ht="20.100000000000001" customHeight="1" x14ac:dyDescent="0.25">
      <c r="B152" s="75" t="str">
        <f>IF('Conductor-Guarda-Azafata'!B152="","",'Conductor-Guarda-Azafata'!B152)</f>
        <v/>
      </c>
      <c r="C152" s="76" t="str">
        <f>IF($B152="","",VLOOKUP($B152,'Conductor-Guarda-Azafata'!$B$8:$AN$271,4,FALSE))</f>
        <v/>
      </c>
      <c r="D152" s="77" t="str">
        <f>IF($B152="","",VLOOKUP($B152,'Conductor-Guarda-Azafata'!$B$8:$AN$271,5))</f>
        <v/>
      </c>
      <c r="E152" s="33"/>
      <c r="F152" s="12" t="str">
        <f>IF(E152="","",VLOOKUP(E152,Personal!$A$1:$F$501,2,FALSE))</f>
        <v/>
      </c>
      <c r="G152" s="4"/>
      <c r="H152" s="4"/>
      <c r="I152" s="4"/>
      <c r="J152" s="4"/>
      <c r="K152" s="4"/>
      <c r="L152" s="4"/>
      <c r="M152" s="64"/>
      <c r="N152" s="95"/>
      <c r="O152" s="4"/>
      <c r="P152" s="4"/>
      <c r="Q152" s="64"/>
    </row>
    <row r="153" spans="2:17" ht="20.100000000000001" customHeight="1" x14ac:dyDescent="0.25">
      <c r="B153" s="75" t="str">
        <f>IF('Conductor-Guarda-Azafata'!B153="","",'Conductor-Guarda-Azafata'!B153)</f>
        <v/>
      </c>
      <c r="C153" s="76" t="str">
        <f>IF($B153="","",VLOOKUP($B153,'Conductor-Guarda-Azafata'!$B$8:$AN$271,4,FALSE))</f>
        <v/>
      </c>
      <c r="D153" s="77" t="str">
        <f>IF($B153="","",VLOOKUP($B153,'Conductor-Guarda-Azafata'!$B$8:$AN$271,6,FALSE))</f>
        <v/>
      </c>
      <c r="E153" s="33"/>
      <c r="F153" s="12" t="str">
        <f>IF(E153="","",VLOOKUP(E153,Personal!$A$1:$F$501,2,FALSE))</f>
        <v/>
      </c>
      <c r="G153" s="4"/>
      <c r="H153" s="4"/>
      <c r="I153" s="4"/>
      <c r="J153" s="4"/>
      <c r="K153" s="4"/>
      <c r="L153" s="4"/>
      <c r="M153" s="64"/>
      <c r="N153" s="95"/>
      <c r="O153" s="4"/>
      <c r="P153" s="4"/>
      <c r="Q153" s="64"/>
    </row>
    <row r="154" spans="2:17" ht="20.100000000000001" customHeight="1" x14ac:dyDescent="0.25">
      <c r="B154" s="75" t="str">
        <f>IF('Conductor-Guarda-Azafata'!B154="","",'Conductor-Guarda-Azafata'!B154)</f>
        <v/>
      </c>
      <c r="C154" s="76" t="str">
        <f>IF($B154="","",VLOOKUP($B154,'Conductor-Guarda-Azafata'!$B$8:$AN$271,4,FALSE))</f>
        <v/>
      </c>
      <c r="D154" s="77" t="str">
        <f>IF($B154="","",VLOOKUP($B154,'Conductor-Guarda-Azafata'!$B$8:$AN$271,6,FALSE))</f>
        <v/>
      </c>
      <c r="E154" s="33"/>
      <c r="F154" s="12" t="str">
        <f>IF(E154="","",VLOOKUP(E154,Personal!$A$1:$F$501,2,FALSE))</f>
        <v/>
      </c>
      <c r="G154" s="4"/>
      <c r="H154" s="4"/>
      <c r="I154" s="4"/>
      <c r="J154" s="4"/>
      <c r="K154" s="4"/>
      <c r="L154" s="4"/>
      <c r="M154" s="64"/>
      <c r="N154" s="95"/>
      <c r="O154" s="4"/>
      <c r="P154" s="4"/>
      <c r="Q154" s="64"/>
    </row>
    <row r="155" spans="2:17" ht="20.100000000000001" customHeight="1" x14ac:dyDescent="0.25">
      <c r="B155" s="75" t="str">
        <f>IF('Conductor-Guarda-Azafata'!B155="","",'Conductor-Guarda-Azafata'!B155)</f>
        <v/>
      </c>
      <c r="C155" s="76" t="str">
        <f>IF($B155="","",VLOOKUP($B155,'Conductor-Guarda-Azafata'!$B$8:$AN$271,4,FALSE))</f>
        <v/>
      </c>
      <c r="D155" s="77" t="str">
        <f>IF($B155="","",VLOOKUP($B155,'Conductor-Guarda-Azafata'!$B$8:$AN$271,6,FALSE))</f>
        <v/>
      </c>
      <c r="E155" s="33"/>
      <c r="F155" s="12" t="str">
        <f>IF(E155="","",VLOOKUP(E155,Personal!$A$1:$F$501,2,FALSE))</f>
        <v/>
      </c>
      <c r="G155" s="4"/>
      <c r="H155" s="4"/>
      <c r="I155" s="4"/>
      <c r="J155" s="4"/>
      <c r="K155" s="4"/>
      <c r="L155" s="4"/>
      <c r="M155" s="64"/>
      <c r="N155" s="95"/>
      <c r="O155" s="4"/>
      <c r="P155" s="4"/>
      <c r="Q155" s="64"/>
    </row>
    <row r="156" spans="2:17" ht="20.100000000000001" customHeight="1" x14ac:dyDescent="0.25">
      <c r="B156" s="75" t="str">
        <f>IF('Conductor-Guarda-Azafata'!B156="","",'Conductor-Guarda-Azafata'!B156)</f>
        <v/>
      </c>
      <c r="C156" s="76" t="str">
        <f>IF($B156="","",VLOOKUP($B156,'Conductor-Guarda-Azafata'!$B$8:$AN$271,4,FALSE))</f>
        <v/>
      </c>
      <c r="D156" s="77" t="str">
        <f>IF($B156="","",VLOOKUP($B156,'Conductor-Guarda-Azafata'!$B$8:$AN$271,6,FALSE))</f>
        <v/>
      </c>
      <c r="E156" s="33"/>
      <c r="F156" s="12" t="str">
        <f>IF(E156="","",VLOOKUP(E156,Personal!$A$1:$F$501,2,FALSE))</f>
        <v/>
      </c>
      <c r="G156" s="4"/>
      <c r="H156" s="4"/>
      <c r="I156" s="4"/>
      <c r="J156" s="4"/>
      <c r="K156" s="4"/>
      <c r="L156" s="4"/>
      <c r="M156" s="64"/>
      <c r="N156" s="95"/>
      <c r="O156" s="4"/>
      <c r="P156" s="4"/>
      <c r="Q156" s="64"/>
    </row>
    <row r="157" spans="2:17" ht="20.100000000000001" customHeight="1" x14ac:dyDescent="0.25">
      <c r="B157" s="75" t="str">
        <f>IF('Conductor-Guarda-Azafata'!B157="","",'Conductor-Guarda-Azafata'!B157)</f>
        <v/>
      </c>
      <c r="C157" s="76" t="str">
        <f>IF($B157="","",VLOOKUP($B157,'Conductor-Guarda-Azafata'!$B$8:$AN$271,4,FALSE))</f>
        <v/>
      </c>
      <c r="D157" s="77" t="str">
        <f>IF($B157="","",VLOOKUP($B157,'Conductor-Guarda-Azafata'!$B$8:$AN$271,6,FALSE))</f>
        <v/>
      </c>
      <c r="E157" s="33"/>
      <c r="F157" s="12" t="str">
        <f>IF(E157="","",VLOOKUP(E157,Personal!$A$1:$F$501,2,FALSE))</f>
        <v/>
      </c>
      <c r="G157" s="4"/>
      <c r="H157" s="4"/>
      <c r="I157" s="4"/>
      <c r="J157" s="4"/>
      <c r="K157" s="4"/>
      <c r="L157" s="4"/>
      <c r="M157" s="64"/>
      <c r="N157" s="95"/>
      <c r="O157" s="4"/>
      <c r="P157" s="4"/>
      <c r="Q157" s="64"/>
    </row>
    <row r="158" spans="2:17" ht="20.100000000000001" customHeight="1" x14ac:dyDescent="0.25">
      <c r="B158" s="75" t="str">
        <f>IF('Conductor-Guarda-Azafata'!B158="","",'Conductor-Guarda-Azafata'!B158)</f>
        <v/>
      </c>
      <c r="C158" s="76" t="str">
        <f>IF($B158="","",VLOOKUP($B158,'Conductor-Guarda-Azafata'!$B$8:$AN$271,4,FALSE))</f>
        <v/>
      </c>
      <c r="D158" s="77" t="str">
        <f>IF($B158="","",VLOOKUP($B158,'Conductor-Guarda-Azafata'!$B$8:$AN$271,6,FALSE))</f>
        <v/>
      </c>
      <c r="E158" s="33"/>
      <c r="F158" s="12" t="str">
        <f>IF(E158="","",VLOOKUP(E158,Personal!$A$1:$F$501,2,FALSE))</f>
        <v/>
      </c>
      <c r="G158" s="4"/>
      <c r="H158" s="4"/>
      <c r="I158" s="4"/>
      <c r="J158" s="4"/>
      <c r="K158" s="4"/>
      <c r="L158" s="4"/>
      <c r="M158" s="64"/>
      <c r="N158" s="95"/>
      <c r="O158" s="4"/>
      <c r="P158" s="4"/>
      <c r="Q158" s="64"/>
    </row>
    <row r="159" spans="2:17" ht="20.100000000000001" customHeight="1" x14ac:dyDescent="0.25">
      <c r="B159" s="75" t="str">
        <f>IF('Conductor-Guarda-Azafata'!B159="","",'Conductor-Guarda-Azafata'!B159)</f>
        <v/>
      </c>
      <c r="C159" s="76" t="str">
        <f>IF($B159="","",VLOOKUP($B159,'Conductor-Guarda-Azafata'!$B$8:$AN$271,4,FALSE))</f>
        <v/>
      </c>
      <c r="D159" s="77" t="str">
        <f>IF($B159="","",VLOOKUP($B159,'Conductor-Guarda-Azafata'!$B$8:$AN$271,6,FALSE))</f>
        <v/>
      </c>
      <c r="E159" s="33"/>
      <c r="F159" s="12" t="str">
        <f>IF(E159="","",VLOOKUP(E159,Personal!$A$1:$F$501,2,FALSE))</f>
        <v/>
      </c>
      <c r="G159" s="4"/>
      <c r="H159" s="4"/>
      <c r="I159" s="4"/>
      <c r="J159" s="4"/>
      <c r="K159" s="4"/>
      <c r="L159" s="4"/>
      <c r="M159" s="64"/>
      <c r="N159" s="95"/>
      <c r="O159" s="4"/>
      <c r="P159" s="4"/>
      <c r="Q159" s="64"/>
    </row>
    <row r="160" spans="2:17" ht="20.100000000000001" customHeight="1" x14ac:dyDescent="0.25">
      <c r="B160" s="75" t="str">
        <f>IF('Conductor-Guarda-Azafata'!B160="","",'Conductor-Guarda-Azafata'!B160)</f>
        <v/>
      </c>
      <c r="C160" s="76" t="str">
        <f>IF($B160="","",VLOOKUP($B160,'Conductor-Guarda-Azafata'!$B$8:$AN$271,4,FALSE))</f>
        <v/>
      </c>
      <c r="D160" s="77" t="str">
        <f>IF($B160="","",VLOOKUP($B160,'Conductor-Guarda-Azafata'!$B$8:$AN$271,6,FALSE))</f>
        <v/>
      </c>
      <c r="E160" s="33"/>
      <c r="F160" s="12" t="str">
        <f>IF(E160="","",VLOOKUP(E160,Personal!$A$1:$F$501,2,FALSE))</f>
        <v/>
      </c>
      <c r="G160" s="4"/>
      <c r="H160" s="4"/>
      <c r="I160" s="4"/>
      <c r="J160" s="4"/>
      <c r="K160" s="4"/>
      <c r="L160" s="4"/>
      <c r="M160" s="64"/>
      <c r="N160" s="95"/>
      <c r="O160" s="4"/>
      <c r="P160" s="4"/>
      <c r="Q160" s="64"/>
    </row>
    <row r="161" spans="2:17" ht="20.100000000000001" customHeight="1" x14ac:dyDescent="0.25">
      <c r="B161" s="75" t="str">
        <f>IF('Conductor-Guarda-Azafata'!B161="","",'Conductor-Guarda-Azafata'!B161)</f>
        <v/>
      </c>
      <c r="C161" s="76" t="str">
        <f>IF($B161="","",VLOOKUP($B161,'Conductor-Guarda-Azafata'!$B$8:$AN$271,4,FALSE))</f>
        <v/>
      </c>
      <c r="D161" s="77" t="str">
        <f>IF($B161="","",VLOOKUP($B161,'Conductor-Guarda-Azafata'!$B$8:$AN$271,6,FALSE))</f>
        <v/>
      </c>
      <c r="E161" s="33"/>
      <c r="F161" s="12" t="str">
        <f>IF(E161="","",VLOOKUP(E161,Personal!$A$1:$F$501,2,FALSE))</f>
        <v/>
      </c>
      <c r="G161" s="4"/>
      <c r="H161" s="4"/>
      <c r="I161" s="4"/>
      <c r="J161" s="4"/>
      <c r="K161" s="4"/>
      <c r="L161" s="4"/>
      <c r="M161" s="64"/>
      <c r="N161" s="95"/>
      <c r="O161" s="4"/>
      <c r="P161" s="4"/>
      <c r="Q161" s="64"/>
    </row>
    <row r="162" spans="2:17" ht="20.100000000000001" customHeight="1" x14ac:dyDescent="0.25">
      <c r="B162" s="75" t="str">
        <f>IF('Conductor-Guarda-Azafata'!B162="","",'Conductor-Guarda-Azafata'!B162)</f>
        <v/>
      </c>
      <c r="C162" s="76" t="str">
        <f>IF($B162="","",VLOOKUP($B162,'Conductor-Guarda-Azafata'!$B$8:$AN$271,4,FALSE))</f>
        <v/>
      </c>
      <c r="D162" s="77" t="str">
        <f>IF($B162="","",VLOOKUP($B162,'Conductor-Guarda-Azafata'!$B$8:$AN$271,6,FALSE))</f>
        <v/>
      </c>
      <c r="E162" s="33"/>
      <c r="F162" s="12" t="str">
        <f>IF(E162="","",VLOOKUP(E162,Personal!$A$1:$F$501,2,FALSE))</f>
        <v/>
      </c>
      <c r="G162" s="4"/>
      <c r="H162" s="4"/>
      <c r="I162" s="4"/>
      <c r="J162" s="4"/>
      <c r="K162" s="4"/>
      <c r="L162" s="4"/>
      <c r="M162" s="64"/>
      <c r="N162" s="95"/>
      <c r="O162" s="4"/>
      <c r="P162" s="4"/>
      <c r="Q162" s="64"/>
    </row>
    <row r="163" spans="2:17" ht="20.100000000000001" customHeight="1" x14ac:dyDescent="0.25">
      <c r="B163" s="75" t="str">
        <f>IF('Conductor-Guarda-Azafata'!B163="","",'Conductor-Guarda-Azafata'!B163)</f>
        <v/>
      </c>
      <c r="C163" s="76" t="str">
        <f>IF($B163="","",VLOOKUP($B163,'Conductor-Guarda-Azafata'!$B$8:$AN$271,4,FALSE))</f>
        <v/>
      </c>
      <c r="D163" s="77" t="str">
        <f>IF($B163="","",VLOOKUP($B163,'Conductor-Guarda-Azafata'!$B$8:$AN$271,6,FALSE))</f>
        <v/>
      </c>
      <c r="E163" s="33"/>
      <c r="F163" s="12" t="str">
        <f>IF(E163="","",VLOOKUP(E163,Personal!$A$1:$F$501,2,FALSE))</f>
        <v/>
      </c>
      <c r="G163" s="4"/>
      <c r="H163" s="4"/>
      <c r="I163" s="4"/>
      <c r="J163" s="4"/>
      <c r="K163" s="4"/>
      <c r="L163" s="4"/>
      <c r="M163" s="64"/>
      <c r="N163" s="95"/>
      <c r="O163" s="4"/>
      <c r="P163" s="4"/>
      <c r="Q163" s="64"/>
    </row>
    <row r="164" spans="2:17" ht="20.100000000000001" customHeight="1" x14ac:dyDescent="0.25">
      <c r="B164" s="75" t="str">
        <f>IF('Conductor-Guarda-Azafata'!B164="","",'Conductor-Guarda-Azafata'!B164)</f>
        <v/>
      </c>
      <c r="C164" s="76" t="str">
        <f>IF($B164="","",VLOOKUP($B164,'Conductor-Guarda-Azafata'!$B$8:$AN$271,4,FALSE))</f>
        <v/>
      </c>
      <c r="D164" s="77" t="str">
        <f>IF($B164="","",VLOOKUP($B164,'Conductor-Guarda-Azafata'!$B$8:$AN$271,6,FALSE))</f>
        <v/>
      </c>
      <c r="E164" s="33"/>
      <c r="F164" s="12" t="str">
        <f>IF(E164="","",VLOOKUP(E164,Personal!$A$1:$F$501,2,FALSE))</f>
        <v/>
      </c>
      <c r="G164" s="4"/>
      <c r="H164" s="4"/>
      <c r="I164" s="4"/>
      <c r="J164" s="4"/>
      <c r="K164" s="4"/>
      <c r="L164" s="4"/>
      <c r="M164" s="64"/>
      <c r="N164" s="95"/>
      <c r="O164" s="4"/>
      <c r="P164" s="4"/>
      <c r="Q164" s="64"/>
    </row>
    <row r="165" spans="2:17" ht="20.100000000000001" customHeight="1" x14ac:dyDescent="0.25">
      <c r="B165" s="75" t="str">
        <f>IF('Conductor-Guarda-Azafata'!B165="","",'Conductor-Guarda-Azafata'!B165)</f>
        <v/>
      </c>
      <c r="C165" s="76" t="str">
        <f>IF($B165="","",VLOOKUP($B165,'Conductor-Guarda-Azafata'!$B$8:$AN$271,4,FALSE))</f>
        <v/>
      </c>
      <c r="D165" s="77" t="str">
        <f>IF($B165="","",VLOOKUP($B165,'Conductor-Guarda-Azafata'!$B$8:$AN$271,6,FALSE))</f>
        <v/>
      </c>
      <c r="E165" s="33"/>
      <c r="F165" s="12" t="str">
        <f>IF(E165="","",VLOOKUP(E165,Personal!$A$1:$F$501,2,FALSE))</f>
        <v/>
      </c>
      <c r="G165" s="4"/>
      <c r="H165" s="4"/>
      <c r="I165" s="4"/>
      <c r="J165" s="4"/>
      <c r="K165" s="4"/>
      <c r="L165" s="4"/>
      <c r="M165" s="64"/>
      <c r="N165" s="95"/>
      <c r="O165" s="4"/>
      <c r="P165" s="4"/>
      <c r="Q165" s="64"/>
    </row>
    <row r="166" spans="2:17" ht="20.100000000000001" customHeight="1" x14ac:dyDescent="0.25">
      <c r="B166" s="75" t="str">
        <f>IF('Conductor-Guarda-Azafata'!B166="","",'Conductor-Guarda-Azafata'!B166)</f>
        <v/>
      </c>
      <c r="C166" s="76" t="str">
        <f>IF($B166="","",VLOOKUP($B166,'Conductor-Guarda-Azafata'!$B$8:$AN$271,4,FALSE))</f>
        <v/>
      </c>
      <c r="D166" s="77" t="str">
        <f>IF($B166="","",VLOOKUP($B166,'Conductor-Guarda-Azafata'!$B$8:$AN$271,6,FALSE))</f>
        <v/>
      </c>
      <c r="E166" s="33"/>
      <c r="F166" s="12" t="str">
        <f>IF(E166="","",VLOOKUP(E166,Personal!$A$1:$F$501,2,FALSE))</f>
        <v/>
      </c>
      <c r="G166" s="4"/>
      <c r="H166" s="4"/>
      <c r="I166" s="4"/>
      <c r="J166" s="4"/>
      <c r="K166" s="4"/>
      <c r="L166" s="4"/>
      <c r="M166" s="64"/>
      <c r="N166" s="95"/>
      <c r="O166" s="4"/>
      <c r="P166" s="4"/>
      <c r="Q166" s="64"/>
    </row>
    <row r="167" spans="2:17" ht="20.100000000000001" customHeight="1" x14ac:dyDescent="0.25">
      <c r="B167" s="75" t="str">
        <f>IF('Conductor-Guarda-Azafata'!B167="","",'Conductor-Guarda-Azafata'!B167)</f>
        <v/>
      </c>
      <c r="C167" s="76" t="str">
        <f>IF($B167="","",VLOOKUP($B167,'Conductor-Guarda-Azafata'!$B$8:$AN$271,4,FALSE))</f>
        <v/>
      </c>
      <c r="D167" s="77" t="str">
        <f>IF($B167="","",VLOOKUP($B167,'Conductor-Guarda-Azafata'!$B$8:$AN$271,6,FALSE))</f>
        <v/>
      </c>
      <c r="E167" s="33"/>
      <c r="F167" s="12" t="str">
        <f>IF(E167="","",VLOOKUP(E167,Personal!$A$1:$F$501,2,FALSE))</f>
        <v/>
      </c>
      <c r="G167" s="4"/>
      <c r="H167" s="4"/>
      <c r="I167" s="4"/>
      <c r="J167" s="4"/>
      <c r="K167" s="4"/>
      <c r="L167" s="4"/>
      <c r="M167" s="64"/>
      <c r="N167" s="95"/>
      <c r="O167" s="4"/>
      <c r="P167" s="4"/>
      <c r="Q167" s="64"/>
    </row>
    <row r="168" spans="2:17" ht="20.100000000000001" customHeight="1" x14ac:dyDescent="0.25">
      <c r="B168" s="75" t="str">
        <f>IF('Conductor-Guarda-Azafata'!B168="","",'Conductor-Guarda-Azafata'!B168)</f>
        <v/>
      </c>
      <c r="C168" s="76" t="str">
        <f>IF($B168="","",VLOOKUP($B168,'Conductor-Guarda-Azafata'!$B$8:$AN$271,4,FALSE))</f>
        <v/>
      </c>
      <c r="D168" s="77" t="str">
        <f>IF($B168="","",VLOOKUP($B168,'Conductor-Guarda-Azafata'!$B$8:$AN$271,6,FALSE))</f>
        <v/>
      </c>
      <c r="E168" s="33"/>
      <c r="F168" s="12" t="str">
        <f>IF(E168="","",VLOOKUP(E168,Personal!$A$1:$F$501,2,FALSE))</f>
        <v/>
      </c>
      <c r="G168" s="4"/>
      <c r="H168" s="4"/>
      <c r="I168" s="4"/>
      <c r="J168" s="4"/>
      <c r="K168" s="4"/>
      <c r="L168" s="4"/>
      <c r="M168" s="64"/>
      <c r="N168" s="95"/>
      <c r="O168" s="4"/>
      <c r="P168" s="4"/>
      <c r="Q168" s="64"/>
    </row>
    <row r="169" spans="2:17" ht="20.100000000000001" customHeight="1" x14ac:dyDescent="0.25">
      <c r="B169" s="75" t="str">
        <f>IF('Conductor-Guarda-Azafata'!B169="","",'Conductor-Guarda-Azafata'!B169)</f>
        <v/>
      </c>
      <c r="C169" s="76" t="str">
        <f>IF($B169="","",VLOOKUP($B169,'Conductor-Guarda-Azafata'!$B$8:$AN$271,4,FALSE))</f>
        <v/>
      </c>
      <c r="D169" s="77" t="str">
        <f>IF($B169="","",VLOOKUP($B169,'Conductor-Guarda-Azafata'!$B$8:$AN$271,6,FALSE))</f>
        <v/>
      </c>
      <c r="E169" s="33"/>
      <c r="F169" s="12" t="str">
        <f>IF(E169="","",VLOOKUP(E169,Personal!$A$1:$F$501,2,FALSE))</f>
        <v/>
      </c>
      <c r="G169" s="4"/>
      <c r="H169" s="4"/>
      <c r="I169" s="4"/>
      <c r="J169" s="4"/>
      <c r="K169" s="4"/>
      <c r="L169" s="4"/>
      <c r="M169" s="64"/>
      <c r="N169" s="95"/>
      <c r="O169" s="4"/>
      <c r="P169" s="4"/>
      <c r="Q169" s="64"/>
    </row>
    <row r="170" spans="2:17" ht="20.100000000000001" customHeight="1" x14ac:dyDescent="0.25">
      <c r="B170" s="75" t="str">
        <f>IF('Conductor-Guarda-Azafata'!B170="","",'Conductor-Guarda-Azafata'!B170)</f>
        <v/>
      </c>
      <c r="C170" s="76" t="str">
        <f>IF($B170="","",VLOOKUP($B170,'Conductor-Guarda-Azafata'!$B$8:$AN$271,4,FALSE))</f>
        <v/>
      </c>
      <c r="D170" s="77" t="str">
        <f>IF($B170="","",VLOOKUP($B170,'Conductor-Guarda-Azafata'!$B$8:$AN$271,6,FALSE))</f>
        <v/>
      </c>
      <c r="E170" s="33"/>
      <c r="F170" s="12" t="str">
        <f>IF(E170="","",VLOOKUP(E170,Personal!$A$1:$F$501,2,FALSE))</f>
        <v/>
      </c>
      <c r="G170" s="4"/>
      <c r="H170" s="4"/>
      <c r="I170" s="4"/>
      <c r="J170" s="4"/>
      <c r="K170" s="4"/>
      <c r="L170" s="4"/>
      <c r="M170" s="64"/>
      <c r="N170" s="95"/>
      <c r="O170" s="4"/>
      <c r="P170" s="4"/>
      <c r="Q170" s="64"/>
    </row>
    <row r="171" spans="2:17" ht="20.100000000000001" customHeight="1" x14ac:dyDescent="0.25">
      <c r="B171" s="75" t="str">
        <f>IF('Conductor-Guarda-Azafata'!B171="","",'Conductor-Guarda-Azafata'!B171)</f>
        <v/>
      </c>
      <c r="C171" s="76" t="str">
        <f>IF($B171="","",VLOOKUP($B171,'Conductor-Guarda-Azafata'!$B$8:$AN$271,4,FALSE))</f>
        <v/>
      </c>
      <c r="D171" s="77" t="str">
        <f>IF($B171="","",VLOOKUP($B171,'Conductor-Guarda-Azafata'!$B$8:$AN$271,6,FALSE))</f>
        <v/>
      </c>
      <c r="E171" s="33"/>
      <c r="F171" s="12" t="str">
        <f>IF(E171="","",VLOOKUP(E171,Personal!$A$1:$F$501,2,FALSE))</f>
        <v/>
      </c>
      <c r="G171" s="4"/>
      <c r="H171" s="4"/>
      <c r="I171" s="4"/>
      <c r="J171" s="4"/>
      <c r="K171" s="4"/>
      <c r="L171" s="4"/>
      <c r="M171" s="64"/>
      <c r="N171" s="95"/>
      <c r="O171" s="4"/>
      <c r="P171" s="4"/>
      <c r="Q171" s="64"/>
    </row>
    <row r="172" spans="2:17" ht="20.100000000000001" customHeight="1" x14ac:dyDescent="0.25">
      <c r="B172" s="75" t="str">
        <f>IF('Conductor-Guarda-Azafata'!B172="","",'Conductor-Guarda-Azafata'!B172)</f>
        <v/>
      </c>
      <c r="C172" s="76" t="str">
        <f>IF($B172="","",VLOOKUP($B172,'Conductor-Guarda-Azafata'!$B$8:$AN$271,4,FALSE))</f>
        <v/>
      </c>
      <c r="D172" s="77" t="str">
        <f>IF($B172="","",VLOOKUP($B172,'Conductor-Guarda-Azafata'!$B$8:$AN$271,6,FALSE))</f>
        <v/>
      </c>
      <c r="E172" s="33"/>
      <c r="F172" s="12" t="str">
        <f>IF(E172="","",VLOOKUP(E172,Personal!$A$1:$F$501,2,FALSE))</f>
        <v/>
      </c>
      <c r="G172" s="4"/>
      <c r="H172" s="4"/>
      <c r="I172" s="4"/>
      <c r="J172" s="4"/>
      <c r="K172" s="4"/>
      <c r="L172" s="4"/>
      <c r="M172" s="64"/>
      <c r="N172" s="95"/>
      <c r="O172" s="4"/>
      <c r="P172" s="4"/>
      <c r="Q172" s="64"/>
    </row>
    <row r="173" spans="2:17" ht="20.100000000000001" customHeight="1" x14ac:dyDescent="0.25">
      <c r="B173" s="75" t="str">
        <f>IF('Conductor-Guarda-Azafata'!B173="","",'Conductor-Guarda-Azafata'!B173)</f>
        <v/>
      </c>
      <c r="C173" s="76" t="str">
        <f>IF($B173="","",VLOOKUP($B173,'Conductor-Guarda-Azafata'!$B$8:$AN$271,4,FALSE))</f>
        <v/>
      </c>
      <c r="D173" s="77" t="str">
        <f>IF($B173="","",VLOOKUP($B173,'Conductor-Guarda-Azafata'!$B$8:$AN$271,6,FALSE))</f>
        <v/>
      </c>
      <c r="E173" s="33"/>
      <c r="F173" s="12" t="str">
        <f>IF(E173="","",VLOOKUP(E173,Personal!$A$1:$F$501,2,FALSE))</f>
        <v/>
      </c>
      <c r="G173" s="4"/>
      <c r="H173" s="4"/>
      <c r="I173" s="4"/>
      <c r="J173" s="4"/>
      <c r="K173" s="4"/>
      <c r="L173" s="4"/>
      <c r="M173" s="64"/>
      <c r="N173" s="95"/>
      <c r="O173" s="4"/>
      <c r="P173" s="4"/>
      <c r="Q173" s="64"/>
    </row>
    <row r="174" spans="2:17" ht="20.100000000000001" customHeight="1" x14ac:dyDescent="0.25">
      <c r="B174" s="75" t="str">
        <f>IF('Conductor-Guarda-Azafata'!B174="","",'Conductor-Guarda-Azafata'!B174)</f>
        <v/>
      </c>
      <c r="C174" s="76" t="str">
        <f>IF($B174="","",VLOOKUP($B174,'Conductor-Guarda-Azafata'!$B$8:$AN$271,4,FALSE))</f>
        <v/>
      </c>
      <c r="D174" s="77" t="str">
        <f>IF($B174="","",VLOOKUP($B174,'Conductor-Guarda-Azafata'!$B$8:$AN$271,6,FALSE))</f>
        <v/>
      </c>
      <c r="E174" s="33"/>
      <c r="F174" s="12" t="str">
        <f>IF(E174="","",VLOOKUP(E174,Personal!$A$1:$F$501,2,FALSE))</f>
        <v/>
      </c>
      <c r="G174" s="4"/>
      <c r="H174" s="4"/>
      <c r="I174" s="4"/>
      <c r="J174" s="4"/>
      <c r="K174" s="4"/>
      <c r="L174" s="4"/>
      <c r="M174" s="64"/>
      <c r="N174" s="95"/>
      <c r="O174" s="4"/>
      <c r="P174" s="4"/>
      <c r="Q174" s="64"/>
    </row>
    <row r="175" spans="2:17" ht="20.100000000000001" customHeight="1" x14ac:dyDescent="0.25">
      <c r="B175" s="75" t="str">
        <f>IF('Conductor-Guarda-Azafata'!B175="","",'Conductor-Guarda-Azafata'!B175)</f>
        <v/>
      </c>
      <c r="C175" s="76" t="str">
        <f>IF($B175="","",VLOOKUP($B175,'Conductor-Guarda-Azafata'!$B$8:$AN$271,4,FALSE))</f>
        <v/>
      </c>
      <c r="D175" s="77" t="str">
        <f>IF($B175="","",VLOOKUP($B175,'Conductor-Guarda-Azafata'!$B$8:$AN$271,6,FALSE))</f>
        <v/>
      </c>
      <c r="E175" s="33"/>
      <c r="F175" s="12" t="str">
        <f>IF(E175="","",VLOOKUP(E175,Personal!$A$1:$F$501,2,FALSE))</f>
        <v/>
      </c>
      <c r="G175" s="4"/>
      <c r="H175" s="4"/>
      <c r="I175" s="4"/>
      <c r="J175" s="4"/>
      <c r="K175" s="4"/>
      <c r="L175" s="4"/>
      <c r="M175" s="64"/>
      <c r="N175" s="95"/>
      <c r="O175" s="4"/>
      <c r="P175" s="4"/>
      <c r="Q175" s="64"/>
    </row>
    <row r="176" spans="2:17" ht="20.100000000000001" customHeight="1" x14ac:dyDescent="0.25">
      <c r="B176" s="75" t="str">
        <f>IF('Conductor-Guarda-Azafata'!B176="","",'Conductor-Guarda-Azafata'!B176)</f>
        <v/>
      </c>
      <c r="C176" s="76" t="str">
        <f>IF($B176="","",VLOOKUP($B176,'Conductor-Guarda-Azafata'!$B$8:$AN$271,4,FALSE))</f>
        <v/>
      </c>
      <c r="D176" s="77" t="str">
        <f>IF($B176="","",VLOOKUP($B176,'Conductor-Guarda-Azafata'!$B$8:$AN$271,6,FALSE))</f>
        <v/>
      </c>
      <c r="E176" s="33"/>
      <c r="F176" s="12" t="str">
        <f>IF(E176="","",VLOOKUP(E176,Personal!$A$1:$F$501,2,FALSE))</f>
        <v/>
      </c>
      <c r="G176" s="4"/>
      <c r="H176" s="4"/>
      <c r="I176" s="4"/>
      <c r="J176" s="4"/>
      <c r="K176" s="4"/>
      <c r="L176" s="4"/>
      <c r="M176" s="64"/>
      <c r="N176" s="95"/>
      <c r="O176" s="4"/>
      <c r="P176" s="4"/>
      <c r="Q176" s="64"/>
    </row>
    <row r="177" spans="2:17" ht="20.100000000000001" customHeight="1" x14ac:dyDescent="0.25">
      <c r="B177" s="75" t="str">
        <f>IF('Conductor-Guarda-Azafata'!B177="","",'Conductor-Guarda-Azafata'!B177)</f>
        <v/>
      </c>
      <c r="C177" s="76" t="str">
        <f>IF($B177="","",VLOOKUP($B177,'Conductor-Guarda-Azafata'!$B$8:$AN$271,4,FALSE))</f>
        <v/>
      </c>
      <c r="D177" s="77" t="str">
        <f>IF($B177="","",VLOOKUP($B177,'Conductor-Guarda-Azafata'!$B$8:$AN$271,6,FALSE))</f>
        <v/>
      </c>
      <c r="E177" s="33"/>
      <c r="F177" s="12" t="str">
        <f>IF(E177="","",VLOOKUP(E177,Personal!$A$1:$F$501,2,FALSE))</f>
        <v/>
      </c>
      <c r="G177" s="4"/>
      <c r="H177" s="4"/>
      <c r="I177" s="4"/>
      <c r="J177" s="4"/>
      <c r="K177" s="4"/>
      <c r="L177" s="4"/>
      <c r="M177" s="64"/>
      <c r="N177" s="95"/>
      <c r="O177" s="4"/>
      <c r="P177" s="4"/>
      <c r="Q177" s="64"/>
    </row>
    <row r="178" spans="2:17" ht="20.100000000000001" customHeight="1" x14ac:dyDescent="0.25">
      <c r="B178" s="75" t="str">
        <f>IF('Conductor-Guarda-Azafata'!B178="","",'Conductor-Guarda-Azafata'!B178)</f>
        <v/>
      </c>
      <c r="C178" s="76" t="str">
        <f>IF($B178="","",VLOOKUP($B178,'Conductor-Guarda-Azafata'!$B$8:$AN$271,4,FALSE))</f>
        <v/>
      </c>
      <c r="D178" s="77" t="str">
        <f>IF($B178="","",VLOOKUP($B178,'Conductor-Guarda-Azafata'!$B$8:$AN$271,6,FALSE))</f>
        <v/>
      </c>
      <c r="E178" s="33"/>
      <c r="F178" s="12" t="str">
        <f>IF(E178="","",VLOOKUP(E178,Personal!$A$1:$F$501,2,FALSE))</f>
        <v/>
      </c>
      <c r="G178" s="4"/>
      <c r="H178" s="4"/>
      <c r="I178" s="4"/>
      <c r="J178" s="4"/>
      <c r="K178" s="4"/>
      <c r="L178" s="4"/>
      <c r="M178" s="64"/>
      <c r="N178" s="95"/>
      <c r="O178" s="4"/>
      <c r="P178" s="4"/>
      <c r="Q178" s="64"/>
    </row>
    <row r="179" spans="2:17" ht="20.100000000000001" customHeight="1" x14ac:dyDescent="0.25">
      <c r="B179" s="75" t="str">
        <f>IF('Conductor-Guarda-Azafata'!B179="","",'Conductor-Guarda-Azafata'!B179)</f>
        <v/>
      </c>
      <c r="C179" s="76" t="str">
        <f>IF($B179="","",VLOOKUP($B179,'Conductor-Guarda-Azafata'!$B$8:$AN$271,4,FALSE))</f>
        <v/>
      </c>
      <c r="D179" s="77" t="str">
        <f>IF($B179="","",VLOOKUP($B179,'Conductor-Guarda-Azafata'!$B$8:$AN$271,6,FALSE))</f>
        <v/>
      </c>
      <c r="E179" s="33"/>
      <c r="F179" s="12" t="str">
        <f>IF(E179="","",VLOOKUP(E179,Personal!$A$1:$F$501,2,FALSE))</f>
        <v/>
      </c>
      <c r="G179" s="4"/>
      <c r="H179" s="4"/>
      <c r="I179" s="4"/>
      <c r="J179" s="4"/>
      <c r="K179" s="4"/>
      <c r="L179" s="4"/>
      <c r="M179" s="64"/>
      <c r="N179" s="95"/>
      <c r="O179" s="4"/>
      <c r="P179" s="4"/>
      <c r="Q179" s="64"/>
    </row>
    <row r="180" spans="2:17" ht="20.100000000000001" customHeight="1" x14ac:dyDescent="0.25">
      <c r="B180" s="75" t="str">
        <f>IF('Conductor-Guarda-Azafata'!B180="","",'Conductor-Guarda-Azafata'!B180)</f>
        <v/>
      </c>
      <c r="C180" s="76" t="str">
        <f>IF($B180="","",VLOOKUP($B180,'Conductor-Guarda-Azafata'!$B$8:$AN$271,4,FALSE))</f>
        <v/>
      </c>
      <c r="D180" s="77" t="str">
        <f>IF($B180="","",VLOOKUP($B180,'Conductor-Guarda-Azafata'!$B$8:$AN$271,6,FALSE))</f>
        <v/>
      </c>
      <c r="E180" s="33"/>
      <c r="F180" s="12" t="str">
        <f>IF(E180="","",VLOOKUP(E180,Personal!$A$1:$F$501,2,FALSE))</f>
        <v/>
      </c>
      <c r="G180" s="4"/>
      <c r="H180" s="4"/>
      <c r="I180" s="4"/>
      <c r="J180" s="4"/>
      <c r="K180" s="4"/>
      <c r="L180" s="4"/>
      <c r="M180" s="64"/>
      <c r="N180" s="95"/>
      <c r="O180" s="4"/>
      <c r="P180" s="4"/>
      <c r="Q180" s="64"/>
    </row>
    <row r="181" spans="2:17" ht="20.100000000000001" customHeight="1" x14ac:dyDescent="0.25">
      <c r="B181" s="75" t="str">
        <f>IF('Conductor-Guarda-Azafata'!B181="","",'Conductor-Guarda-Azafata'!B181)</f>
        <v/>
      </c>
      <c r="C181" s="76" t="str">
        <f>IF($B181="","",VLOOKUP($B181,'Conductor-Guarda-Azafata'!$B$8:$AN$271,4,FALSE))</f>
        <v/>
      </c>
      <c r="D181" s="77" t="str">
        <f>IF($B181="","",VLOOKUP($B181,'Conductor-Guarda-Azafata'!$B$8:$AN$271,6,FALSE))</f>
        <v/>
      </c>
      <c r="E181" s="33"/>
      <c r="F181" s="12" t="str">
        <f>IF(E181="","",VLOOKUP(E181,Personal!$A$1:$F$501,2,FALSE))</f>
        <v/>
      </c>
      <c r="G181" s="4"/>
      <c r="H181" s="4"/>
      <c r="I181" s="4"/>
      <c r="J181" s="4"/>
      <c r="K181" s="4"/>
      <c r="L181" s="4"/>
      <c r="M181" s="64"/>
      <c r="N181" s="95"/>
      <c r="O181" s="4"/>
      <c r="P181" s="4"/>
      <c r="Q181" s="64"/>
    </row>
    <row r="182" spans="2:17" ht="20.100000000000001" customHeight="1" x14ac:dyDescent="0.25">
      <c r="B182" s="75" t="str">
        <f>IF('Conductor-Guarda-Azafata'!B182="","",'Conductor-Guarda-Azafata'!B182)</f>
        <v/>
      </c>
      <c r="C182" s="76" t="str">
        <f>IF($B182="","",VLOOKUP($B182,'Conductor-Guarda-Azafata'!$B$8:$AN$271,4,FALSE))</f>
        <v/>
      </c>
      <c r="D182" s="77" t="str">
        <f>IF($B182="","",VLOOKUP($B182,'Conductor-Guarda-Azafata'!$B$8:$AN$271,6,FALSE))</f>
        <v/>
      </c>
      <c r="E182" s="33"/>
      <c r="F182" s="12" t="str">
        <f>IF(E182="","",VLOOKUP(E182,Personal!$A$1:$F$501,2,FALSE))</f>
        <v/>
      </c>
      <c r="G182" s="4"/>
      <c r="H182" s="4"/>
      <c r="I182" s="4"/>
      <c r="J182" s="4"/>
      <c r="K182" s="4"/>
      <c r="L182" s="4"/>
      <c r="M182" s="64"/>
      <c r="N182" s="95"/>
      <c r="O182" s="4"/>
      <c r="P182" s="4"/>
      <c r="Q182" s="64"/>
    </row>
    <row r="183" spans="2:17" ht="20.100000000000001" customHeight="1" x14ac:dyDescent="0.25">
      <c r="B183" s="75" t="str">
        <f>IF('Conductor-Guarda-Azafata'!B183="","",'Conductor-Guarda-Azafata'!B183)</f>
        <v/>
      </c>
      <c r="C183" s="76" t="str">
        <f>IF($B183="","",VLOOKUP($B183,'Conductor-Guarda-Azafata'!$B$8:$AN$271,4,FALSE))</f>
        <v/>
      </c>
      <c r="D183" s="77" t="str">
        <f>IF($B183="","",VLOOKUP($B183,'Conductor-Guarda-Azafata'!$B$8:$AN$271,6,FALSE))</f>
        <v/>
      </c>
      <c r="E183" s="33"/>
      <c r="F183" s="12" t="str">
        <f>IF(E183="","",VLOOKUP(E183,Personal!$A$1:$F$501,2,FALSE))</f>
        <v/>
      </c>
      <c r="G183" s="4"/>
      <c r="H183" s="4"/>
      <c r="I183" s="4"/>
      <c r="J183" s="4"/>
      <c r="K183" s="4"/>
      <c r="L183" s="4"/>
      <c r="M183" s="64"/>
      <c r="N183" s="95"/>
      <c r="O183" s="4"/>
      <c r="P183" s="4"/>
      <c r="Q183" s="64"/>
    </row>
    <row r="184" spans="2:17" ht="20.100000000000001" customHeight="1" x14ac:dyDescent="0.25">
      <c r="B184" s="75" t="str">
        <f>IF('Conductor-Guarda-Azafata'!B184="","",'Conductor-Guarda-Azafata'!B184)</f>
        <v/>
      </c>
      <c r="C184" s="76" t="str">
        <f>IF($B184="","",VLOOKUP($B184,'Conductor-Guarda-Azafata'!$B$8:$AN$271,4,FALSE))</f>
        <v/>
      </c>
      <c r="D184" s="77" t="str">
        <f>IF($B184="","",VLOOKUP($B184,'Conductor-Guarda-Azafata'!$B$8:$AN$271,6,FALSE))</f>
        <v/>
      </c>
      <c r="E184" s="33"/>
      <c r="F184" s="12" t="str">
        <f>IF(E184="","",VLOOKUP(E184,Personal!$A$1:$F$501,2,FALSE))</f>
        <v/>
      </c>
      <c r="G184" s="4"/>
      <c r="H184" s="4"/>
      <c r="I184" s="4"/>
      <c r="J184" s="4"/>
      <c r="K184" s="4"/>
      <c r="L184" s="4"/>
      <c r="M184" s="64"/>
      <c r="N184" s="95"/>
      <c r="O184" s="4"/>
      <c r="P184" s="4"/>
      <c r="Q184" s="64"/>
    </row>
    <row r="185" spans="2:17" ht="20.100000000000001" customHeight="1" x14ac:dyDescent="0.25">
      <c r="B185" s="75" t="str">
        <f>IF('Conductor-Guarda-Azafata'!B185="","",'Conductor-Guarda-Azafata'!B185)</f>
        <v/>
      </c>
      <c r="C185" s="76" t="str">
        <f>IF($B185="","",VLOOKUP($B185,'Conductor-Guarda-Azafata'!$B$8:$AN$271,4,FALSE))</f>
        <v/>
      </c>
      <c r="D185" s="77" t="str">
        <f>IF($B185="","",VLOOKUP($B185,'Conductor-Guarda-Azafata'!$B$8:$AN$271,6,FALSE))</f>
        <v/>
      </c>
      <c r="E185" s="33"/>
      <c r="F185" s="12" t="str">
        <f>IF(E185="","",VLOOKUP(E185,Personal!$A$1:$F$501,2,FALSE))</f>
        <v/>
      </c>
      <c r="G185" s="4"/>
      <c r="H185" s="4"/>
      <c r="I185" s="4"/>
      <c r="J185" s="4"/>
      <c r="K185" s="4"/>
      <c r="L185" s="4"/>
      <c r="M185" s="64"/>
      <c r="N185" s="95"/>
      <c r="O185" s="4"/>
      <c r="P185" s="4"/>
      <c r="Q185" s="64"/>
    </row>
    <row r="186" spans="2:17" ht="20.100000000000001" customHeight="1" x14ac:dyDescent="0.25">
      <c r="B186" s="75" t="str">
        <f>IF('Conductor-Guarda-Azafata'!B186="","",'Conductor-Guarda-Azafata'!B186)</f>
        <v/>
      </c>
      <c r="C186" s="76" t="str">
        <f>IF($B186="","",VLOOKUP($B186,'Conductor-Guarda-Azafata'!$B$8:$AN$271,4,FALSE))</f>
        <v/>
      </c>
      <c r="D186" s="77" t="str">
        <f>IF($B186="","",VLOOKUP($B186,'Conductor-Guarda-Azafata'!$B$8:$AN$271,6,FALSE))</f>
        <v/>
      </c>
      <c r="E186" s="33"/>
      <c r="F186" s="12" t="str">
        <f>IF(E186="","",VLOOKUP(E186,Personal!$A$1:$F$501,2,FALSE))</f>
        <v/>
      </c>
      <c r="G186" s="4"/>
      <c r="H186" s="4"/>
      <c r="I186" s="4"/>
      <c r="J186" s="4"/>
      <c r="K186" s="4"/>
      <c r="L186" s="4"/>
      <c r="M186" s="64"/>
      <c r="N186" s="95"/>
      <c r="O186" s="4"/>
      <c r="P186" s="4"/>
      <c r="Q186" s="64"/>
    </row>
    <row r="187" spans="2:17" ht="20.100000000000001" customHeight="1" x14ac:dyDescent="0.25">
      <c r="B187" s="75" t="str">
        <f>IF('Conductor-Guarda-Azafata'!B187="","",'Conductor-Guarda-Azafata'!B187)</f>
        <v/>
      </c>
      <c r="C187" s="76" t="str">
        <f>IF($B187="","",VLOOKUP($B187,'Conductor-Guarda-Azafata'!$B$8:$AN$271,4,FALSE))</f>
        <v/>
      </c>
      <c r="D187" s="77" t="str">
        <f>IF($B187="","",VLOOKUP($B187,'Conductor-Guarda-Azafata'!$B$8:$AN$271,6,FALSE))</f>
        <v/>
      </c>
      <c r="E187" s="33"/>
      <c r="F187" s="12" t="str">
        <f>IF(E187="","",VLOOKUP(E187,Personal!$A$1:$F$501,2,FALSE))</f>
        <v/>
      </c>
      <c r="G187" s="4"/>
      <c r="H187" s="4"/>
      <c r="I187" s="4"/>
      <c r="J187" s="4"/>
      <c r="K187" s="4"/>
      <c r="L187" s="4"/>
      <c r="M187" s="64"/>
      <c r="N187" s="95"/>
      <c r="O187" s="4"/>
      <c r="P187" s="4"/>
      <c r="Q187" s="64"/>
    </row>
    <row r="188" spans="2:17" ht="20.100000000000001" customHeight="1" x14ac:dyDescent="0.25">
      <c r="B188" s="75" t="str">
        <f>IF('Conductor-Guarda-Azafata'!B188="","",'Conductor-Guarda-Azafata'!B188)</f>
        <v/>
      </c>
      <c r="C188" s="76" t="str">
        <f>IF($B188="","",VLOOKUP($B188,'Conductor-Guarda-Azafata'!$B$8:$AN$271,4,FALSE))</f>
        <v/>
      </c>
      <c r="D188" s="77" t="str">
        <f>IF($B188="","",VLOOKUP($B188,'Conductor-Guarda-Azafata'!$B$8:$AN$271,6,FALSE))</f>
        <v/>
      </c>
      <c r="E188" s="33"/>
      <c r="F188" s="12" t="str">
        <f>IF(E188="","",VLOOKUP(E188,Personal!$A$1:$F$501,2,FALSE))</f>
        <v/>
      </c>
      <c r="G188" s="4"/>
      <c r="H188" s="4"/>
      <c r="I188" s="4"/>
      <c r="J188" s="4"/>
      <c r="K188" s="4"/>
      <c r="L188" s="4"/>
      <c r="M188" s="64"/>
      <c r="N188" s="95"/>
      <c r="O188" s="4"/>
      <c r="P188" s="4"/>
      <c r="Q188" s="64"/>
    </row>
    <row r="189" spans="2:17" ht="20.100000000000001" customHeight="1" x14ac:dyDescent="0.25">
      <c r="B189" s="75" t="str">
        <f>IF('Conductor-Guarda-Azafata'!B189="","",'Conductor-Guarda-Azafata'!B189)</f>
        <v/>
      </c>
      <c r="C189" s="76" t="str">
        <f>IF($B189="","",VLOOKUP($B189,'Conductor-Guarda-Azafata'!$B$8:$AN$271,4,FALSE))</f>
        <v/>
      </c>
      <c r="D189" s="77" t="str">
        <f>IF($B189="","",VLOOKUP($B189,'Conductor-Guarda-Azafata'!$B$8:$AN$271,6,FALSE))</f>
        <v/>
      </c>
      <c r="E189" s="33"/>
      <c r="F189" s="12" t="str">
        <f>IF(E189="","",VLOOKUP(E189,Personal!$A$1:$F$501,2,FALSE))</f>
        <v/>
      </c>
      <c r="G189" s="4"/>
      <c r="H189" s="4"/>
      <c r="I189" s="4"/>
      <c r="J189" s="4"/>
      <c r="K189" s="4"/>
      <c r="L189" s="4"/>
      <c r="M189" s="64"/>
      <c r="N189" s="95"/>
      <c r="O189" s="4"/>
      <c r="P189" s="4"/>
      <c r="Q189" s="64"/>
    </row>
    <row r="190" spans="2:17" ht="20.100000000000001" customHeight="1" x14ac:dyDescent="0.25">
      <c r="B190" s="75" t="str">
        <f>IF('Conductor-Guarda-Azafata'!B190="","",'Conductor-Guarda-Azafata'!B190)</f>
        <v/>
      </c>
      <c r="C190" s="76" t="str">
        <f>IF($B190="","",VLOOKUP($B190,'Conductor-Guarda-Azafata'!$B$8:$AN$271,4,FALSE))</f>
        <v/>
      </c>
      <c r="D190" s="77" t="str">
        <f>IF($B190="","",VLOOKUP($B190,'Conductor-Guarda-Azafata'!$B$8:$AN$271,6,FALSE))</f>
        <v/>
      </c>
      <c r="E190" s="33"/>
      <c r="F190" s="12" t="str">
        <f>IF(E190="","",VLOOKUP(E190,Personal!$A$1:$F$501,2,FALSE))</f>
        <v/>
      </c>
      <c r="G190" s="4"/>
      <c r="H190" s="4"/>
      <c r="I190" s="4"/>
      <c r="J190" s="4"/>
      <c r="K190" s="4"/>
      <c r="L190" s="4"/>
      <c r="M190" s="64"/>
      <c r="N190" s="95"/>
      <c r="O190" s="4"/>
      <c r="P190" s="4"/>
      <c r="Q190" s="64"/>
    </row>
    <row r="191" spans="2:17" ht="20.100000000000001" customHeight="1" x14ac:dyDescent="0.25">
      <c r="B191" s="75" t="str">
        <f>IF('Conductor-Guarda-Azafata'!B191="","",'Conductor-Guarda-Azafata'!B191)</f>
        <v/>
      </c>
      <c r="C191" s="76" t="str">
        <f>IF($B191="","",VLOOKUP($B191,'Conductor-Guarda-Azafata'!$B$8:$AN$271,4,FALSE))</f>
        <v/>
      </c>
      <c r="D191" s="77" t="str">
        <f>IF($B191="","",VLOOKUP($B191,'Conductor-Guarda-Azafata'!$B$8:$AN$271,6,FALSE))</f>
        <v/>
      </c>
      <c r="E191" s="33"/>
      <c r="F191" s="12" t="str">
        <f>IF(E191="","",VLOOKUP(E191,Personal!$A$1:$F$501,2,FALSE))</f>
        <v/>
      </c>
      <c r="G191" s="4"/>
      <c r="H191" s="4"/>
      <c r="I191" s="4"/>
      <c r="J191" s="4"/>
      <c r="K191" s="4"/>
      <c r="L191" s="4"/>
      <c r="M191" s="64"/>
      <c r="N191" s="95"/>
      <c r="O191" s="4"/>
      <c r="P191" s="4"/>
      <c r="Q191" s="64"/>
    </row>
    <row r="192" spans="2:17" ht="20.100000000000001" customHeight="1" x14ac:dyDescent="0.25">
      <c r="B192" s="75" t="str">
        <f>IF('Conductor-Guarda-Azafata'!B192="","",'Conductor-Guarda-Azafata'!B192)</f>
        <v/>
      </c>
      <c r="C192" s="76" t="str">
        <f>IF($B192="","",VLOOKUP($B192,'Conductor-Guarda-Azafata'!$B$8:$AN$271,4,FALSE))</f>
        <v/>
      </c>
      <c r="D192" s="77" t="str">
        <f>IF($B192="","",VLOOKUP($B192,'Conductor-Guarda-Azafata'!$B$8:$AN$271,6,FALSE))</f>
        <v/>
      </c>
      <c r="E192" s="33"/>
      <c r="F192" s="12" t="str">
        <f>IF(E192="","",VLOOKUP(E192,Personal!$A$1:$F$501,2,FALSE))</f>
        <v/>
      </c>
      <c r="G192" s="4"/>
      <c r="H192" s="4"/>
      <c r="I192" s="4"/>
      <c r="J192" s="4"/>
      <c r="K192" s="4"/>
      <c r="L192" s="4"/>
      <c r="M192" s="64"/>
      <c r="N192" s="95"/>
      <c r="O192" s="4"/>
      <c r="P192" s="4"/>
      <c r="Q192" s="64"/>
    </row>
    <row r="193" spans="2:17" ht="20.100000000000001" customHeight="1" x14ac:dyDescent="0.25">
      <c r="B193" s="75" t="str">
        <f>IF('Conductor-Guarda-Azafata'!B193="","",'Conductor-Guarda-Azafata'!B193)</f>
        <v/>
      </c>
      <c r="C193" s="76" t="str">
        <f>IF($B193="","",VLOOKUP($B193,'Conductor-Guarda-Azafata'!$B$8:$AN$271,4,FALSE))</f>
        <v/>
      </c>
      <c r="D193" s="77" t="str">
        <f>IF($B193="","",VLOOKUP($B193,'Conductor-Guarda-Azafata'!$B$8:$AN$271,6,FALSE))</f>
        <v/>
      </c>
      <c r="E193" s="33"/>
      <c r="F193" s="12" t="str">
        <f>IF(E193="","",VLOOKUP(E193,Personal!$A$1:$F$501,2,FALSE))</f>
        <v/>
      </c>
      <c r="G193" s="4"/>
      <c r="H193" s="4"/>
      <c r="I193" s="4"/>
      <c r="J193" s="4"/>
      <c r="K193" s="4"/>
      <c r="L193" s="4"/>
      <c r="M193" s="64"/>
      <c r="N193" s="95"/>
      <c r="O193" s="4"/>
      <c r="P193" s="4"/>
      <c r="Q193" s="64"/>
    </row>
    <row r="194" spans="2:17" ht="20.100000000000001" customHeight="1" x14ac:dyDescent="0.25">
      <c r="B194" s="75" t="str">
        <f>IF('Conductor-Guarda-Azafata'!B194="","",'Conductor-Guarda-Azafata'!B194)</f>
        <v/>
      </c>
      <c r="C194" s="76" t="str">
        <f>IF($B194="","",VLOOKUP($B194,'Conductor-Guarda-Azafata'!$B$8:$AN$271,4,FALSE))</f>
        <v/>
      </c>
      <c r="D194" s="77" t="str">
        <f>IF($B194="","",VLOOKUP($B194,'Conductor-Guarda-Azafata'!$B$8:$AN$271,6,FALSE))</f>
        <v/>
      </c>
      <c r="E194" s="33"/>
      <c r="F194" s="12" t="str">
        <f>IF(E194="","",VLOOKUP(E194,Personal!$A$1:$F$501,2,FALSE))</f>
        <v/>
      </c>
      <c r="G194" s="4"/>
      <c r="H194" s="4"/>
      <c r="I194" s="4"/>
      <c r="J194" s="4"/>
      <c r="K194" s="4"/>
      <c r="L194" s="4"/>
      <c r="M194" s="64"/>
      <c r="N194" s="95"/>
      <c r="O194" s="4"/>
      <c r="P194" s="4"/>
      <c r="Q194" s="64"/>
    </row>
    <row r="195" spans="2:17" ht="20.100000000000001" customHeight="1" x14ac:dyDescent="0.25">
      <c r="B195" s="75" t="str">
        <f>IF('Conductor-Guarda-Azafata'!B195="","",'Conductor-Guarda-Azafata'!B195)</f>
        <v/>
      </c>
      <c r="C195" s="76" t="str">
        <f>IF($B195="","",VLOOKUP($B195,'Conductor-Guarda-Azafata'!$B$8:$AN$271,4,FALSE))</f>
        <v/>
      </c>
      <c r="D195" s="77" t="str">
        <f>IF($B195="","",VLOOKUP($B195,'Conductor-Guarda-Azafata'!$B$8:$AN$271,6,FALSE))</f>
        <v/>
      </c>
      <c r="E195" s="33"/>
      <c r="F195" s="12" t="str">
        <f>IF(E195="","",VLOOKUP(E195,Personal!$A$1:$F$501,2,FALSE))</f>
        <v/>
      </c>
      <c r="G195" s="4"/>
      <c r="H195" s="4"/>
      <c r="I195" s="4"/>
      <c r="J195" s="4"/>
      <c r="K195" s="4"/>
      <c r="L195" s="4"/>
      <c r="M195" s="64"/>
      <c r="N195" s="95"/>
      <c r="O195" s="4"/>
      <c r="P195" s="4"/>
      <c r="Q195" s="64"/>
    </row>
    <row r="196" spans="2:17" ht="20.100000000000001" customHeight="1" x14ac:dyDescent="0.25">
      <c r="B196" s="75" t="str">
        <f>IF('Conductor-Guarda-Azafata'!B196="","",'Conductor-Guarda-Azafata'!B196)</f>
        <v/>
      </c>
      <c r="C196" s="76" t="str">
        <f>IF($B196="","",VLOOKUP($B196,'Conductor-Guarda-Azafata'!$B$8:$AN$271,4,FALSE))</f>
        <v/>
      </c>
      <c r="D196" s="77" t="str">
        <f>IF($B196="","",VLOOKUP($B196,'Conductor-Guarda-Azafata'!$B$8:$AN$271,6,FALSE))</f>
        <v/>
      </c>
      <c r="E196" s="33"/>
      <c r="F196" s="12" t="str">
        <f>IF(E196="","",VLOOKUP(E196,Personal!$A$1:$F$501,2,FALSE))</f>
        <v/>
      </c>
      <c r="G196" s="4"/>
      <c r="H196" s="4"/>
      <c r="I196" s="4"/>
      <c r="J196" s="4"/>
      <c r="K196" s="4"/>
      <c r="L196" s="4"/>
      <c r="M196" s="64"/>
      <c r="N196" s="95"/>
      <c r="O196" s="4"/>
      <c r="P196" s="4"/>
      <c r="Q196" s="64"/>
    </row>
    <row r="197" spans="2:17" ht="20.100000000000001" customHeight="1" x14ac:dyDescent="0.25">
      <c r="B197" s="75" t="str">
        <f>IF('Conductor-Guarda-Azafata'!B197="","",'Conductor-Guarda-Azafata'!B197)</f>
        <v/>
      </c>
      <c r="C197" s="76" t="str">
        <f>IF($B197="","",VLOOKUP($B197,'Conductor-Guarda-Azafata'!$B$8:$AN$271,4,FALSE))</f>
        <v/>
      </c>
      <c r="D197" s="77" t="str">
        <f>IF($B197="","",VLOOKUP($B197,'Conductor-Guarda-Azafata'!$B$8:$AN$271,6,FALSE))</f>
        <v/>
      </c>
      <c r="E197" s="33"/>
      <c r="F197" s="12" t="str">
        <f>IF(E197="","",VLOOKUP(E197,Personal!$A$1:$F$501,2,FALSE))</f>
        <v/>
      </c>
      <c r="G197" s="4"/>
      <c r="H197" s="4"/>
      <c r="I197" s="4"/>
      <c r="J197" s="4"/>
      <c r="K197" s="4"/>
      <c r="L197" s="4"/>
      <c r="M197" s="64"/>
      <c r="N197" s="95"/>
      <c r="O197" s="4"/>
      <c r="P197" s="4"/>
      <c r="Q197" s="64"/>
    </row>
    <row r="198" spans="2:17" ht="20.100000000000001" customHeight="1" x14ac:dyDescent="0.25">
      <c r="B198" s="75" t="str">
        <f>IF('Conductor-Guarda-Azafata'!B198="","",'Conductor-Guarda-Azafata'!B198)</f>
        <v/>
      </c>
      <c r="C198" s="76" t="str">
        <f>IF($B198="","",VLOOKUP($B198,'Conductor-Guarda-Azafata'!$B$8:$AN$271,4,FALSE))</f>
        <v/>
      </c>
      <c r="D198" s="77" t="str">
        <f>IF($B198="","",VLOOKUP($B198,'Conductor-Guarda-Azafata'!$B$8:$AN$271,6,FALSE))</f>
        <v/>
      </c>
      <c r="E198" s="33"/>
      <c r="F198" s="12" t="str">
        <f>IF(E198="","",VLOOKUP(E198,Personal!$A$1:$F$501,2,FALSE))</f>
        <v/>
      </c>
      <c r="G198" s="4"/>
      <c r="H198" s="4"/>
      <c r="I198" s="4"/>
      <c r="J198" s="4"/>
      <c r="K198" s="4"/>
      <c r="L198" s="4"/>
      <c r="M198" s="64"/>
      <c r="N198" s="95"/>
      <c r="O198" s="4"/>
      <c r="P198" s="4"/>
      <c r="Q198" s="64"/>
    </row>
    <row r="199" spans="2:17" ht="20.100000000000001" customHeight="1" x14ac:dyDescent="0.25">
      <c r="B199" s="75" t="str">
        <f>IF('Conductor-Guarda-Azafata'!B199="","",'Conductor-Guarda-Azafata'!B199)</f>
        <v/>
      </c>
      <c r="C199" s="76" t="str">
        <f>IF($B199="","",VLOOKUP($B199,'Conductor-Guarda-Azafata'!$B$8:$AN$271,4,FALSE))</f>
        <v/>
      </c>
      <c r="D199" s="77" t="str">
        <f>IF($B199="","",VLOOKUP($B199,'Conductor-Guarda-Azafata'!$B$8:$AN$271,6,FALSE))</f>
        <v/>
      </c>
      <c r="E199" s="33"/>
      <c r="F199" s="12" t="str">
        <f>IF(E199="","",VLOOKUP(E199,Personal!$A$1:$F$501,2,FALSE))</f>
        <v/>
      </c>
      <c r="G199" s="4"/>
      <c r="H199" s="4"/>
      <c r="I199" s="4"/>
      <c r="J199" s="4"/>
      <c r="K199" s="4"/>
      <c r="L199" s="4"/>
      <c r="M199" s="64"/>
      <c r="N199" s="95"/>
      <c r="O199" s="4"/>
      <c r="P199" s="4"/>
      <c r="Q199" s="64"/>
    </row>
    <row r="200" spans="2:17" ht="20.100000000000001" customHeight="1" x14ac:dyDescent="0.25">
      <c r="B200" s="75" t="str">
        <f>IF('Conductor-Guarda-Azafata'!B200="","",'Conductor-Guarda-Azafata'!B200)</f>
        <v/>
      </c>
      <c r="C200" s="76" t="str">
        <f>IF($B200="","",VLOOKUP($B200,'Conductor-Guarda-Azafata'!$B$8:$AN$271,4,FALSE))</f>
        <v/>
      </c>
      <c r="D200" s="77" t="str">
        <f>IF($B200="","",VLOOKUP($B200,'Conductor-Guarda-Azafata'!$B$8:$AN$271,6,FALSE))</f>
        <v/>
      </c>
      <c r="E200" s="33"/>
      <c r="F200" s="12" t="str">
        <f>IF(E200="","",VLOOKUP(E200,Personal!$A$1:$F$501,2,FALSE))</f>
        <v/>
      </c>
      <c r="G200" s="4"/>
      <c r="H200" s="4"/>
      <c r="I200" s="4"/>
      <c r="J200" s="4"/>
      <c r="K200" s="4"/>
      <c r="L200" s="4"/>
      <c r="M200" s="64"/>
      <c r="N200" s="95"/>
      <c r="O200" s="4"/>
      <c r="P200" s="4"/>
      <c r="Q200" s="64"/>
    </row>
    <row r="201" spans="2:17" ht="20.100000000000001" customHeight="1" x14ac:dyDescent="0.25">
      <c r="B201" s="75" t="str">
        <f>IF('Conductor-Guarda-Azafata'!B201="","",'Conductor-Guarda-Azafata'!B201)</f>
        <v/>
      </c>
      <c r="C201" s="76" t="str">
        <f>IF($B201="","",VLOOKUP($B201,'Conductor-Guarda-Azafata'!$B$8:$AN$271,4,FALSE))</f>
        <v/>
      </c>
      <c r="D201" s="77" t="str">
        <f>IF($B201="","",VLOOKUP($B201,'Conductor-Guarda-Azafata'!$B$8:$AN$271,6,FALSE))</f>
        <v/>
      </c>
      <c r="E201" s="33"/>
      <c r="F201" s="12" t="str">
        <f>IF(E201="","",VLOOKUP(E201,Personal!$A$1:$F$501,2,FALSE))</f>
        <v/>
      </c>
      <c r="G201" s="4"/>
      <c r="H201" s="4"/>
      <c r="I201" s="4"/>
      <c r="J201" s="4"/>
      <c r="K201" s="4"/>
      <c r="L201" s="4"/>
      <c r="M201" s="64"/>
      <c r="N201" s="95"/>
      <c r="O201" s="4"/>
      <c r="P201" s="4"/>
      <c r="Q201" s="64"/>
    </row>
    <row r="202" spans="2:17" ht="20.100000000000001" customHeight="1" x14ac:dyDescent="0.25">
      <c r="B202" s="75" t="str">
        <f>IF('Conductor-Guarda-Azafata'!B202="","",'Conductor-Guarda-Azafata'!B202)</f>
        <v/>
      </c>
      <c r="C202" s="76" t="str">
        <f>IF($B202="","",VLOOKUP($B202,'Conductor-Guarda-Azafata'!$B$8:$AN$271,4,FALSE))</f>
        <v/>
      </c>
      <c r="D202" s="77" t="str">
        <f>IF($B202="","",VLOOKUP($B202,'Conductor-Guarda-Azafata'!$B$8:$AN$271,6,FALSE))</f>
        <v/>
      </c>
      <c r="E202" s="33"/>
      <c r="F202" s="12" t="str">
        <f>IF(E202="","",VLOOKUP(E202,Personal!$A$1:$F$501,2,FALSE))</f>
        <v/>
      </c>
      <c r="G202" s="4"/>
      <c r="H202" s="4"/>
      <c r="I202" s="4"/>
      <c r="J202" s="4"/>
      <c r="K202" s="4"/>
      <c r="L202" s="4"/>
      <c r="M202" s="64"/>
      <c r="N202" s="95"/>
      <c r="O202" s="4"/>
      <c r="P202" s="4"/>
      <c r="Q202" s="64"/>
    </row>
    <row r="203" spans="2:17" ht="20.100000000000001" customHeight="1" x14ac:dyDescent="0.25">
      <c r="B203" s="75" t="str">
        <f>IF('Conductor-Guarda-Azafata'!B203="","",'Conductor-Guarda-Azafata'!B203)</f>
        <v/>
      </c>
      <c r="C203" s="76" t="str">
        <f>IF($B203="","",VLOOKUP($B203,'Conductor-Guarda-Azafata'!$B$8:$AN$271,4,FALSE))</f>
        <v/>
      </c>
      <c r="D203" s="77" t="str">
        <f>IF($B203="","",VLOOKUP($B203,'Conductor-Guarda-Azafata'!$B$8:$AN$271,6,FALSE))</f>
        <v/>
      </c>
      <c r="E203" s="33"/>
      <c r="F203" s="12" t="str">
        <f>IF(E203="","",VLOOKUP(E203,Personal!$A$1:$F$501,2,FALSE))</f>
        <v/>
      </c>
      <c r="G203" s="4"/>
      <c r="H203" s="4"/>
      <c r="I203" s="4"/>
      <c r="J203" s="4"/>
      <c r="K203" s="4"/>
      <c r="L203" s="4"/>
      <c r="M203" s="64"/>
      <c r="N203" s="95"/>
      <c r="O203" s="4"/>
      <c r="P203" s="4"/>
      <c r="Q203" s="64"/>
    </row>
    <row r="204" spans="2:17" ht="20.100000000000001" customHeight="1" x14ac:dyDescent="0.25">
      <c r="B204" s="75" t="str">
        <f>IF('Conductor-Guarda-Azafata'!B204="","",'Conductor-Guarda-Azafata'!B204)</f>
        <v/>
      </c>
      <c r="C204" s="76" t="str">
        <f>IF($B204="","",VLOOKUP($B204,'Conductor-Guarda-Azafata'!$B$8:$AN$271,4,FALSE))</f>
        <v/>
      </c>
      <c r="D204" s="77" t="str">
        <f>IF($B204="","",VLOOKUP($B204,'Conductor-Guarda-Azafata'!$B$8:$AN$271,6,FALSE))</f>
        <v/>
      </c>
      <c r="E204" s="33"/>
      <c r="F204" s="12" t="str">
        <f>IF(E204="","",VLOOKUP(E204,Personal!$A$1:$F$501,2,FALSE))</f>
        <v/>
      </c>
      <c r="G204" s="4"/>
      <c r="H204" s="4"/>
      <c r="I204" s="4"/>
      <c r="J204" s="4"/>
      <c r="K204" s="4"/>
      <c r="L204" s="4"/>
      <c r="M204" s="64"/>
      <c r="N204" s="95"/>
      <c r="O204" s="4"/>
      <c r="P204" s="4"/>
      <c r="Q204" s="64"/>
    </row>
    <row r="205" spans="2:17" ht="20.100000000000001" customHeight="1" x14ac:dyDescent="0.25">
      <c r="B205" s="75" t="str">
        <f>IF('Conductor-Guarda-Azafata'!B205="","",'Conductor-Guarda-Azafata'!B205)</f>
        <v/>
      </c>
      <c r="C205" s="76" t="str">
        <f>IF($B205="","",VLOOKUP($B205,'Conductor-Guarda-Azafata'!$B$8:$AN$271,4,FALSE))</f>
        <v/>
      </c>
      <c r="D205" s="77" t="str">
        <f>IF($B205="","",VLOOKUP($B205,'Conductor-Guarda-Azafata'!$B$8:$AN$271,6,FALSE))</f>
        <v/>
      </c>
      <c r="E205" s="33"/>
      <c r="F205" s="12" t="str">
        <f>IF(E205="","",VLOOKUP(E205,Personal!$A$1:$F$501,2,FALSE))</f>
        <v/>
      </c>
      <c r="G205" s="4"/>
      <c r="H205" s="4"/>
      <c r="I205" s="4"/>
      <c r="J205" s="4"/>
      <c r="K205" s="4"/>
      <c r="L205" s="4"/>
      <c r="M205" s="64"/>
      <c r="N205" s="95"/>
      <c r="O205" s="4"/>
      <c r="P205" s="4"/>
      <c r="Q205" s="64"/>
    </row>
    <row r="206" spans="2:17" ht="20.100000000000001" customHeight="1" x14ac:dyDescent="0.25">
      <c r="B206" s="75" t="str">
        <f>IF('Conductor-Guarda-Azafata'!B206="","",'Conductor-Guarda-Azafata'!B206)</f>
        <v/>
      </c>
      <c r="C206" s="76" t="str">
        <f>IF($B206="","",VLOOKUP($B206,'Conductor-Guarda-Azafata'!$B$8:$AN$271,4,FALSE))</f>
        <v/>
      </c>
      <c r="D206" s="77" t="str">
        <f>IF($B206="","",VLOOKUP($B206,'Conductor-Guarda-Azafata'!$B$8:$AN$271,6,FALSE))</f>
        <v/>
      </c>
      <c r="E206" s="33"/>
      <c r="F206" s="12" t="str">
        <f>IF(E206="","",VLOOKUP(E206,Personal!$A$1:$F$501,2,FALSE))</f>
        <v/>
      </c>
      <c r="G206" s="4"/>
      <c r="H206" s="4"/>
      <c r="I206" s="4"/>
      <c r="J206" s="4"/>
      <c r="K206" s="4"/>
      <c r="L206" s="4"/>
      <c r="M206" s="64"/>
      <c r="N206" s="95"/>
      <c r="O206" s="4"/>
      <c r="P206" s="4"/>
      <c r="Q206" s="64"/>
    </row>
    <row r="207" spans="2:17" ht="20.100000000000001" customHeight="1" x14ac:dyDescent="0.25">
      <c r="B207" s="75" t="str">
        <f>IF('Conductor-Guarda-Azafata'!B207="","",'Conductor-Guarda-Azafata'!B207)</f>
        <v/>
      </c>
      <c r="C207" s="76" t="str">
        <f>IF($B207="","",VLOOKUP($B207,'Conductor-Guarda-Azafata'!$B$8:$AN$271,4,FALSE))</f>
        <v/>
      </c>
      <c r="D207" s="77" t="str">
        <f>IF($B207="","",VLOOKUP($B207,'Conductor-Guarda-Azafata'!$B$8:$AN$271,6,FALSE))</f>
        <v/>
      </c>
      <c r="E207" s="33"/>
      <c r="F207" s="12" t="str">
        <f>IF(E207="","",VLOOKUP(E207,Personal!$A$1:$F$501,2,FALSE))</f>
        <v/>
      </c>
      <c r="G207" s="4"/>
      <c r="H207" s="4"/>
      <c r="I207" s="4"/>
      <c r="J207" s="4"/>
      <c r="K207" s="4"/>
      <c r="L207" s="4"/>
      <c r="M207" s="64"/>
      <c r="N207" s="95"/>
      <c r="O207" s="4"/>
      <c r="P207" s="4"/>
      <c r="Q207" s="64"/>
    </row>
    <row r="208" spans="2:17" ht="20.100000000000001" customHeight="1" x14ac:dyDescent="0.25">
      <c r="B208" s="75" t="str">
        <f>IF('Conductor-Guarda-Azafata'!B208="","",'Conductor-Guarda-Azafata'!B208)</f>
        <v/>
      </c>
      <c r="C208" s="76" t="str">
        <f>IF($B208="","",VLOOKUP($B208,'Conductor-Guarda-Azafata'!$B$8:$AN$271,4,FALSE))</f>
        <v/>
      </c>
      <c r="D208" s="77" t="str">
        <f>IF($B208="","",VLOOKUP($B208,'Conductor-Guarda-Azafata'!$B$8:$AN$271,6,FALSE))</f>
        <v/>
      </c>
      <c r="E208" s="33"/>
      <c r="F208" s="12" t="str">
        <f>IF(E208="","",VLOOKUP(E208,Personal!$A$1:$F$501,2,FALSE))</f>
        <v/>
      </c>
      <c r="G208" s="4"/>
      <c r="H208" s="4"/>
      <c r="I208" s="4"/>
      <c r="J208" s="4"/>
      <c r="K208" s="4"/>
      <c r="L208" s="4"/>
      <c r="M208" s="64"/>
      <c r="N208" s="95"/>
      <c r="O208" s="4"/>
      <c r="P208" s="4"/>
      <c r="Q208" s="64"/>
    </row>
    <row r="209" spans="2:17" ht="20.100000000000001" customHeight="1" x14ac:dyDescent="0.25">
      <c r="B209" s="75" t="str">
        <f>IF('Conductor-Guarda-Azafata'!B209="","",'Conductor-Guarda-Azafata'!B209)</f>
        <v/>
      </c>
      <c r="C209" s="76" t="str">
        <f>IF($B209="","",VLOOKUP($B209,'Conductor-Guarda-Azafata'!$B$8:$AN$271,4,FALSE))</f>
        <v/>
      </c>
      <c r="D209" s="77" t="str">
        <f>IF($B209="","",VLOOKUP($B209,'Conductor-Guarda-Azafata'!$B$8:$AN$271,6,FALSE))</f>
        <v/>
      </c>
      <c r="E209" s="33"/>
      <c r="F209" s="12" t="str">
        <f>IF(E209="","",VLOOKUP(E209,Personal!$A$1:$F$501,2,FALSE))</f>
        <v/>
      </c>
      <c r="G209" s="4"/>
      <c r="H209" s="4"/>
      <c r="I209" s="4"/>
      <c r="J209" s="4"/>
      <c r="K209" s="4"/>
      <c r="L209" s="4"/>
      <c r="M209" s="64"/>
      <c r="N209" s="95"/>
      <c r="O209" s="4"/>
      <c r="P209" s="4"/>
      <c r="Q209" s="64"/>
    </row>
    <row r="210" spans="2:17" ht="20.100000000000001" customHeight="1" x14ac:dyDescent="0.25">
      <c r="B210" s="75" t="str">
        <f>IF('Conductor-Guarda-Azafata'!B210="","",'Conductor-Guarda-Azafata'!B210)</f>
        <v/>
      </c>
      <c r="C210" s="76" t="str">
        <f>IF($B210="","",VLOOKUP($B210,'Conductor-Guarda-Azafata'!$B$8:$AN$271,4,FALSE))</f>
        <v/>
      </c>
      <c r="D210" s="77" t="str">
        <f>IF($B210="","",VLOOKUP($B210,'Conductor-Guarda-Azafata'!$B$8:$AN$271,6,FALSE))</f>
        <v/>
      </c>
      <c r="E210" s="33"/>
      <c r="F210" s="12" t="str">
        <f>IF(E210="","",VLOOKUP(E210,Personal!$A$1:$F$501,2,FALSE))</f>
        <v/>
      </c>
      <c r="G210" s="4"/>
      <c r="H210" s="4"/>
      <c r="I210" s="4"/>
      <c r="J210" s="4"/>
      <c r="K210" s="4"/>
      <c r="L210" s="4"/>
      <c r="M210" s="64"/>
      <c r="N210" s="95"/>
      <c r="O210" s="4"/>
      <c r="P210" s="4"/>
      <c r="Q210" s="64"/>
    </row>
    <row r="211" spans="2:17" ht="20.100000000000001" customHeight="1" x14ac:dyDescent="0.25">
      <c r="B211" s="75" t="str">
        <f>IF('Conductor-Guarda-Azafata'!B211="","",'Conductor-Guarda-Azafata'!B211)</f>
        <v/>
      </c>
      <c r="C211" s="76" t="str">
        <f>IF($B211="","",VLOOKUP($B211,'Conductor-Guarda-Azafata'!$B$8:$AN$271,4,FALSE))</f>
        <v/>
      </c>
      <c r="D211" s="77" t="str">
        <f>IF($B211="","",VLOOKUP($B211,'Conductor-Guarda-Azafata'!$B$8:$AN$271,6,FALSE))</f>
        <v/>
      </c>
      <c r="E211" s="33"/>
      <c r="F211" s="12" t="str">
        <f>IF(E211="","",VLOOKUP(E211,Personal!$A$1:$F$501,2,FALSE))</f>
        <v/>
      </c>
      <c r="G211" s="4"/>
      <c r="H211" s="4"/>
      <c r="I211" s="4"/>
      <c r="J211" s="4"/>
      <c r="K211" s="4"/>
      <c r="L211" s="4"/>
      <c r="M211" s="64"/>
      <c r="N211" s="95"/>
      <c r="O211" s="4"/>
      <c r="P211" s="4"/>
      <c r="Q211" s="64"/>
    </row>
    <row r="212" spans="2:17" ht="20.100000000000001" customHeight="1" x14ac:dyDescent="0.25">
      <c r="B212" s="75" t="str">
        <f>IF('Conductor-Guarda-Azafata'!B212="","",'Conductor-Guarda-Azafata'!B212)</f>
        <v/>
      </c>
      <c r="C212" s="76" t="str">
        <f>IF($B212="","",VLOOKUP($B212,'Conductor-Guarda-Azafata'!$B$8:$AN$271,4,FALSE))</f>
        <v/>
      </c>
      <c r="D212" s="77" t="str">
        <f>IF($B212="","",VLOOKUP($B212,'Conductor-Guarda-Azafata'!$B$8:$AN$271,6,FALSE))</f>
        <v/>
      </c>
      <c r="E212" s="33"/>
      <c r="F212" s="12" t="str">
        <f>IF(E212="","",VLOOKUP(E212,Personal!$A$1:$F$501,2,FALSE))</f>
        <v/>
      </c>
      <c r="G212" s="4"/>
      <c r="H212" s="4"/>
      <c r="I212" s="4"/>
      <c r="J212" s="4"/>
      <c r="K212" s="4"/>
      <c r="L212" s="4"/>
      <c r="M212" s="64"/>
      <c r="N212" s="95"/>
      <c r="O212" s="4"/>
      <c r="P212" s="4"/>
      <c r="Q212" s="64"/>
    </row>
    <row r="213" spans="2:17" ht="20.100000000000001" customHeight="1" x14ac:dyDescent="0.25">
      <c r="B213" s="75" t="str">
        <f>IF('Conductor-Guarda-Azafata'!B213="","",'Conductor-Guarda-Azafata'!B213)</f>
        <v/>
      </c>
      <c r="C213" s="76" t="str">
        <f>IF($B213="","",VLOOKUP($B213,'Conductor-Guarda-Azafata'!$B$8:$AN$271,4,FALSE))</f>
        <v/>
      </c>
      <c r="D213" s="77" t="str">
        <f>IF($B213="","",VLOOKUP($B213,'Conductor-Guarda-Azafata'!$B$8:$AN$271,6,FALSE))</f>
        <v/>
      </c>
      <c r="E213" s="33"/>
      <c r="F213" s="12" t="str">
        <f>IF(E213="","",VLOOKUP(E213,Personal!$A$1:$F$501,2,FALSE))</f>
        <v/>
      </c>
      <c r="G213" s="4"/>
      <c r="H213" s="4"/>
      <c r="I213" s="4"/>
      <c r="J213" s="4"/>
      <c r="K213" s="4"/>
      <c r="L213" s="4"/>
      <c r="M213" s="64"/>
      <c r="N213" s="95"/>
      <c r="O213" s="4"/>
      <c r="P213" s="4"/>
      <c r="Q213" s="64"/>
    </row>
    <row r="214" spans="2:17" ht="20.100000000000001" customHeight="1" x14ac:dyDescent="0.25">
      <c r="B214" s="75" t="str">
        <f>IF('Conductor-Guarda-Azafata'!B214="","",'Conductor-Guarda-Azafata'!B214)</f>
        <v/>
      </c>
      <c r="C214" s="76" t="str">
        <f>IF($B214="","",VLOOKUP($B214,'Conductor-Guarda-Azafata'!$B$8:$AN$271,4,FALSE))</f>
        <v/>
      </c>
      <c r="D214" s="77" t="str">
        <f>IF($B214="","",VLOOKUP($B214,'Conductor-Guarda-Azafata'!$B$8:$AN$271,6,FALSE))</f>
        <v/>
      </c>
      <c r="E214" s="33"/>
      <c r="F214" s="12" t="str">
        <f>IF(E214="","",VLOOKUP(E214,Personal!$A$1:$F$501,2,FALSE))</f>
        <v/>
      </c>
      <c r="G214" s="4"/>
      <c r="H214" s="4"/>
      <c r="I214" s="4"/>
      <c r="J214" s="4"/>
      <c r="K214" s="4"/>
      <c r="L214" s="4"/>
      <c r="M214" s="64"/>
      <c r="N214" s="95"/>
      <c r="O214" s="4"/>
      <c r="P214" s="4"/>
      <c r="Q214" s="64"/>
    </row>
    <row r="215" spans="2:17" ht="20.100000000000001" customHeight="1" x14ac:dyDescent="0.25">
      <c r="B215" s="75" t="str">
        <f>IF('Conductor-Guarda-Azafata'!B215="","",'Conductor-Guarda-Azafata'!B215)</f>
        <v/>
      </c>
      <c r="C215" s="76" t="str">
        <f>IF($B215="","",VLOOKUP($B215,'Conductor-Guarda-Azafata'!$B$8:$AN$271,4,FALSE))</f>
        <v/>
      </c>
      <c r="D215" s="77" t="str">
        <f>IF($B215="","",VLOOKUP($B215,'Conductor-Guarda-Azafata'!$B$8:$AN$271,6,FALSE))</f>
        <v/>
      </c>
      <c r="E215" s="33"/>
      <c r="F215" s="12" t="str">
        <f>IF(E215="","",VLOOKUP(E215,Personal!$A$1:$F$501,2,FALSE))</f>
        <v/>
      </c>
      <c r="G215" s="4"/>
      <c r="H215" s="4"/>
      <c r="I215" s="4"/>
      <c r="J215" s="4"/>
      <c r="K215" s="4"/>
      <c r="L215" s="4"/>
      <c r="M215" s="64"/>
      <c r="N215" s="95"/>
      <c r="O215" s="4"/>
      <c r="P215" s="4"/>
      <c r="Q215" s="64"/>
    </row>
    <row r="216" spans="2:17" ht="20.100000000000001" customHeight="1" x14ac:dyDescent="0.25">
      <c r="B216" s="75" t="str">
        <f>IF('Conductor-Guarda-Azafata'!B216="","",'Conductor-Guarda-Azafata'!B216)</f>
        <v/>
      </c>
      <c r="C216" s="76" t="str">
        <f>IF($B216="","",VLOOKUP($B216,'Conductor-Guarda-Azafata'!$B$8:$AN$271,4,FALSE))</f>
        <v/>
      </c>
      <c r="D216" s="77" t="str">
        <f>IF($B216="","",VLOOKUP($B216,'Conductor-Guarda-Azafata'!$B$8:$AN$271,6,FALSE))</f>
        <v/>
      </c>
      <c r="E216" s="33"/>
      <c r="F216" s="12" t="str">
        <f>IF(E216="","",VLOOKUP(E216,Personal!$A$1:$F$501,2,FALSE))</f>
        <v/>
      </c>
      <c r="G216" s="4"/>
      <c r="H216" s="4"/>
      <c r="I216" s="4"/>
      <c r="J216" s="4"/>
      <c r="K216" s="4"/>
      <c r="L216" s="4"/>
      <c r="M216" s="64"/>
      <c r="N216" s="95"/>
      <c r="O216" s="4"/>
      <c r="P216" s="4"/>
      <c r="Q216" s="64"/>
    </row>
    <row r="217" spans="2:17" ht="20.100000000000001" customHeight="1" x14ac:dyDescent="0.25">
      <c r="B217" s="75" t="str">
        <f>IF('Conductor-Guarda-Azafata'!B217="","",'Conductor-Guarda-Azafata'!B217)</f>
        <v/>
      </c>
      <c r="C217" s="76" t="str">
        <f>IF($B217="","",VLOOKUP($B217,'Conductor-Guarda-Azafata'!$B$8:$AN$271,4,FALSE))</f>
        <v/>
      </c>
      <c r="D217" s="77" t="str">
        <f>IF($B217="","",VLOOKUP($B217,'Conductor-Guarda-Azafata'!$B$8:$AN$271,6,FALSE))</f>
        <v/>
      </c>
      <c r="E217" s="33"/>
      <c r="F217" s="12" t="str">
        <f>IF(E217="","",VLOOKUP(E217,Personal!$A$1:$F$501,2,FALSE))</f>
        <v/>
      </c>
      <c r="G217" s="4"/>
      <c r="H217" s="4"/>
      <c r="I217" s="4"/>
      <c r="J217" s="4"/>
      <c r="K217" s="4"/>
      <c r="L217" s="4"/>
      <c r="M217" s="64"/>
      <c r="N217" s="95"/>
      <c r="O217" s="4"/>
      <c r="P217" s="4"/>
      <c r="Q217" s="64"/>
    </row>
    <row r="218" spans="2:17" ht="20.100000000000001" customHeight="1" x14ac:dyDescent="0.25">
      <c r="B218" s="75" t="str">
        <f>IF('Conductor-Guarda-Azafata'!B218="","",'Conductor-Guarda-Azafata'!B218)</f>
        <v/>
      </c>
      <c r="C218" s="76" t="str">
        <f>IF($B218="","",VLOOKUP($B218,'Conductor-Guarda-Azafata'!$B$8:$AN$271,4,FALSE))</f>
        <v/>
      </c>
      <c r="D218" s="77" t="str">
        <f>IF($B218="","",VLOOKUP($B218,'Conductor-Guarda-Azafata'!$B$8:$AN$271,6,FALSE))</f>
        <v/>
      </c>
      <c r="E218" s="33"/>
      <c r="F218" s="12" t="str">
        <f>IF(E218="","",VLOOKUP(E218,Personal!$A$1:$F$501,2,FALSE))</f>
        <v/>
      </c>
      <c r="G218" s="4"/>
      <c r="H218" s="4"/>
      <c r="I218" s="4"/>
      <c r="J218" s="4"/>
      <c r="K218" s="4"/>
      <c r="L218" s="4"/>
      <c r="M218" s="64"/>
      <c r="N218" s="95"/>
      <c r="O218" s="4"/>
      <c r="P218" s="4"/>
      <c r="Q218" s="64"/>
    </row>
    <row r="219" spans="2:17" ht="20.100000000000001" customHeight="1" x14ac:dyDescent="0.25">
      <c r="B219" s="75" t="str">
        <f>IF('Conductor-Guarda-Azafata'!B219="","",'Conductor-Guarda-Azafata'!B219)</f>
        <v/>
      </c>
      <c r="C219" s="76" t="str">
        <f>IF($B219="","",VLOOKUP($B219,'Conductor-Guarda-Azafata'!$B$8:$AN$271,4,FALSE))</f>
        <v/>
      </c>
      <c r="D219" s="77" t="str">
        <f>IF($B219="","",VLOOKUP($B219,'Conductor-Guarda-Azafata'!$B$8:$AN$271,6,FALSE))</f>
        <v/>
      </c>
      <c r="E219" s="33"/>
      <c r="F219" s="12" t="str">
        <f>IF(E219="","",VLOOKUP(E219,Personal!$A$1:$F$501,2,FALSE))</f>
        <v/>
      </c>
      <c r="G219" s="4"/>
      <c r="H219" s="4"/>
      <c r="I219" s="4"/>
      <c r="J219" s="4"/>
      <c r="K219" s="4"/>
      <c r="L219" s="4"/>
      <c r="M219" s="64"/>
      <c r="N219" s="95"/>
      <c r="O219" s="4"/>
      <c r="P219" s="4"/>
      <c r="Q219" s="64"/>
    </row>
    <row r="220" spans="2:17" ht="20.100000000000001" customHeight="1" x14ac:dyDescent="0.25">
      <c r="B220" s="75" t="str">
        <f>IF('Conductor-Guarda-Azafata'!B220="","",'Conductor-Guarda-Azafata'!B220)</f>
        <v/>
      </c>
      <c r="C220" s="76" t="str">
        <f>IF($B220="","",VLOOKUP($B220,'Conductor-Guarda-Azafata'!$B$8:$AN$271,4,FALSE))</f>
        <v/>
      </c>
      <c r="D220" s="77" t="str">
        <f>IF($B220="","",VLOOKUP($B220,'Conductor-Guarda-Azafata'!$B$8:$AN$271,6,FALSE))</f>
        <v/>
      </c>
      <c r="E220" s="33"/>
      <c r="F220" s="12" t="str">
        <f>IF(E220="","",VLOOKUP(E220,Personal!$A$1:$F$501,2,FALSE))</f>
        <v/>
      </c>
      <c r="G220" s="4"/>
      <c r="H220" s="4"/>
      <c r="I220" s="4"/>
      <c r="J220" s="4"/>
      <c r="K220" s="4"/>
      <c r="L220" s="4"/>
      <c r="M220" s="64"/>
      <c r="N220" s="95"/>
      <c r="O220" s="4"/>
      <c r="P220" s="4"/>
      <c r="Q220" s="64"/>
    </row>
    <row r="221" spans="2:17" ht="20.100000000000001" customHeight="1" x14ac:dyDescent="0.25">
      <c r="B221" s="75" t="str">
        <f>IF('Conductor-Guarda-Azafata'!B221="","",'Conductor-Guarda-Azafata'!B221)</f>
        <v/>
      </c>
      <c r="C221" s="76" t="str">
        <f>IF($B221="","",VLOOKUP($B221,'Conductor-Guarda-Azafata'!$B$8:$AN$271,4,FALSE))</f>
        <v/>
      </c>
      <c r="D221" s="77" t="str">
        <f>IF($B221="","",VLOOKUP($B221,'Conductor-Guarda-Azafata'!$B$8:$AN$271,6,FALSE))</f>
        <v/>
      </c>
      <c r="E221" s="33"/>
      <c r="F221" s="12" t="str">
        <f>IF(E221="","",VLOOKUP(E221,Personal!$A$1:$F$501,2,FALSE))</f>
        <v/>
      </c>
      <c r="G221" s="4"/>
      <c r="H221" s="4"/>
      <c r="I221" s="4"/>
      <c r="J221" s="4"/>
      <c r="K221" s="4"/>
      <c r="L221" s="4"/>
      <c r="M221" s="64"/>
      <c r="N221" s="95"/>
      <c r="O221" s="4"/>
      <c r="P221" s="4"/>
      <c r="Q221" s="64"/>
    </row>
    <row r="222" spans="2:17" ht="20.100000000000001" customHeight="1" x14ac:dyDescent="0.25">
      <c r="B222" s="75" t="str">
        <f>IF('Conductor-Guarda-Azafata'!B222="","",'Conductor-Guarda-Azafata'!B222)</f>
        <v/>
      </c>
      <c r="C222" s="76" t="str">
        <f>IF($B222="","",VLOOKUP($B222,'Conductor-Guarda-Azafata'!$B$8:$AN$271,4,FALSE))</f>
        <v/>
      </c>
      <c r="D222" s="77" t="str">
        <f>IF($B222="","",VLOOKUP($B222,'Conductor-Guarda-Azafata'!$B$8:$AN$271,6,FALSE))</f>
        <v/>
      </c>
      <c r="E222" s="33"/>
      <c r="F222" s="12" t="str">
        <f>IF(E222="","",VLOOKUP(E222,Personal!$A$1:$F$501,2,FALSE))</f>
        <v/>
      </c>
      <c r="G222" s="4"/>
      <c r="H222" s="4"/>
      <c r="I222" s="4"/>
      <c r="J222" s="4"/>
      <c r="K222" s="4"/>
      <c r="L222" s="4"/>
      <c r="M222" s="64"/>
      <c r="N222" s="95"/>
      <c r="O222" s="4"/>
      <c r="P222" s="4"/>
      <c r="Q222" s="64"/>
    </row>
    <row r="223" spans="2:17" ht="20.100000000000001" customHeight="1" x14ac:dyDescent="0.25">
      <c r="B223" s="75" t="str">
        <f>IF('Conductor-Guarda-Azafata'!B223="","",'Conductor-Guarda-Azafata'!B223)</f>
        <v/>
      </c>
      <c r="C223" s="76" t="str">
        <f>IF($B223="","",VLOOKUP($B223,'Conductor-Guarda-Azafata'!$B$8:$AN$271,4,FALSE))</f>
        <v/>
      </c>
      <c r="D223" s="77" t="str">
        <f>IF($B223="","",VLOOKUP($B223,'Conductor-Guarda-Azafata'!$B$8:$AN$271,6,FALSE))</f>
        <v/>
      </c>
      <c r="E223" s="33"/>
      <c r="F223" s="12" t="str">
        <f>IF(E223="","",VLOOKUP(E223,Personal!$A$1:$F$501,2,FALSE))</f>
        <v/>
      </c>
      <c r="G223" s="4"/>
      <c r="H223" s="4"/>
      <c r="I223" s="4"/>
      <c r="J223" s="4"/>
      <c r="K223" s="4"/>
      <c r="L223" s="4"/>
      <c r="M223" s="64"/>
      <c r="N223" s="95"/>
      <c r="O223" s="4"/>
      <c r="P223" s="4"/>
      <c r="Q223" s="64"/>
    </row>
    <row r="224" spans="2:17" ht="20.100000000000001" customHeight="1" x14ac:dyDescent="0.25">
      <c r="B224" s="75" t="str">
        <f>IF('Conductor-Guarda-Azafata'!B224="","",'Conductor-Guarda-Azafata'!B224)</f>
        <v/>
      </c>
      <c r="C224" s="76" t="str">
        <f>IF($B224="","",VLOOKUP($B224,'Conductor-Guarda-Azafata'!$B$8:$AN$271,4,FALSE))</f>
        <v/>
      </c>
      <c r="D224" s="77" t="str">
        <f>IF($B224="","",VLOOKUP($B224,'Conductor-Guarda-Azafata'!$B$8:$AN$271,6,FALSE))</f>
        <v/>
      </c>
      <c r="E224" s="33"/>
      <c r="F224" s="12" t="str">
        <f>IF(E224="","",VLOOKUP(E224,Personal!$A$1:$F$501,2,FALSE))</f>
        <v/>
      </c>
      <c r="G224" s="4"/>
      <c r="H224" s="4"/>
      <c r="I224" s="4"/>
      <c r="J224" s="4"/>
      <c r="K224" s="4"/>
      <c r="L224" s="4"/>
      <c r="M224" s="64"/>
      <c r="N224" s="95"/>
      <c r="O224" s="4"/>
      <c r="P224" s="4"/>
      <c r="Q224" s="64"/>
    </row>
    <row r="225" spans="2:17" ht="20.100000000000001" customHeight="1" x14ac:dyDescent="0.25">
      <c r="B225" s="75" t="str">
        <f>IF('Conductor-Guarda-Azafata'!B225="","",'Conductor-Guarda-Azafata'!B225)</f>
        <v/>
      </c>
      <c r="C225" s="76" t="str">
        <f>IF($B225="","",VLOOKUP($B225,'Conductor-Guarda-Azafata'!$B$8:$AN$271,4,FALSE))</f>
        <v/>
      </c>
      <c r="D225" s="77" t="str">
        <f>IF($B225="","",VLOOKUP($B225,'Conductor-Guarda-Azafata'!$B$8:$AN$271,6,FALSE))</f>
        <v/>
      </c>
      <c r="E225" s="33"/>
      <c r="F225" s="12" t="str">
        <f>IF(E225="","",VLOOKUP(E225,Personal!$A$1:$F$501,2,FALSE))</f>
        <v/>
      </c>
      <c r="G225" s="4"/>
      <c r="H225" s="4"/>
      <c r="I225" s="4"/>
      <c r="J225" s="4"/>
      <c r="K225" s="4"/>
      <c r="L225" s="4"/>
      <c r="M225" s="64"/>
      <c r="N225" s="95"/>
      <c r="O225" s="4"/>
      <c r="P225" s="4"/>
      <c r="Q225" s="64"/>
    </row>
    <row r="226" spans="2:17" ht="20.100000000000001" customHeight="1" x14ac:dyDescent="0.25">
      <c r="B226" s="75" t="str">
        <f>IF('Conductor-Guarda-Azafata'!B226="","",'Conductor-Guarda-Azafata'!B226)</f>
        <v/>
      </c>
      <c r="C226" s="76" t="str">
        <f>IF($B226="","",VLOOKUP($B226,'Conductor-Guarda-Azafata'!$B$8:$AN$271,4,FALSE))</f>
        <v/>
      </c>
      <c r="D226" s="77" t="str">
        <f>IF($B226="","",VLOOKUP($B226,'Conductor-Guarda-Azafata'!$B$8:$AN$271,6,FALSE))</f>
        <v/>
      </c>
      <c r="E226" s="33"/>
      <c r="F226" s="12" t="str">
        <f>IF(E226="","",VLOOKUP(E226,Personal!$A$1:$F$501,2,FALSE))</f>
        <v/>
      </c>
      <c r="G226" s="4"/>
      <c r="H226" s="4"/>
      <c r="I226" s="4"/>
      <c r="J226" s="4"/>
      <c r="K226" s="4"/>
      <c r="L226" s="4"/>
      <c r="M226" s="64"/>
      <c r="N226" s="95"/>
      <c r="O226" s="4"/>
      <c r="P226" s="4"/>
      <c r="Q226" s="64"/>
    </row>
    <row r="227" spans="2:17" ht="20.100000000000001" customHeight="1" x14ac:dyDescent="0.25">
      <c r="B227" s="75" t="str">
        <f>IF('Conductor-Guarda-Azafata'!B227="","",'Conductor-Guarda-Azafata'!B227)</f>
        <v/>
      </c>
      <c r="C227" s="76" t="str">
        <f>IF($B227="","",VLOOKUP($B227,'Conductor-Guarda-Azafata'!$B$8:$AN$271,4,FALSE))</f>
        <v/>
      </c>
      <c r="D227" s="77" t="str">
        <f>IF($B227="","",VLOOKUP($B227,'Conductor-Guarda-Azafata'!$B$8:$AN$271,6,FALSE))</f>
        <v/>
      </c>
      <c r="E227" s="33"/>
      <c r="F227" s="12" t="str">
        <f>IF(E227="","",VLOOKUP(E227,Personal!$A$1:$F$501,2,FALSE))</f>
        <v/>
      </c>
      <c r="G227" s="4"/>
      <c r="H227" s="4"/>
      <c r="I227" s="4"/>
      <c r="J227" s="4"/>
      <c r="K227" s="4"/>
      <c r="L227" s="4"/>
      <c r="M227" s="64"/>
      <c r="N227" s="95"/>
      <c r="O227" s="4"/>
      <c r="P227" s="4"/>
      <c r="Q227" s="64"/>
    </row>
    <row r="228" spans="2:17" ht="20.100000000000001" customHeight="1" x14ac:dyDescent="0.25">
      <c r="B228" s="75" t="str">
        <f>IF('Conductor-Guarda-Azafata'!B228="","",'Conductor-Guarda-Azafata'!B228)</f>
        <v/>
      </c>
      <c r="C228" s="76" t="str">
        <f>IF($B228="","",VLOOKUP($B228,'Conductor-Guarda-Azafata'!$B$8:$AN$271,4,FALSE))</f>
        <v/>
      </c>
      <c r="D228" s="77" t="str">
        <f>IF($B228="","",VLOOKUP($B228,'Conductor-Guarda-Azafata'!$B$8:$AN$271,6,FALSE))</f>
        <v/>
      </c>
      <c r="E228" s="33"/>
      <c r="F228" s="12" t="str">
        <f>IF(E228="","",VLOOKUP(E228,Personal!$A$1:$F$501,2,FALSE))</f>
        <v/>
      </c>
      <c r="G228" s="4"/>
      <c r="H228" s="4"/>
      <c r="I228" s="4"/>
      <c r="J228" s="4"/>
      <c r="K228" s="4"/>
      <c r="L228" s="4"/>
      <c r="M228" s="64"/>
      <c r="N228" s="95"/>
      <c r="O228" s="4"/>
      <c r="P228" s="4"/>
      <c r="Q228" s="64"/>
    </row>
    <row r="229" spans="2:17" ht="20.100000000000001" customHeight="1" x14ac:dyDescent="0.25">
      <c r="B229" s="75" t="str">
        <f>IF('Conductor-Guarda-Azafata'!B229="","",'Conductor-Guarda-Azafata'!B229)</f>
        <v/>
      </c>
      <c r="C229" s="76" t="str">
        <f>IF($B229="","",VLOOKUP($B229,'Conductor-Guarda-Azafata'!$B$8:$AN$271,4,FALSE))</f>
        <v/>
      </c>
      <c r="D229" s="77" t="str">
        <f>IF($B229="","",VLOOKUP($B229,'Conductor-Guarda-Azafata'!$B$8:$AN$271,6,FALSE))</f>
        <v/>
      </c>
      <c r="E229" s="33"/>
      <c r="F229" s="12" t="str">
        <f>IF(E229="","",VLOOKUP(E229,Personal!$A$1:$F$501,2,FALSE))</f>
        <v/>
      </c>
      <c r="G229" s="4"/>
      <c r="H229" s="4"/>
      <c r="I229" s="4"/>
      <c r="J229" s="4"/>
      <c r="K229" s="4"/>
      <c r="L229" s="4"/>
      <c r="M229" s="64"/>
      <c r="N229" s="95"/>
      <c r="O229" s="4"/>
      <c r="P229" s="4"/>
      <c r="Q229" s="64"/>
    </row>
    <row r="230" spans="2:17" ht="20.100000000000001" customHeight="1" x14ac:dyDescent="0.25">
      <c r="B230" s="75" t="str">
        <f>IF('Conductor-Guarda-Azafata'!B230="","",'Conductor-Guarda-Azafata'!B230)</f>
        <v/>
      </c>
      <c r="C230" s="76" t="str">
        <f>IF($B230="","",VLOOKUP($B230,'Conductor-Guarda-Azafata'!$B$8:$AN$271,4,FALSE))</f>
        <v/>
      </c>
      <c r="D230" s="77" t="str">
        <f>IF($B230="","",VLOOKUP($B230,'Conductor-Guarda-Azafata'!$B$8:$AN$271,6,FALSE))</f>
        <v/>
      </c>
      <c r="E230" s="33"/>
      <c r="F230" s="12" t="str">
        <f>IF(E230="","",VLOOKUP(E230,Personal!$A$1:$F$501,2,FALSE))</f>
        <v/>
      </c>
      <c r="G230" s="4"/>
      <c r="H230" s="4"/>
      <c r="I230" s="4"/>
      <c r="J230" s="4"/>
      <c r="K230" s="4"/>
      <c r="L230" s="4"/>
      <c r="M230" s="64"/>
      <c r="N230" s="95"/>
      <c r="O230" s="4"/>
      <c r="P230" s="4"/>
      <c r="Q230" s="64"/>
    </row>
    <row r="231" spans="2:17" ht="20.100000000000001" customHeight="1" x14ac:dyDescent="0.25">
      <c r="B231" s="75" t="str">
        <f>IF('Conductor-Guarda-Azafata'!B231="","",'Conductor-Guarda-Azafata'!B231)</f>
        <v/>
      </c>
      <c r="C231" s="76" t="str">
        <f>IF($B231="","",VLOOKUP($B231,'Conductor-Guarda-Azafata'!$B$8:$AN$271,4,FALSE))</f>
        <v/>
      </c>
      <c r="D231" s="77" t="str">
        <f>IF($B231="","",VLOOKUP($B231,'Conductor-Guarda-Azafata'!$B$8:$AN$271,6,FALSE))</f>
        <v/>
      </c>
      <c r="E231" s="33"/>
      <c r="F231" s="12" t="str">
        <f>IF(E231="","",VLOOKUP(E231,Personal!$A$1:$F$501,2,FALSE))</f>
        <v/>
      </c>
      <c r="G231" s="4"/>
      <c r="H231" s="4"/>
      <c r="I231" s="4"/>
      <c r="J231" s="4"/>
      <c r="K231" s="4"/>
      <c r="L231" s="4"/>
      <c r="M231" s="64"/>
      <c r="N231" s="95"/>
      <c r="O231" s="4"/>
      <c r="P231" s="4"/>
      <c r="Q231" s="64"/>
    </row>
    <row r="232" spans="2:17" ht="20.100000000000001" customHeight="1" x14ac:dyDescent="0.25">
      <c r="B232" s="75" t="str">
        <f>IF('Conductor-Guarda-Azafata'!B232="","",'Conductor-Guarda-Azafata'!B232)</f>
        <v/>
      </c>
      <c r="C232" s="76" t="str">
        <f>IF($B232="","",VLOOKUP($B232,'Conductor-Guarda-Azafata'!$B$8:$AN$271,4,FALSE))</f>
        <v/>
      </c>
      <c r="D232" s="77" t="str">
        <f>IF($B232="","",VLOOKUP($B232,'Conductor-Guarda-Azafata'!$B$8:$AN$271,6,FALSE))</f>
        <v/>
      </c>
      <c r="E232" s="33"/>
      <c r="F232" s="12" t="str">
        <f>IF(E232="","",VLOOKUP(E232,Personal!$A$1:$F$501,2,FALSE))</f>
        <v/>
      </c>
      <c r="G232" s="4"/>
      <c r="H232" s="4"/>
      <c r="I232" s="4"/>
      <c r="J232" s="4"/>
      <c r="K232" s="4"/>
      <c r="L232" s="4"/>
      <c r="M232" s="64"/>
      <c r="N232" s="95"/>
      <c r="O232" s="4"/>
      <c r="P232" s="4"/>
      <c r="Q232" s="64"/>
    </row>
    <row r="233" spans="2:17" ht="20.100000000000001" customHeight="1" x14ac:dyDescent="0.25">
      <c r="B233" s="75" t="str">
        <f>IF('Conductor-Guarda-Azafata'!B233="","",'Conductor-Guarda-Azafata'!B233)</f>
        <v/>
      </c>
      <c r="C233" s="76" t="str">
        <f>IF($B233="","",VLOOKUP($B233,'Conductor-Guarda-Azafata'!$B$8:$AN$271,4,FALSE))</f>
        <v/>
      </c>
      <c r="D233" s="77" t="str">
        <f>IF($B233="","",VLOOKUP($B233,'Conductor-Guarda-Azafata'!$B$8:$AN$271,6,FALSE))</f>
        <v/>
      </c>
      <c r="E233" s="33"/>
      <c r="F233" s="12" t="str">
        <f>IF(E233="","",VLOOKUP(E233,Personal!$A$1:$F$501,2,FALSE))</f>
        <v/>
      </c>
      <c r="G233" s="4"/>
      <c r="H233" s="4"/>
      <c r="I233" s="4"/>
      <c r="J233" s="4"/>
      <c r="K233" s="4"/>
      <c r="L233" s="4"/>
      <c r="M233" s="64"/>
      <c r="N233" s="95"/>
      <c r="O233" s="4"/>
      <c r="P233" s="4"/>
      <c r="Q233" s="64"/>
    </row>
    <row r="234" spans="2:17" ht="20.100000000000001" customHeight="1" x14ac:dyDescent="0.25">
      <c r="B234" s="75" t="str">
        <f>IF('Conductor-Guarda-Azafata'!B234="","",'Conductor-Guarda-Azafata'!B234)</f>
        <v/>
      </c>
      <c r="C234" s="76" t="str">
        <f>IF($B234="","",VLOOKUP($B234,'Conductor-Guarda-Azafata'!$B$8:$AN$271,4,FALSE))</f>
        <v/>
      </c>
      <c r="D234" s="77" t="str">
        <f>IF($B234="","",VLOOKUP($B234,'Conductor-Guarda-Azafata'!$B$8:$AN$271,6,FALSE))</f>
        <v/>
      </c>
      <c r="E234" s="33"/>
      <c r="F234" s="12" t="str">
        <f>IF(E234="","",VLOOKUP(E234,Personal!$A$1:$F$501,2,FALSE))</f>
        <v/>
      </c>
      <c r="G234" s="4"/>
      <c r="H234" s="4"/>
      <c r="I234" s="4"/>
      <c r="J234" s="4"/>
      <c r="K234" s="4"/>
      <c r="L234" s="4"/>
      <c r="M234" s="64"/>
      <c r="N234" s="95"/>
      <c r="O234" s="4"/>
      <c r="P234" s="4"/>
      <c r="Q234" s="64"/>
    </row>
    <row r="235" spans="2:17" ht="20.100000000000001" customHeight="1" x14ac:dyDescent="0.25">
      <c r="B235" s="75" t="str">
        <f>IF('Conductor-Guarda-Azafata'!B235="","",'Conductor-Guarda-Azafata'!B235)</f>
        <v/>
      </c>
      <c r="C235" s="76" t="str">
        <f>IF($B235="","",VLOOKUP($B235,'Conductor-Guarda-Azafata'!$B$8:$AN$271,4,FALSE))</f>
        <v/>
      </c>
      <c r="D235" s="77" t="str">
        <f>IF($B235="","",VLOOKUP($B235,'Conductor-Guarda-Azafata'!$B$8:$AN$271,6,FALSE))</f>
        <v/>
      </c>
      <c r="E235" s="33"/>
      <c r="F235" s="12" t="str">
        <f>IF(E235="","",VLOOKUP(E235,Personal!$A$1:$F$501,2,FALSE))</f>
        <v/>
      </c>
      <c r="G235" s="4"/>
      <c r="H235" s="4"/>
      <c r="I235" s="4"/>
      <c r="J235" s="4"/>
      <c r="K235" s="4"/>
      <c r="L235" s="4"/>
      <c r="M235" s="64"/>
      <c r="N235" s="95"/>
      <c r="O235" s="4"/>
      <c r="P235" s="4"/>
      <c r="Q235" s="64"/>
    </row>
    <row r="236" spans="2:17" ht="20.100000000000001" customHeight="1" x14ac:dyDescent="0.25">
      <c r="B236" s="75" t="str">
        <f>IF('Conductor-Guarda-Azafata'!B236="","",'Conductor-Guarda-Azafata'!B236)</f>
        <v/>
      </c>
      <c r="C236" s="76" t="str">
        <f>IF($B236="","",VLOOKUP($B236,'Conductor-Guarda-Azafata'!$B$8:$AN$271,4,FALSE))</f>
        <v/>
      </c>
      <c r="D236" s="77" t="str">
        <f>IF($B236="","",VLOOKUP($B236,'Conductor-Guarda-Azafata'!$B$8:$AN$271,6,FALSE))</f>
        <v/>
      </c>
      <c r="E236" s="33"/>
      <c r="F236" s="12" t="str">
        <f>IF(E236="","",VLOOKUP(E236,Personal!$A$1:$F$501,2,FALSE))</f>
        <v/>
      </c>
      <c r="G236" s="4"/>
      <c r="H236" s="4"/>
      <c r="I236" s="4"/>
      <c r="J236" s="4"/>
      <c r="K236" s="4"/>
      <c r="L236" s="4"/>
      <c r="M236" s="64"/>
      <c r="N236" s="95"/>
      <c r="O236" s="4"/>
      <c r="P236" s="4"/>
      <c r="Q236" s="64"/>
    </row>
    <row r="237" spans="2:17" ht="20.100000000000001" customHeight="1" x14ac:dyDescent="0.25">
      <c r="B237" s="75" t="str">
        <f>IF('Conductor-Guarda-Azafata'!B237="","",'Conductor-Guarda-Azafata'!B237)</f>
        <v/>
      </c>
      <c r="C237" s="76" t="str">
        <f>IF($B237="","",VLOOKUP($B237,'Conductor-Guarda-Azafata'!$B$8:$AN$271,4,FALSE))</f>
        <v/>
      </c>
      <c r="D237" s="77" t="str">
        <f>IF($B237="","",VLOOKUP($B237,'Conductor-Guarda-Azafata'!$B$8:$AN$271,6,FALSE))</f>
        <v/>
      </c>
      <c r="E237" s="33"/>
      <c r="F237" s="12" t="str">
        <f>IF(E237="","",VLOOKUP(E237,Personal!$A$1:$F$501,2,FALSE))</f>
        <v/>
      </c>
      <c r="G237" s="4"/>
      <c r="H237" s="4"/>
      <c r="I237" s="4"/>
      <c r="J237" s="4"/>
      <c r="K237" s="4"/>
      <c r="L237" s="4"/>
      <c r="M237" s="64"/>
      <c r="N237" s="95"/>
      <c r="O237" s="4"/>
      <c r="P237" s="4"/>
      <c r="Q237" s="64"/>
    </row>
    <row r="238" spans="2:17" ht="20.100000000000001" customHeight="1" x14ac:dyDescent="0.25">
      <c r="B238" s="75" t="str">
        <f>IF('Conductor-Guarda-Azafata'!B238="","",'Conductor-Guarda-Azafata'!B238)</f>
        <v/>
      </c>
      <c r="C238" s="76" t="str">
        <f>IF($B238="","",VLOOKUP($B238,'Conductor-Guarda-Azafata'!$B$8:$AN$271,4,FALSE))</f>
        <v/>
      </c>
      <c r="D238" s="77" t="str">
        <f>IF($B238="","",VLOOKUP($B238,'Conductor-Guarda-Azafata'!$B$8:$AN$271,6,FALSE))</f>
        <v/>
      </c>
      <c r="E238" s="33"/>
      <c r="F238" s="12" t="str">
        <f>IF(E238="","",VLOOKUP(E238,Personal!$A$1:$F$501,2,FALSE))</f>
        <v/>
      </c>
      <c r="G238" s="4"/>
      <c r="H238" s="4"/>
      <c r="I238" s="4"/>
      <c r="J238" s="4"/>
      <c r="K238" s="4"/>
      <c r="L238" s="4"/>
      <c r="M238" s="64"/>
      <c r="N238" s="95"/>
      <c r="O238" s="4"/>
      <c r="P238" s="4"/>
      <c r="Q238" s="64"/>
    </row>
    <row r="239" spans="2:17" ht="20.100000000000001" customHeight="1" x14ac:dyDescent="0.25">
      <c r="B239" s="75" t="str">
        <f>IF('Conductor-Guarda-Azafata'!B239="","",'Conductor-Guarda-Azafata'!B239)</f>
        <v/>
      </c>
      <c r="C239" s="76" t="str">
        <f>IF($B239="","",VLOOKUP($B239,'Conductor-Guarda-Azafata'!$B$8:$AN$271,4,FALSE))</f>
        <v/>
      </c>
      <c r="D239" s="77" t="str">
        <f>IF($B239="","",VLOOKUP($B239,'Conductor-Guarda-Azafata'!$B$8:$AN$271,6,FALSE))</f>
        <v/>
      </c>
      <c r="E239" s="33"/>
      <c r="F239" s="12" t="str">
        <f>IF(E239="","",VLOOKUP(E239,Personal!$A$1:$F$501,2,FALSE))</f>
        <v/>
      </c>
      <c r="G239" s="4"/>
      <c r="H239" s="4"/>
      <c r="I239" s="4"/>
      <c r="J239" s="4"/>
      <c r="K239" s="4"/>
      <c r="L239" s="4"/>
      <c r="M239" s="64"/>
      <c r="N239" s="95"/>
      <c r="O239" s="4"/>
      <c r="P239" s="4"/>
      <c r="Q239" s="64"/>
    </row>
    <row r="240" spans="2:17" ht="20.100000000000001" customHeight="1" x14ac:dyDescent="0.25">
      <c r="B240" s="75" t="str">
        <f>IF('Conductor-Guarda-Azafata'!B240="","",'Conductor-Guarda-Azafata'!B240)</f>
        <v/>
      </c>
      <c r="C240" s="76" t="str">
        <f>IF($B240="","",VLOOKUP($B240,'Conductor-Guarda-Azafata'!$B$8:$AN$271,4,FALSE))</f>
        <v/>
      </c>
      <c r="D240" s="77" t="str">
        <f>IF($B240="","",VLOOKUP($B240,'Conductor-Guarda-Azafata'!$B$8:$AN$271,6,FALSE))</f>
        <v/>
      </c>
      <c r="E240" s="33"/>
      <c r="F240" s="12" t="str">
        <f>IF(E240="","",VLOOKUP(E240,Personal!$A$1:$F$501,2,FALSE))</f>
        <v/>
      </c>
      <c r="G240" s="4"/>
      <c r="H240" s="4"/>
      <c r="I240" s="4"/>
      <c r="J240" s="4"/>
      <c r="K240" s="4"/>
      <c r="L240" s="4"/>
      <c r="M240" s="64"/>
      <c r="N240" s="95"/>
      <c r="O240" s="4"/>
      <c r="P240" s="4"/>
      <c r="Q240" s="64"/>
    </row>
    <row r="241" spans="2:17" ht="20.100000000000001" customHeight="1" x14ac:dyDescent="0.25">
      <c r="B241" s="75" t="str">
        <f>IF('Conductor-Guarda-Azafata'!B241="","",'Conductor-Guarda-Azafata'!B241)</f>
        <v/>
      </c>
      <c r="C241" s="76" t="str">
        <f>IF($B241="","",VLOOKUP($B241,'Conductor-Guarda-Azafata'!$B$8:$AN$271,4,FALSE))</f>
        <v/>
      </c>
      <c r="D241" s="77" t="str">
        <f>IF($B241="","",VLOOKUP($B241,'Conductor-Guarda-Azafata'!$B$8:$AN$271,6,FALSE))</f>
        <v/>
      </c>
      <c r="E241" s="33"/>
      <c r="F241" s="12" t="str">
        <f>IF(E241="","",VLOOKUP(E241,Personal!$A$1:$F$501,2,FALSE))</f>
        <v/>
      </c>
      <c r="G241" s="4"/>
      <c r="H241" s="4"/>
      <c r="I241" s="4"/>
      <c r="J241" s="4"/>
      <c r="K241" s="4"/>
      <c r="L241" s="4"/>
      <c r="M241" s="64"/>
      <c r="N241" s="95"/>
      <c r="O241" s="4"/>
      <c r="P241" s="4"/>
      <c r="Q241" s="64"/>
    </row>
    <row r="242" spans="2:17" ht="20.100000000000001" customHeight="1" x14ac:dyDescent="0.25">
      <c r="B242" s="75" t="str">
        <f>IF('Conductor-Guarda-Azafata'!B242="","",'Conductor-Guarda-Azafata'!B242)</f>
        <v/>
      </c>
      <c r="C242" s="76" t="str">
        <f>IF($B242="","",VLOOKUP($B242,'Conductor-Guarda-Azafata'!$B$8:$AN$271,4,FALSE))</f>
        <v/>
      </c>
      <c r="D242" s="77" t="str">
        <f>IF($B242="","",VLOOKUP($B242,'Conductor-Guarda-Azafata'!$B$8:$AN$271,6,FALSE))</f>
        <v/>
      </c>
      <c r="E242" s="33"/>
      <c r="F242" s="12" t="str">
        <f>IF(E242="","",VLOOKUP(E242,Personal!$A$1:$F$501,2,FALSE))</f>
        <v/>
      </c>
      <c r="G242" s="4"/>
      <c r="H242" s="4"/>
      <c r="I242" s="4"/>
      <c r="J242" s="4"/>
      <c r="K242" s="4"/>
      <c r="L242" s="4"/>
      <c r="M242" s="64"/>
      <c r="N242" s="95"/>
      <c r="O242" s="4"/>
      <c r="P242" s="4"/>
      <c r="Q242" s="64"/>
    </row>
    <row r="243" spans="2:17" ht="20.100000000000001" customHeight="1" x14ac:dyDescent="0.25">
      <c r="B243" s="75" t="str">
        <f>IF('Conductor-Guarda-Azafata'!B243="","",'Conductor-Guarda-Azafata'!B243)</f>
        <v/>
      </c>
      <c r="C243" s="76" t="str">
        <f>IF($B243="","",VLOOKUP($B243,'Conductor-Guarda-Azafata'!$B$8:$AN$271,4,FALSE))</f>
        <v/>
      </c>
      <c r="D243" s="77" t="str">
        <f>IF($B243="","",VLOOKUP($B243,'Conductor-Guarda-Azafata'!$B$8:$AN$271,6,FALSE))</f>
        <v/>
      </c>
      <c r="E243" s="33"/>
      <c r="F243" s="12" t="str">
        <f>IF(E243="","",VLOOKUP(E243,Personal!$A$1:$F$501,2,FALSE))</f>
        <v/>
      </c>
      <c r="G243" s="4"/>
      <c r="H243" s="4"/>
      <c r="I243" s="4"/>
      <c r="J243" s="4"/>
      <c r="K243" s="4"/>
      <c r="L243" s="4"/>
      <c r="M243" s="64"/>
      <c r="N243" s="95"/>
      <c r="O243" s="4"/>
      <c r="P243" s="4"/>
      <c r="Q243" s="64"/>
    </row>
    <row r="244" spans="2:17" ht="20.100000000000001" customHeight="1" x14ac:dyDescent="0.25">
      <c r="B244" s="75" t="str">
        <f>IF('Conductor-Guarda-Azafata'!B244="","",'Conductor-Guarda-Azafata'!B244)</f>
        <v/>
      </c>
      <c r="C244" s="76" t="str">
        <f>IF($B244="","",VLOOKUP($B244,'Conductor-Guarda-Azafata'!$B$8:$AN$271,4,FALSE))</f>
        <v/>
      </c>
      <c r="D244" s="77" t="str">
        <f>IF($B244="","",VLOOKUP($B244,'Conductor-Guarda-Azafata'!$B$8:$AN$271,6,FALSE))</f>
        <v/>
      </c>
      <c r="E244" s="33"/>
      <c r="F244" s="12" t="str">
        <f>IF(E244="","",VLOOKUP(E244,Personal!$A$1:$F$501,2,FALSE))</f>
        <v/>
      </c>
      <c r="G244" s="4"/>
      <c r="H244" s="4"/>
      <c r="I244" s="4"/>
      <c r="J244" s="4"/>
      <c r="K244" s="4"/>
      <c r="L244" s="4"/>
      <c r="M244" s="64"/>
      <c r="N244" s="95"/>
      <c r="O244" s="4"/>
      <c r="P244" s="4"/>
      <c r="Q244" s="64"/>
    </row>
    <row r="245" spans="2:17" ht="20.100000000000001" customHeight="1" x14ac:dyDescent="0.25">
      <c r="B245" s="75" t="str">
        <f>IF('Conductor-Guarda-Azafata'!B245="","",'Conductor-Guarda-Azafata'!B245)</f>
        <v/>
      </c>
      <c r="C245" s="76" t="str">
        <f>IF($B245="","",VLOOKUP($B245,'Conductor-Guarda-Azafata'!$B$8:$AN$271,4,FALSE))</f>
        <v/>
      </c>
      <c r="D245" s="77" t="str">
        <f>IF($B245="","",VLOOKUP($B245,'Conductor-Guarda-Azafata'!$B$8:$AN$271,6,FALSE))</f>
        <v/>
      </c>
      <c r="E245" s="33"/>
      <c r="F245" s="12" t="str">
        <f>IF(E245="","",VLOOKUP(E245,Personal!$A$1:$F$501,2,FALSE))</f>
        <v/>
      </c>
      <c r="G245" s="4"/>
      <c r="H245" s="4"/>
      <c r="I245" s="4"/>
      <c r="J245" s="4"/>
      <c r="K245" s="4"/>
      <c r="L245" s="4"/>
      <c r="M245" s="64"/>
      <c r="N245" s="95"/>
      <c r="O245" s="4"/>
      <c r="P245" s="4"/>
      <c r="Q245" s="64"/>
    </row>
    <row r="246" spans="2:17" ht="20.100000000000001" customHeight="1" x14ac:dyDescent="0.25">
      <c r="B246" s="75" t="str">
        <f>IF('Conductor-Guarda-Azafata'!B246="","",'Conductor-Guarda-Azafata'!B246)</f>
        <v/>
      </c>
      <c r="C246" s="76" t="str">
        <f>IF($B246="","",VLOOKUP($B246,'Conductor-Guarda-Azafata'!$B$8:$AN$271,4,FALSE))</f>
        <v/>
      </c>
      <c r="D246" s="77" t="str">
        <f>IF($B246="","",VLOOKUP($B246,'Conductor-Guarda-Azafata'!$B$8:$AN$271,6,FALSE))</f>
        <v/>
      </c>
      <c r="E246" s="33"/>
      <c r="F246" s="12" t="str">
        <f>IF(E246="","",VLOOKUP(E246,Personal!$A$1:$F$501,2,FALSE))</f>
        <v/>
      </c>
      <c r="G246" s="4"/>
      <c r="H246" s="4"/>
      <c r="I246" s="4"/>
      <c r="J246" s="4"/>
      <c r="K246" s="4"/>
      <c r="L246" s="4"/>
      <c r="M246" s="64"/>
      <c r="N246" s="95"/>
      <c r="O246" s="4"/>
      <c r="P246" s="4"/>
      <c r="Q246" s="64"/>
    </row>
    <row r="247" spans="2:17" ht="20.100000000000001" customHeight="1" x14ac:dyDescent="0.25">
      <c r="B247" s="75" t="str">
        <f>IF('Conductor-Guarda-Azafata'!B247="","",'Conductor-Guarda-Azafata'!B247)</f>
        <v/>
      </c>
      <c r="C247" s="76" t="str">
        <f>IF($B247="","",VLOOKUP($B247,'Conductor-Guarda-Azafata'!$B$8:$AN$271,4,FALSE))</f>
        <v/>
      </c>
      <c r="D247" s="77" t="str">
        <f>IF($B247="","",VLOOKUP($B247,'Conductor-Guarda-Azafata'!$B$8:$AN$271,6,FALSE))</f>
        <v/>
      </c>
      <c r="E247" s="33"/>
      <c r="F247" s="12" t="str">
        <f>IF(E247="","",VLOOKUP(E247,Personal!$A$1:$F$501,2,FALSE))</f>
        <v/>
      </c>
      <c r="G247" s="4"/>
      <c r="H247" s="4"/>
      <c r="I247" s="4"/>
      <c r="J247" s="4"/>
      <c r="K247" s="4"/>
      <c r="L247" s="4"/>
      <c r="M247" s="64"/>
      <c r="N247" s="95"/>
      <c r="O247" s="4"/>
      <c r="P247" s="4"/>
      <c r="Q247" s="64"/>
    </row>
    <row r="248" spans="2:17" ht="20.100000000000001" customHeight="1" x14ac:dyDescent="0.25">
      <c r="B248" s="75" t="str">
        <f>IF('Conductor-Guarda-Azafata'!B248="","",'Conductor-Guarda-Azafata'!B248)</f>
        <v/>
      </c>
      <c r="C248" s="76" t="str">
        <f>IF($B248="","",VLOOKUP($B248,'Conductor-Guarda-Azafata'!$B$8:$AN$271,4,FALSE))</f>
        <v/>
      </c>
      <c r="D248" s="77" t="str">
        <f>IF($B248="","",VLOOKUP($B248,'Conductor-Guarda-Azafata'!$B$8:$AN$271,6,FALSE))</f>
        <v/>
      </c>
      <c r="E248" s="33"/>
      <c r="F248" s="12" t="str">
        <f>IF(E248="","",VLOOKUP(E248,Personal!$A$1:$F$501,2,FALSE))</f>
        <v/>
      </c>
      <c r="G248" s="4"/>
      <c r="H248" s="4"/>
      <c r="I248" s="4"/>
      <c r="J248" s="4"/>
      <c r="K248" s="4"/>
      <c r="L248" s="4"/>
      <c r="M248" s="64"/>
      <c r="N248" s="95"/>
      <c r="O248" s="4"/>
      <c r="P248" s="4"/>
      <c r="Q248" s="64"/>
    </row>
    <row r="249" spans="2:17" ht="20.100000000000001" customHeight="1" x14ac:dyDescent="0.25">
      <c r="B249" s="75" t="str">
        <f>IF('Conductor-Guarda-Azafata'!B249="","",'Conductor-Guarda-Azafata'!B249)</f>
        <v/>
      </c>
      <c r="C249" s="76" t="str">
        <f>IF($B249="","",VLOOKUP($B249,'Conductor-Guarda-Azafata'!$B$8:$AN$271,4,FALSE))</f>
        <v/>
      </c>
      <c r="D249" s="77" t="str">
        <f>IF($B249="","",VLOOKUP($B249,'Conductor-Guarda-Azafata'!$B$8:$AN$271,6,FALSE))</f>
        <v/>
      </c>
      <c r="E249" s="33"/>
      <c r="F249" s="12" t="str">
        <f>IF(E249="","",VLOOKUP(E249,Personal!$A$1:$F$501,2,FALSE))</f>
        <v/>
      </c>
      <c r="G249" s="4"/>
      <c r="H249" s="4"/>
      <c r="I249" s="4"/>
      <c r="J249" s="4"/>
      <c r="K249" s="4"/>
      <c r="L249" s="4"/>
      <c r="M249" s="64"/>
      <c r="N249" s="95"/>
      <c r="O249" s="4"/>
      <c r="P249" s="4"/>
      <c r="Q249" s="64"/>
    </row>
    <row r="250" spans="2:17" ht="20.100000000000001" customHeight="1" x14ac:dyDescent="0.25">
      <c r="B250" s="75" t="str">
        <f>IF('Conductor-Guarda-Azafata'!B250="","",'Conductor-Guarda-Azafata'!B250)</f>
        <v/>
      </c>
      <c r="C250" s="76" t="str">
        <f>IF($B250="","",VLOOKUP($B250,'Conductor-Guarda-Azafata'!$B$8:$AN$271,4,FALSE))</f>
        <v/>
      </c>
      <c r="D250" s="77" t="str">
        <f>IF($B250="","",VLOOKUP($B250,'Conductor-Guarda-Azafata'!$B$8:$AN$271,6,FALSE))</f>
        <v/>
      </c>
      <c r="E250" s="33"/>
      <c r="F250" s="12" t="str">
        <f>IF(E250="","",VLOOKUP(E250,Personal!$A$1:$F$501,2,FALSE))</f>
        <v/>
      </c>
      <c r="G250" s="4"/>
      <c r="H250" s="4"/>
      <c r="I250" s="4"/>
      <c r="J250" s="4"/>
      <c r="K250" s="4"/>
      <c r="L250" s="4"/>
      <c r="M250" s="64"/>
      <c r="N250" s="95"/>
      <c r="O250" s="4"/>
      <c r="P250" s="4"/>
      <c r="Q250" s="64"/>
    </row>
    <row r="251" spans="2:17" ht="20.100000000000001" customHeight="1" x14ac:dyDescent="0.25">
      <c r="B251" s="75" t="str">
        <f>IF('Conductor-Guarda-Azafata'!B251="","",'Conductor-Guarda-Azafata'!B251)</f>
        <v/>
      </c>
      <c r="C251" s="76" t="str">
        <f>IF($B251="","",VLOOKUP($B251,'Conductor-Guarda-Azafata'!$B$8:$AN$271,4,FALSE))</f>
        <v/>
      </c>
      <c r="D251" s="77" t="str">
        <f>IF($B251="","",VLOOKUP($B251,'Conductor-Guarda-Azafata'!$B$8:$AN$271,6,FALSE))</f>
        <v/>
      </c>
      <c r="E251" s="33"/>
      <c r="F251" s="12" t="str">
        <f>IF(E251="","",VLOOKUP(E251,Personal!$A$1:$F$501,2,FALSE))</f>
        <v/>
      </c>
      <c r="G251" s="4"/>
      <c r="H251" s="4"/>
      <c r="I251" s="4"/>
      <c r="J251" s="4"/>
      <c r="K251" s="4"/>
      <c r="L251" s="4"/>
      <c r="M251" s="64"/>
      <c r="N251" s="95"/>
      <c r="O251" s="4"/>
      <c r="P251" s="4"/>
      <c r="Q251" s="64"/>
    </row>
    <row r="252" spans="2:17" ht="20.100000000000001" customHeight="1" x14ac:dyDescent="0.25">
      <c r="B252" s="75" t="str">
        <f>IF('Conductor-Guarda-Azafata'!B252="","",'Conductor-Guarda-Azafata'!B252)</f>
        <v/>
      </c>
      <c r="C252" s="76" t="str">
        <f>IF($B252="","",VLOOKUP($B252,'Conductor-Guarda-Azafata'!$B$8:$AN$271,4,FALSE))</f>
        <v/>
      </c>
      <c r="D252" s="77" t="str">
        <f>IF($B252="","",VLOOKUP($B252,'Conductor-Guarda-Azafata'!$B$8:$AN$271,6,FALSE))</f>
        <v/>
      </c>
      <c r="E252" s="33"/>
      <c r="F252" s="12" t="str">
        <f>IF(E252="","",VLOOKUP(E252,Personal!$A$1:$F$501,2,FALSE))</f>
        <v/>
      </c>
      <c r="G252" s="4"/>
      <c r="H252" s="4"/>
      <c r="I252" s="4"/>
      <c r="J252" s="4"/>
      <c r="K252" s="4"/>
      <c r="L252" s="4"/>
      <c r="M252" s="64"/>
      <c r="N252" s="95"/>
      <c r="O252" s="4"/>
      <c r="P252" s="4"/>
      <c r="Q252" s="64"/>
    </row>
    <row r="253" spans="2:17" ht="20.100000000000001" customHeight="1" x14ac:dyDescent="0.25">
      <c r="B253" s="75" t="str">
        <f>IF('Conductor-Guarda-Azafata'!B253="","",'Conductor-Guarda-Azafata'!B253)</f>
        <v/>
      </c>
      <c r="C253" s="76" t="str">
        <f>IF($B253="","",VLOOKUP($B253,'Conductor-Guarda-Azafata'!$B$8:$AN$271,4,FALSE))</f>
        <v/>
      </c>
      <c r="D253" s="77" t="str">
        <f>IF($B253="","",VLOOKUP($B253,'Conductor-Guarda-Azafata'!$B$8:$AN$271,6,FALSE))</f>
        <v/>
      </c>
      <c r="E253" s="33"/>
      <c r="F253" s="12" t="str">
        <f>IF(E253="","",VLOOKUP(E253,Personal!$A$1:$F$501,2,FALSE))</f>
        <v/>
      </c>
      <c r="G253" s="4"/>
      <c r="H253" s="4"/>
      <c r="I253" s="4"/>
      <c r="J253" s="4"/>
      <c r="K253" s="4"/>
      <c r="L253" s="4"/>
      <c r="M253" s="64"/>
      <c r="N253" s="95"/>
      <c r="O253" s="4"/>
      <c r="P253" s="4"/>
      <c r="Q253" s="64"/>
    </row>
    <row r="254" spans="2:17" ht="20.100000000000001" customHeight="1" x14ac:dyDescent="0.25">
      <c r="B254" s="75" t="str">
        <f>IF('Conductor-Guarda-Azafata'!B254="","",'Conductor-Guarda-Azafata'!B254)</f>
        <v/>
      </c>
      <c r="C254" s="76" t="str">
        <f>IF($B254="","",VLOOKUP($B254,'Conductor-Guarda-Azafata'!$B$8:$AN$271,4,FALSE))</f>
        <v/>
      </c>
      <c r="D254" s="77" t="str">
        <f>IF($B254="","",VLOOKUP($B254,'Conductor-Guarda-Azafata'!$B$8:$AN$271,6,FALSE))</f>
        <v/>
      </c>
      <c r="E254" s="33"/>
      <c r="F254" s="12" t="str">
        <f>IF(E254="","",VLOOKUP(E254,Personal!$A$1:$F$501,2,FALSE))</f>
        <v/>
      </c>
      <c r="G254" s="4"/>
      <c r="H254" s="4"/>
      <c r="I254" s="4"/>
      <c r="J254" s="4"/>
      <c r="K254" s="4"/>
      <c r="L254" s="4"/>
      <c r="M254" s="64"/>
      <c r="N254" s="95"/>
      <c r="O254" s="4"/>
      <c r="P254" s="4"/>
      <c r="Q254" s="64"/>
    </row>
    <row r="255" spans="2:17" ht="20.100000000000001" customHeight="1" x14ac:dyDescent="0.25">
      <c r="B255" s="75" t="str">
        <f>IF('Conductor-Guarda-Azafata'!B255="","",'Conductor-Guarda-Azafata'!B255)</f>
        <v/>
      </c>
      <c r="C255" s="76" t="str">
        <f>IF($B255="","",VLOOKUP($B255,'Conductor-Guarda-Azafata'!$B$8:$AN$271,4,FALSE))</f>
        <v/>
      </c>
      <c r="D255" s="77" t="str">
        <f>IF($B255="","",VLOOKUP($B255,'Conductor-Guarda-Azafata'!$B$8:$AN$271,6,FALSE))</f>
        <v/>
      </c>
      <c r="E255" s="33"/>
      <c r="F255" s="12" t="str">
        <f>IF(E255="","",VLOOKUP(E255,Personal!$A$1:$F$501,2,FALSE))</f>
        <v/>
      </c>
      <c r="G255" s="4"/>
      <c r="H255" s="4"/>
      <c r="I255" s="4"/>
      <c r="J255" s="4"/>
      <c r="K255" s="4"/>
      <c r="L255" s="4"/>
      <c r="M255" s="64"/>
      <c r="N255" s="95"/>
      <c r="O255" s="4"/>
      <c r="P255" s="4"/>
      <c r="Q255" s="64"/>
    </row>
    <row r="256" spans="2:17" ht="20.100000000000001" customHeight="1" x14ac:dyDescent="0.25">
      <c r="B256" s="75" t="str">
        <f>IF('Conductor-Guarda-Azafata'!B256="","",'Conductor-Guarda-Azafata'!B256)</f>
        <v/>
      </c>
      <c r="C256" s="76" t="str">
        <f>IF($B256="","",VLOOKUP($B256,'Conductor-Guarda-Azafata'!$B$8:$AN$271,4,FALSE))</f>
        <v/>
      </c>
      <c r="D256" s="77" t="str">
        <f>IF($B256="","",VLOOKUP($B256,'Conductor-Guarda-Azafata'!$B$8:$AN$271,6,FALSE))</f>
        <v/>
      </c>
      <c r="E256" s="33"/>
      <c r="F256" s="12" t="str">
        <f>IF(E256="","",VLOOKUP(E256,Personal!$A$1:$F$501,2,FALSE))</f>
        <v/>
      </c>
      <c r="G256" s="4"/>
      <c r="H256" s="4"/>
      <c r="I256" s="4"/>
      <c r="J256" s="4"/>
      <c r="K256" s="4"/>
      <c r="L256" s="4"/>
      <c r="M256" s="64"/>
      <c r="N256" s="95"/>
      <c r="O256" s="4"/>
      <c r="P256" s="4"/>
      <c r="Q256" s="64"/>
    </row>
    <row r="257" spans="2:17" ht="20.100000000000001" customHeight="1" x14ac:dyDescent="0.25">
      <c r="B257" s="75" t="str">
        <f>IF('Conductor-Guarda-Azafata'!B257="","",'Conductor-Guarda-Azafata'!B257)</f>
        <v/>
      </c>
      <c r="C257" s="76" t="str">
        <f>IF($B257="","",VLOOKUP($B257,'Conductor-Guarda-Azafata'!$B$8:$AN$271,4,FALSE))</f>
        <v/>
      </c>
      <c r="D257" s="77" t="str">
        <f>IF($B257="","",VLOOKUP($B257,'Conductor-Guarda-Azafata'!$B$8:$AN$271,6,FALSE))</f>
        <v/>
      </c>
      <c r="E257" s="33"/>
      <c r="F257" s="12" t="str">
        <f>IF(E257="","",VLOOKUP(E257,Personal!$A$1:$F$501,2,FALSE))</f>
        <v/>
      </c>
      <c r="G257" s="4"/>
      <c r="H257" s="4"/>
      <c r="I257" s="4"/>
      <c r="J257" s="4"/>
      <c r="K257" s="4"/>
      <c r="L257" s="4"/>
      <c r="M257" s="64"/>
      <c r="N257" s="95"/>
      <c r="O257" s="4"/>
      <c r="P257" s="4"/>
      <c r="Q257" s="64"/>
    </row>
    <row r="258" spans="2:17" ht="20.100000000000001" customHeight="1" x14ac:dyDescent="0.25">
      <c r="B258" s="75" t="str">
        <f>IF('Conductor-Guarda-Azafata'!B258="","",'Conductor-Guarda-Azafata'!B258)</f>
        <v/>
      </c>
      <c r="C258" s="76" t="str">
        <f>IF($B258="","",VLOOKUP($B258,'Conductor-Guarda-Azafata'!$B$8:$AN$271,4,FALSE))</f>
        <v/>
      </c>
      <c r="D258" s="77" t="str">
        <f>IF($B258="","",VLOOKUP($B258,'Conductor-Guarda-Azafata'!$B$8:$AN$271,6,FALSE))</f>
        <v/>
      </c>
      <c r="E258" s="33"/>
      <c r="F258" s="12" t="str">
        <f>IF(E258="","",VLOOKUP(E258,Personal!$A$1:$F$501,2,FALSE))</f>
        <v/>
      </c>
      <c r="G258" s="4"/>
      <c r="H258" s="4"/>
      <c r="I258" s="4"/>
      <c r="J258" s="4"/>
      <c r="K258" s="4"/>
      <c r="L258" s="4"/>
      <c r="M258" s="64"/>
      <c r="N258" s="95"/>
      <c r="O258" s="4"/>
      <c r="P258" s="4"/>
      <c r="Q258" s="64"/>
    </row>
    <row r="259" spans="2:17" ht="20.100000000000001" customHeight="1" x14ac:dyDescent="0.25">
      <c r="B259" s="75" t="str">
        <f>IF('Conductor-Guarda-Azafata'!B259="","",'Conductor-Guarda-Azafata'!B259)</f>
        <v/>
      </c>
      <c r="C259" s="76" t="str">
        <f>IF($B259="","",VLOOKUP($B259,'Conductor-Guarda-Azafata'!$B$8:$AN$271,4,FALSE))</f>
        <v/>
      </c>
      <c r="D259" s="77" t="str">
        <f>IF($B259="","",VLOOKUP($B259,'Conductor-Guarda-Azafata'!$B$8:$AN$271,6,FALSE))</f>
        <v/>
      </c>
      <c r="E259" s="33"/>
      <c r="F259" s="12" t="str">
        <f>IF(E259="","",VLOOKUP(E259,Personal!$A$1:$F$501,2,FALSE))</f>
        <v/>
      </c>
      <c r="G259" s="4"/>
      <c r="H259" s="4"/>
      <c r="I259" s="4"/>
      <c r="J259" s="4"/>
      <c r="K259" s="4"/>
      <c r="L259" s="4"/>
      <c r="M259" s="64"/>
      <c r="N259" s="95"/>
      <c r="O259" s="4"/>
      <c r="P259" s="4"/>
      <c r="Q259" s="64"/>
    </row>
    <row r="260" spans="2:17" ht="20.100000000000001" customHeight="1" x14ac:dyDescent="0.25">
      <c r="B260" s="75" t="str">
        <f>IF('Conductor-Guarda-Azafata'!B260="","",'Conductor-Guarda-Azafata'!B260)</f>
        <v/>
      </c>
      <c r="C260" s="76" t="str">
        <f>IF($B260="","",VLOOKUP($B260,'Conductor-Guarda-Azafata'!$B$8:$AN$271,4,FALSE))</f>
        <v/>
      </c>
      <c r="D260" s="77" t="str">
        <f>IF($B260="","",VLOOKUP($B260,'Conductor-Guarda-Azafata'!$B$8:$AN$271,6,FALSE))</f>
        <v/>
      </c>
      <c r="E260" s="33"/>
      <c r="F260" s="12" t="str">
        <f>IF(E260="","",VLOOKUP(E260,Personal!$A$1:$F$501,2,FALSE))</f>
        <v/>
      </c>
      <c r="G260" s="4"/>
      <c r="H260" s="4"/>
      <c r="I260" s="4"/>
      <c r="J260" s="4"/>
      <c r="K260" s="4"/>
      <c r="L260" s="4"/>
      <c r="M260" s="64"/>
      <c r="N260" s="95"/>
      <c r="O260" s="4"/>
      <c r="P260" s="4"/>
      <c r="Q260" s="64"/>
    </row>
    <row r="261" spans="2:17" ht="20.100000000000001" customHeight="1" x14ac:dyDescent="0.25">
      <c r="B261" s="75" t="str">
        <f>IF('Conductor-Guarda-Azafata'!B261="","",'Conductor-Guarda-Azafata'!B261)</f>
        <v/>
      </c>
      <c r="C261" s="76" t="str">
        <f>IF($B261="","",VLOOKUP($B261,'Conductor-Guarda-Azafata'!$B$8:$AN$271,4,FALSE))</f>
        <v/>
      </c>
      <c r="D261" s="77" t="str">
        <f>IF($B261="","",VLOOKUP($B261,'Conductor-Guarda-Azafata'!$B$8:$AN$271,6,FALSE))</f>
        <v/>
      </c>
      <c r="E261" s="33"/>
      <c r="F261" s="12" t="str">
        <f>IF(E261="","",VLOOKUP(E261,Personal!$A$1:$F$501,2,FALSE))</f>
        <v/>
      </c>
      <c r="G261" s="4"/>
      <c r="H261" s="4"/>
      <c r="I261" s="4"/>
      <c r="J261" s="4"/>
      <c r="K261" s="4"/>
      <c r="L261" s="4"/>
      <c r="M261" s="64"/>
      <c r="N261" s="95"/>
      <c r="O261" s="4"/>
      <c r="P261" s="4"/>
      <c r="Q261" s="64"/>
    </row>
    <row r="262" spans="2:17" ht="20.100000000000001" customHeight="1" x14ac:dyDescent="0.25">
      <c r="B262" s="75" t="str">
        <f>IF('Conductor-Guarda-Azafata'!B262="","",'Conductor-Guarda-Azafata'!B262)</f>
        <v/>
      </c>
      <c r="C262" s="76" t="str">
        <f>IF($B262="","",VLOOKUP($B262,'Conductor-Guarda-Azafata'!$B$8:$AN$271,4,FALSE))</f>
        <v/>
      </c>
      <c r="D262" s="77" t="str">
        <f>IF($B262="","",VLOOKUP($B262,'Conductor-Guarda-Azafata'!$B$8:$AN$271,6,FALSE))</f>
        <v/>
      </c>
      <c r="E262" s="33"/>
      <c r="F262" s="12" t="str">
        <f>IF(E262="","",VLOOKUP(E262,Personal!$A$1:$F$501,2,FALSE))</f>
        <v/>
      </c>
      <c r="G262" s="4"/>
      <c r="H262" s="4"/>
      <c r="I262" s="4"/>
      <c r="J262" s="4"/>
      <c r="K262" s="4"/>
      <c r="L262" s="4"/>
      <c r="M262" s="64"/>
      <c r="N262" s="95"/>
      <c r="O262" s="4"/>
      <c r="P262" s="4"/>
      <c r="Q262" s="64"/>
    </row>
    <row r="263" spans="2:17" ht="20.100000000000001" customHeight="1" x14ac:dyDescent="0.25">
      <c r="B263" s="75" t="str">
        <f>IF('Conductor-Guarda-Azafata'!B263="","",'Conductor-Guarda-Azafata'!B263)</f>
        <v/>
      </c>
      <c r="C263" s="76" t="str">
        <f>IF($B263="","",VLOOKUP($B263,'Conductor-Guarda-Azafata'!$B$8:$AN$271,4,FALSE))</f>
        <v/>
      </c>
      <c r="D263" s="77" t="str">
        <f>IF($B263="","",VLOOKUP($B263,'Conductor-Guarda-Azafata'!$B$8:$AN$271,6,FALSE))</f>
        <v/>
      </c>
      <c r="E263" s="33"/>
      <c r="F263" s="12" t="str">
        <f>IF(E263="","",VLOOKUP(E263,Personal!$A$1:$F$501,2,FALSE))</f>
        <v/>
      </c>
      <c r="G263" s="4"/>
      <c r="H263" s="4"/>
      <c r="I263" s="4"/>
      <c r="J263" s="4"/>
      <c r="K263" s="4"/>
      <c r="L263" s="4"/>
      <c r="M263" s="64"/>
      <c r="N263" s="95"/>
      <c r="O263" s="4"/>
      <c r="P263" s="4"/>
      <c r="Q263" s="64"/>
    </row>
    <row r="264" spans="2:17" ht="20.100000000000001" customHeight="1" x14ac:dyDescent="0.25">
      <c r="B264" s="75" t="str">
        <f>IF('Conductor-Guarda-Azafata'!B264="","",'Conductor-Guarda-Azafata'!B264)</f>
        <v/>
      </c>
      <c r="C264" s="76" t="str">
        <f>IF($B264="","",VLOOKUP($B264,'Conductor-Guarda-Azafata'!$B$8:$AN$271,4,FALSE))</f>
        <v/>
      </c>
      <c r="D264" s="77" t="str">
        <f>IF($B264="","",VLOOKUP($B264,'Conductor-Guarda-Azafata'!$B$8:$AN$271,6,FALSE))</f>
        <v/>
      </c>
      <c r="E264" s="33"/>
      <c r="F264" s="12" t="str">
        <f>IF(E264="","",VLOOKUP(E264,Personal!$A$1:$F$501,2,FALSE))</f>
        <v/>
      </c>
      <c r="G264" s="4"/>
      <c r="H264" s="4"/>
      <c r="I264" s="4"/>
      <c r="J264" s="4"/>
      <c r="K264" s="4"/>
      <c r="L264" s="4"/>
      <c r="M264" s="64"/>
      <c r="N264" s="95"/>
      <c r="O264" s="4"/>
      <c r="P264" s="4"/>
      <c r="Q264" s="64"/>
    </row>
    <row r="265" spans="2:17" ht="20.100000000000001" customHeight="1" x14ac:dyDescent="0.25">
      <c r="B265" s="75" t="str">
        <f>IF('Conductor-Guarda-Azafata'!B265="","",'Conductor-Guarda-Azafata'!B265)</f>
        <v/>
      </c>
      <c r="C265" s="76" t="str">
        <f>IF($B265="","",VLOOKUP($B265,'Conductor-Guarda-Azafata'!$B$8:$AN$271,4,FALSE))</f>
        <v/>
      </c>
      <c r="D265" s="77" t="str">
        <f>IF($B265="","",VLOOKUP($B265,'Conductor-Guarda-Azafata'!$B$8:$AN$271,6,FALSE))</f>
        <v/>
      </c>
      <c r="E265" s="33"/>
      <c r="F265" s="12" t="str">
        <f>IF(E265="","",VLOOKUP(E265,Personal!$A$1:$F$501,2,FALSE))</f>
        <v/>
      </c>
      <c r="G265" s="4"/>
      <c r="H265" s="4"/>
      <c r="I265" s="4"/>
      <c r="J265" s="4"/>
      <c r="K265" s="4"/>
      <c r="L265" s="4"/>
      <c r="M265" s="64"/>
      <c r="N265" s="95"/>
      <c r="O265" s="4"/>
      <c r="P265" s="4"/>
      <c r="Q265" s="64"/>
    </row>
    <row r="266" spans="2:17" ht="20.100000000000001" customHeight="1" x14ac:dyDescent="0.25">
      <c r="B266" s="75" t="str">
        <f>IF('Conductor-Guarda-Azafata'!B266="","",'Conductor-Guarda-Azafata'!B266)</f>
        <v/>
      </c>
      <c r="C266" s="76" t="str">
        <f>IF($B266="","",VLOOKUP($B266,'Conductor-Guarda-Azafata'!$B$8:$AN$271,4,FALSE))</f>
        <v/>
      </c>
      <c r="D266" s="77" t="str">
        <f>IF($B266="","",VLOOKUP($B266,'Conductor-Guarda-Azafata'!$B$8:$AN$271,6,FALSE))</f>
        <v/>
      </c>
      <c r="E266" s="33"/>
      <c r="F266" s="12" t="str">
        <f>IF(E266="","",VLOOKUP(E266,Personal!$A$1:$F$501,2,FALSE))</f>
        <v/>
      </c>
      <c r="G266" s="4"/>
      <c r="H266" s="4"/>
      <c r="I266" s="4"/>
      <c r="J266" s="4"/>
      <c r="K266" s="4"/>
      <c r="L266" s="4"/>
      <c r="M266" s="64"/>
      <c r="N266" s="95"/>
      <c r="O266" s="4"/>
      <c r="P266" s="4"/>
      <c r="Q266" s="64"/>
    </row>
    <row r="267" spans="2:17" ht="20.100000000000001" customHeight="1" x14ac:dyDescent="0.25">
      <c r="B267" s="75" t="str">
        <f>IF('Conductor-Guarda-Azafata'!B267="","",'Conductor-Guarda-Azafata'!B267)</f>
        <v/>
      </c>
      <c r="C267" s="76" t="str">
        <f>IF($B267="","",VLOOKUP($B267,'Conductor-Guarda-Azafata'!$B$8:$AN$271,4,FALSE))</f>
        <v/>
      </c>
      <c r="D267" s="77" t="str">
        <f>IF($B267="","",VLOOKUP($B267,'Conductor-Guarda-Azafata'!$B$8:$AN$271,6,FALSE))</f>
        <v/>
      </c>
      <c r="E267" s="33"/>
      <c r="F267" s="12" t="str">
        <f>IF(E267="","",VLOOKUP(E267,Personal!$A$1:$F$501,2,FALSE))</f>
        <v/>
      </c>
      <c r="G267" s="4"/>
      <c r="H267" s="4"/>
      <c r="I267" s="4"/>
      <c r="J267" s="4"/>
      <c r="K267" s="4"/>
      <c r="L267" s="4"/>
      <c r="M267" s="64"/>
      <c r="N267" s="95"/>
      <c r="O267" s="4"/>
      <c r="P267" s="4"/>
      <c r="Q267" s="64"/>
    </row>
    <row r="268" spans="2:17" ht="20.100000000000001" customHeight="1" x14ac:dyDescent="0.25">
      <c r="B268" s="75" t="str">
        <f>IF('Conductor-Guarda-Azafata'!B268="","",'Conductor-Guarda-Azafata'!B268)</f>
        <v/>
      </c>
      <c r="C268" s="76" t="str">
        <f>IF($B268="","",VLOOKUP($B268,'Conductor-Guarda-Azafata'!$B$8:$AN$271,4,FALSE))</f>
        <v/>
      </c>
      <c r="D268" s="77" t="str">
        <f>IF($B268="","",VLOOKUP($B268,'Conductor-Guarda-Azafata'!$B$8:$AN$271,6,FALSE))</f>
        <v/>
      </c>
      <c r="E268" s="33"/>
      <c r="F268" s="12" t="str">
        <f>IF(E268="","",VLOOKUP(E268,Personal!$A$1:$F$501,2,FALSE))</f>
        <v/>
      </c>
      <c r="G268" s="4"/>
      <c r="H268" s="4"/>
      <c r="I268" s="4"/>
      <c r="J268" s="4"/>
      <c r="K268" s="4"/>
      <c r="L268" s="4"/>
      <c r="M268" s="64"/>
      <c r="N268" s="95"/>
      <c r="O268" s="4"/>
      <c r="P268" s="4"/>
      <c r="Q268" s="64"/>
    </row>
    <row r="269" spans="2:17" ht="20.100000000000001" customHeight="1" x14ac:dyDescent="0.25">
      <c r="B269" s="75" t="str">
        <f>IF('Conductor-Guarda-Azafata'!B269="","",'Conductor-Guarda-Azafata'!B269)</f>
        <v/>
      </c>
      <c r="C269" s="76" t="str">
        <f>IF($B269="","",VLOOKUP($B269,'Conductor-Guarda-Azafata'!$B$8:$AN$271,4,FALSE))</f>
        <v/>
      </c>
      <c r="D269" s="77" t="str">
        <f>IF($B269="","",VLOOKUP($B269,'Conductor-Guarda-Azafata'!$B$8:$AN$271,6,FALSE))</f>
        <v/>
      </c>
      <c r="E269" s="33"/>
      <c r="F269" s="12" t="str">
        <f>IF(E269="","",VLOOKUP(E269,Personal!$A$1:$F$501,2,FALSE))</f>
        <v/>
      </c>
      <c r="G269" s="4"/>
      <c r="H269" s="4"/>
      <c r="I269" s="4"/>
      <c r="J269" s="4"/>
      <c r="K269" s="4"/>
      <c r="L269" s="4"/>
      <c r="M269" s="64"/>
      <c r="N269" s="95"/>
      <c r="O269" s="4"/>
      <c r="P269" s="4"/>
      <c r="Q269" s="64"/>
    </row>
    <row r="270" spans="2:17" ht="20.100000000000001" customHeight="1" x14ac:dyDescent="0.25">
      <c r="B270" s="75" t="str">
        <f>IF('Conductor-Guarda-Azafata'!B270="","",'Conductor-Guarda-Azafata'!B270)</f>
        <v/>
      </c>
      <c r="C270" s="76" t="str">
        <f>IF($B270="","",VLOOKUP($B270,'Conductor-Guarda-Azafata'!$B$8:$AN$271,4,FALSE))</f>
        <v/>
      </c>
      <c r="D270" s="77" t="str">
        <f>IF($B270="","",VLOOKUP($B270,'Conductor-Guarda-Azafata'!$B$8:$AN$271,6,FALSE))</f>
        <v/>
      </c>
      <c r="E270" s="33"/>
      <c r="F270" s="12" t="str">
        <f>IF(E270="","",VLOOKUP(E270,Personal!$A$1:$F$501,2,FALSE))</f>
        <v/>
      </c>
      <c r="G270" s="4"/>
      <c r="H270" s="4"/>
      <c r="I270" s="4"/>
      <c r="J270" s="4"/>
      <c r="K270" s="4"/>
      <c r="L270" s="4"/>
      <c r="M270" s="64"/>
      <c r="N270" s="95"/>
      <c r="O270" s="4"/>
      <c r="P270" s="4"/>
      <c r="Q270" s="64"/>
    </row>
    <row r="271" spans="2:17" ht="20.100000000000001" customHeight="1" x14ac:dyDescent="0.25">
      <c r="B271" s="75" t="str">
        <f>IF('Conductor-Guarda-Azafata'!B271="","",'Conductor-Guarda-Azafata'!B271)</f>
        <v/>
      </c>
      <c r="C271" s="76" t="str">
        <f>IF($B271="","",VLOOKUP($B271,'Conductor-Guarda-Azafata'!$B$8:$AN$271,4,FALSE))</f>
        <v/>
      </c>
      <c r="D271" s="77" t="str">
        <f>IF($B271="","",VLOOKUP($B271,'Conductor-Guarda-Azafata'!$B$8:$AN$271,6,FALSE))</f>
        <v/>
      </c>
      <c r="E271" s="33"/>
      <c r="F271" s="12" t="str">
        <f>IF(E271="","",VLOOKUP(E271,Personal!$A$1:$F$501,2,FALSE))</f>
        <v/>
      </c>
      <c r="G271" s="4"/>
      <c r="H271" s="4"/>
      <c r="I271" s="4"/>
      <c r="J271" s="4"/>
      <c r="K271" s="4"/>
      <c r="L271" s="4"/>
      <c r="M271" s="64"/>
      <c r="N271" s="95"/>
      <c r="O271" s="4"/>
      <c r="P271" s="4"/>
      <c r="Q271" s="64"/>
    </row>
    <row r="272" spans="2:17" ht="20.100000000000001" customHeight="1" x14ac:dyDescent="0.25">
      <c r="B272" s="75" t="str">
        <f>IF('Conductor-Guarda-Azafata'!B272="","",'Conductor-Guarda-Azafata'!B272)</f>
        <v/>
      </c>
      <c r="C272" s="76" t="str">
        <f>IF($B272="","",VLOOKUP($B272,'Conductor-Guarda-Azafata'!$B$8:$AN$271,4,FALSE))</f>
        <v/>
      </c>
      <c r="D272" s="77" t="str">
        <f>IF($B272="","",VLOOKUP($B272,'Conductor-Guarda-Azafata'!$B$8:$AN$271,6,FALSE))</f>
        <v/>
      </c>
      <c r="E272" s="33"/>
      <c r="F272" s="12" t="str">
        <f>IF(E272="","",VLOOKUP(E272,Personal!$A$1:$F$501,2,FALSE))</f>
        <v/>
      </c>
      <c r="G272" s="4"/>
      <c r="H272" s="4"/>
      <c r="I272" s="4"/>
      <c r="J272" s="4"/>
      <c r="K272" s="4"/>
      <c r="L272" s="4"/>
      <c r="M272" s="64"/>
      <c r="N272" s="95"/>
      <c r="O272" s="4"/>
      <c r="P272" s="4"/>
      <c r="Q272" s="64"/>
    </row>
    <row r="273" spans="2:17" ht="20.100000000000001" customHeight="1" x14ac:dyDescent="0.25">
      <c r="B273" s="75" t="str">
        <f>IF('Conductor-Guarda-Azafata'!B273="","",'Conductor-Guarda-Azafata'!B273)</f>
        <v/>
      </c>
      <c r="C273" s="76" t="str">
        <f>IF($B273="","",VLOOKUP($B273,'Conductor-Guarda-Azafata'!$B$8:$AN$271,4,FALSE))</f>
        <v/>
      </c>
      <c r="D273" s="77" t="str">
        <f>IF($B273="","",VLOOKUP($B273,'Conductor-Guarda-Azafata'!$B$8:$AN$271,6,FALSE))</f>
        <v/>
      </c>
      <c r="E273" s="33"/>
      <c r="F273" s="12" t="str">
        <f>IF(E273="","",VLOOKUP(E273,Personal!$A$1:$F$501,2,FALSE))</f>
        <v/>
      </c>
      <c r="G273" s="4"/>
      <c r="H273" s="4"/>
      <c r="I273" s="4"/>
      <c r="J273" s="4"/>
      <c r="K273" s="4"/>
      <c r="L273" s="4"/>
      <c r="M273" s="64"/>
      <c r="N273" s="95"/>
      <c r="O273" s="4"/>
      <c r="P273" s="4"/>
      <c r="Q273" s="64"/>
    </row>
    <row r="274" spans="2:17" ht="20.100000000000001" customHeight="1" x14ac:dyDescent="0.25">
      <c r="B274" s="75" t="str">
        <f>IF('Conductor-Guarda-Azafata'!B274="","",'Conductor-Guarda-Azafata'!B274)</f>
        <v/>
      </c>
      <c r="C274" s="76" t="str">
        <f>IF($B274="","",VLOOKUP($B274,'Conductor-Guarda-Azafata'!$B$8:$AN$271,4,FALSE))</f>
        <v/>
      </c>
      <c r="D274" s="77" t="str">
        <f>IF($B274="","",VLOOKUP($B274,'Conductor-Guarda-Azafata'!$B$8:$AN$271,6,FALSE))</f>
        <v/>
      </c>
      <c r="E274" s="33"/>
      <c r="F274" s="12" t="str">
        <f>IF(E274="","",VLOOKUP(E274,Personal!$A$1:$F$501,2,FALSE))</f>
        <v/>
      </c>
      <c r="G274" s="4"/>
      <c r="H274" s="4"/>
      <c r="I274" s="4"/>
      <c r="J274" s="4"/>
      <c r="K274" s="4"/>
      <c r="L274" s="4"/>
      <c r="M274" s="64"/>
      <c r="N274" s="95"/>
      <c r="O274" s="4"/>
      <c r="P274" s="4"/>
      <c r="Q274" s="64"/>
    </row>
    <row r="275" spans="2:17" ht="20.100000000000001" customHeight="1" x14ac:dyDescent="0.25">
      <c r="B275" s="75" t="str">
        <f>IF('Conductor-Guarda-Azafata'!B275="","",'Conductor-Guarda-Azafata'!B275)</f>
        <v/>
      </c>
      <c r="C275" s="76" t="str">
        <f>IF($B275="","",VLOOKUP($B275,'Conductor-Guarda-Azafata'!$B$8:$AN$271,4,FALSE))</f>
        <v/>
      </c>
      <c r="D275" s="77" t="str">
        <f>IF($B275="","",VLOOKUP($B275,'Conductor-Guarda-Azafata'!$B$8:$AN$271,6,FALSE))</f>
        <v/>
      </c>
      <c r="E275" s="33"/>
      <c r="F275" s="12" t="str">
        <f>IF(E275="","",VLOOKUP(E275,Personal!$A$1:$F$501,2,FALSE))</f>
        <v/>
      </c>
      <c r="G275" s="4"/>
      <c r="H275" s="4"/>
      <c r="I275" s="4"/>
      <c r="J275" s="4"/>
      <c r="K275" s="4"/>
      <c r="L275" s="4"/>
      <c r="M275" s="64"/>
      <c r="N275" s="95"/>
      <c r="O275" s="4"/>
      <c r="P275" s="4"/>
      <c r="Q275" s="64"/>
    </row>
    <row r="276" spans="2:17" ht="20.100000000000001" customHeight="1" thickBot="1" x14ac:dyDescent="0.3">
      <c r="B276" s="75" t="str">
        <f>IF('Conductor-Guarda-Azafata'!B276="","",'Conductor-Guarda-Azafata'!B276)</f>
        <v/>
      </c>
      <c r="C276" s="76" t="str">
        <f>IF($B276="","",VLOOKUP($B276,'Conductor-Guarda-Azafata'!$B$8:$AN$271,4,FALSE))</f>
        <v/>
      </c>
      <c r="D276" s="77" t="str">
        <f>IF($B276="","",VLOOKUP($B276,'Conductor-Guarda-Azafata'!$B$8:$AN$271,6,FALSE))</f>
        <v/>
      </c>
      <c r="E276" s="63"/>
      <c r="F276" s="12" t="str">
        <f>IF(E276="","",VLOOKUP(E276,Personal!$A$1:$F$501,2,FALSE))</f>
        <v/>
      </c>
      <c r="G276" s="65"/>
      <c r="H276" s="65"/>
      <c r="I276" s="65"/>
      <c r="J276" s="65"/>
      <c r="K276" s="65"/>
      <c r="L276" s="65"/>
      <c r="M276" s="66"/>
      <c r="N276" s="63"/>
      <c r="O276" s="65"/>
      <c r="P276" s="65"/>
      <c r="Q276" s="66"/>
    </row>
  </sheetData>
  <protectedRanges>
    <protectedRange sqref="D4" name="Condiciones de Filtro_Nº Legajo y Conductor"/>
    <protectedRange sqref="C5" name="Condiciones de Filtro_Fecha"/>
  </protectedRanges>
  <autoFilter ref="B8:Q276" xr:uid="{00000000-0009-0000-0000-000003000000}"/>
  <mergeCells count="2">
    <mergeCell ref="N7:Q7"/>
    <mergeCell ref="E7:M7"/>
  </mergeCells>
  <conditionalFormatting sqref="G9:M276 O9:Q276">
    <cfRule type="cellIs" dxfId="4" priority="19" operator="equal">
      <formula>"NO"</formula>
    </cfRule>
  </conditionalFormatting>
  <conditionalFormatting sqref="R21">
    <cfRule type="cellIs" dxfId="3" priority="18" operator="equal">
      <formula>"NO"</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F50"/>
  <sheetViews>
    <sheetView view="pageBreakPreview" zoomScale="60" workbookViewId="0">
      <selection activeCell="B26" sqref="B26"/>
    </sheetView>
  </sheetViews>
  <sheetFormatPr baseColWidth="10" defaultRowHeight="15" x14ac:dyDescent="0.25"/>
  <cols>
    <col min="1" max="1" width="41.140625" customWidth="1"/>
    <col min="2" max="2" width="37.140625" customWidth="1"/>
    <col min="3" max="3" width="2.140625" customWidth="1"/>
    <col min="4" max="4" width="3" customWidth="1"/>
    <col min="5" max="5" width="32.140625" customWidth="1"/>
    <col min="6" max="6" width="34.28515625" bestFit="1" customWidth="1"/>
  </cols>
  <sheetData>
    <row r="1" spans="1:6" x14ac:dyDescent="0.25">
      <c r="A1" s="160" t="s">
        <v>242</v>
      </c>
      <c r="B1" s="160"/>
      <c r="C1" s="160"/>
      <c r="D1" s="160"/>
      <c r="E1" s="160"/>
    </row>
    <row r="2" spans="1:6" s="91" customFormat="1" ht="15.75" thickBot="1" x14ac:dyDescent="0.3">
      <c r="A2" s="114"/>
      <c r="B2" s="114"/>
      <c r="C2" s="114"/>
      <c r="D2" s="114"/>
      <c r="E2" s="114"/>
    </row>
    <row r="3" spans="1:6" ht="19.5" thickBot="1" x14ac:dyDescent="0.35">
      <c r="A3" s="161" t="s">
        <v>243</v>
      </c>
      <c r="B3" s="162"/>
      <c r="C3" s="125"/>
      <c r="D3" s="125"/>
      <c r="E3" s="161" t="s">
        <v>244</v>
      </c>
      <c r="F3" s="162"/>
    </row>
    <row r="4" spans="1:6" ht="18.75" x14ac:dyDescent="0.3">
      <c r="A4" s="126" t="s">
        <v>238</v>
      </c>
      <c r="B4" s="125" t="s">
        <v>240</v>
      </c>
      <c r="C4" s="125"/>
      <c r="D4" s="125"/>
      <c r="E4" s="126" t="s">
        <v>238</v>
      </c>
      <c r="F4" s="125" t="s">
        <v>241</v>
      </c>
    </row>
    <row r="5" spans="1:6" ht="18.75" x14ac:dyDescent="0.3">
      <c r="A5" s="127" t="s">
        <v>99</v>
      </c>
      <c r="B5" s="128">
        <v>1</v>
      </c>
      <c r="C5" s="125"/>
      <c r="D5" s="125"/>
      <c r="E5" s="127" t="s">
        <v>99</v>
      </c>
      <c r="F5" s="128">
        <v>2</v>
      </c>
    </row>
    <row r="6" spans="1:6" ht="18.75" x14ac:dyDescent="0.3">
      <c r="A6" s="127" t="s">
        <v>130</v>
      </c>
      <c r="B6" s="128">
        <v>2</v>
      </c>
      <c r="C6" s="125"/>
      <c r="D6" s="125"/>
      <c r="E6" s="127" t="s">
        <v>130</v>
      </c>
      <c r="F6" s="128">
        <v>2</v>
      </c>
    </row>
    <row r="7" spans="1:6" ht="18.75" x14ac:dyDescent="0.3">
      <c r="A7" s="127" t="s">
        <v>102</v>
      </c>
      <c r="B7" s="128">
        <v>12</v>
      </c>
      <c r="C7" s="125"/>
      <c r="D7" s="125"/>
      <c r="E7" s="127" t="s">
        <v>102</v>
      </c>
      <c r="F7" s="128">
        <v>4</v>
      </c>
    </row>
    <row r="8" spans="1:6" ht="18.75" x14ac:dyDescent="0.3">
      <c r="A8" s="127" t="s">
        <v>43</v>
      </c>
      <c r="B8" s="128">
        <v>1</v>
      </c>
      <c r="C8" s="125"/>
      <c r="D8" s="125"/>
      <c r="E8" s="127" t="s">
        <v>43</v>
      </c>
      <c r="F8" s="128">
        <v>7</v>
      </c>
    </row>
    <row r="9" spans="1:6" ht="18.75" x14ac:dyDescent="0.3">
      <c r="A9" s="127" t="s">
        <v>168</v>
      </c>
      <c r="B9" s="128">
        <v>1</v>
      </c>
      <c r="C9" s="125"/>
      <c r="D9" s="125"/>
      <c r="E9" s="127" t="s">
        <v>168</v>
      </c>
      <c r="F9" s="128">
        <v>10</v>
      </c>
    </row>
    <row r="10" spans="1:6" ht="18.75" x14ac:dyDescent="0.3">
      <c r="A10" s="127" t="s">
        <v>74</v>
      </c>
      <c r="B10" s="128">
        <v>3</v>
      </c>
      <c r="C10" s="125"/>
      <c r="D10" s="125"/>
      <c r="E10" s="127" t="s">
        <v>74</v>
      </c>
      <c r="F10" s="128">
        <v>4</v>
      </c>
    </row>
    <row r="11" spans="1:6" ht="18.75" x14ac:dyDescent="0.3">
      <c r="A11" s="127" t="s">
        <v>173</v>
      </c>
      <c r="B11" s="128">
        <v>1</v>
      </c>
      <c r="C11" s="125"/>
      <c r="D11" s="125"/>
      <c r="E11" s="127" t="s">
        <v>173</v>
      </c>
      <c r="F11" s="128">
        <v>35</v>
      </c>
    </row>
    <row r="12" spans="1:6" ht="18.75" x14ac:dyDescent="0.3">
      <c r="A12" s="127" t="s">
        <v>172</v>
      </c>
      <c r="B12" s="128">
        <v>1</v>
      </c>
      <c r="C12" s="125"/>
      <c r="D12" s="125"/>
      <c r="E12" s="127" t="s">
        <v>172</v>
      </c>
      <c r="F12" s="128">
        <v>1</v>
      </c>
    </row>
    <row r="13" spans="1:6" ht="18.75" x14ac:dyDescent="0.3">
      <c r="A13" s="127" t="s">
        <v>32</v>
      </c>
      <c r="B13" s="128">
        <v>9</v>
      </c>
      <c r="C13" s="125"/>
      <c r="D13" s="125"/>
      <c r="E13" s="127" t="s">
        <v>32</v>
      </c>
      <c r="F13" s="128">
        <v>5</v>
      </c>
    </row>
    <row r="14" spans="1:6" ht="18.75" x14ac:dyDescent="0.3">
      <c r="A14" s="127" t="s">
        <v>113</v>
      </c>
      <c r="B14" s="128">
        <v>8</v>
      </c>
      <c r="C14" s="125"/>
      <c r="D14" s="125"/>
      <c r="E14" s="127" t="s">
        <v>113</v>
      </c>
      <c r="F14" s="128">
        <v>1</v>
      </c>
    </row>
    <row r="15" spans="1:6" ht="18.75" x14ac:dyDescent="0.3">
      <c r="A15" s="127" t="s">
        <v>79</v>
      </c>
      <c r="B15" s="128">
        <v>1</v>
      </c>
      <c r="C15" s="125"/>
      <c r="D15" s="125"/>
      <c r="E15" s="127" t="s">
        <v>79</v>
      </c>
      <c r="F15" s="128">
        <v>1</v>
      </c>
    </row>
    <row r="16" spans="1:6" ht="18.75" x14ac:dyDescent="0.3">
      <c r="A16" s="127" t="s">
        <v>45</v>
      </c>
      <c r="B16" s="128">
        <v>20</v>
      </c>
      <c r="C16" s="125"/>
      <c r="D16" s="125"/>
      <c r="E16" s="127" t="s">
        <v>45</v>
      </c>
      <c r="F16" s="128">
        <v>5</v>
      </c>
    </row>
    <row r="17" spans="1:6" ht="18.75" x14ac:dyDescent="0.3">
      <c r="A17" s="127" t="s">
        <v>175</v>
      </c>
      <c r="B17" s="128">
        <v>1</v>
      </c>
      <c r="C17" s="125"/>
      <c r="D17" s="125"/>
      <c r="E17" s="127" t="s">
        <v>175</v>
      </c>
      <c r="F17" s="128">
        <v>17</v>
      </c>
    </row>
    <row r="18" spans="1:6" ht="18.75" x14ac:dyDescent="0.3">
      <c r="A18" s="127" t="s">
        <v>108</v>
      </c>
      <c r="B18" s="128">
        <v>5</v>
      </c>
      <c r="C18" s="125"/>
      <c r="D18" s="125"/>
      <c r="E18" s="127" t="s">
        <v>108</v>
      </c>
      <c r="F18" s="128">
        <v>2</v>
      </c>
    </row>
    <row r="19" spans="1:6" ht="18.75" x14ac:dyDescent="0.3">
      <c r="A19" s="127" t="s">
        <v>106</v>
      </c>
      <c r="B19" s="128">
        <v>2</v>
      </c>
      <c r="C19" s="125"/>
      <c r="D19" s="125"/>
      <c r="E19" s="127" t="s">
        <v>106</v>
      </c>
      <c r="F19" s="128">
        <v>7</v>
      </c>
    </row>
    <row r="20" spans="1:6" ht="18.75" x14ac:dyDescent="0.3">
      <c r="A20" s="127" t="s">
        <v>103</v>
      </c>
      <c r="B20" s="128">
        <v>1</v>
      </c>
      <c r="C20" s="125"/>
      <c r="D20" s="125"/>
      <c r="E20" s="127" t="s">
        <v>103</v>
      </c>
      <c r="F20" s="128">
        <v>3</v>
      </c>
    </row>
    <row r="21" spans="1:6" ht="18.75" x14ac:dyDescent="0.3">
      <c r="A21" s="127" t="s">
        <v>36</v>
      </c>
      <c r="B21" s="128">
        <v>1</v>
      </c>
      <c r="C21" s="125"/>
      <c r="D21" s="125"/>
      <c r="E21" s="127" t="s">
        <v>19</v>
      </c>
      <c r="F21" s="128">
        <v>4</v>
      </c>
    </row>
    <row r="22" spans="1:6" ht="18.75" x14ac:dyDescent="0.3">
      <c r="A22" s="127" t="s">
        <v>19</v>
      </c>
      <c r="B22" s="128">
        <v>21</v>
      </c>
      <c r="C22" s="125"/>
      <c r="D22" s="125"/>
      <c r="E22" s="127" t="s">
        <v>38</v>
      </c>
      <c r="F22" s="128">
        <v>13</v>
      </c>
    </row>
    <row r="23" spans="1:6" ht="18.75" x14ac:dyDescent="0.3">
      <c r="A23" s="127" t="s">
        <v>38</v>
      </c>
      <c r="B23" s="128">
        <v>9</v>
      </c>
      <c r="C23" s="125"/>
      <c r="D23" s="125"/>
      <c r="E23" s="127" t="s">
        <v>22</v>
      </c>
      <c r="F23" s="128">
        <v>2</v>
      </c>
    </row>
    <row r="24" spans="1:6" ht="18.75" x14ac:dyDescent="0.3">
      <c r="A24" s="127" t="s">
        <v>22</v>
      </c>
      <c r="B24" s="128">
        <v>9</v>
      </c>
      <c r="C24" s="125"/>
      <c r="D24" s="125"/>
      <c r="E24" s="127" t="s">
        <v>40</v>
      </c>
      <c r="F24" s="128">
        <v>1</v>
      </c>
    </row>
    <row r="25" spans="1:6" ht="18.75" x14ac:dyDescent="0.3">
      <c r="A25" s="127" t="s">
        <v>40</v>
      </c>
      <c r="B25" s="128">
        <v>1</v>
      </c>
      <c r="C25" s="125"/>
      <c r="D25" s="125"/>
      <c r="E25" s="127" t="s">
        <v>54</v>
      </c>
      <c r="F25" s="128">
        <v>4</v>
      </c>
    </row>
    <row r="26" spans="1:6" ht="18.75" x14ac:dyDescent="0.3">
      <c r="A26" s="127" t="s">
        <v>54</v>
      </c>
      <c r="B26" s="128">
        <v>11</v>
      </c>
      <c r="C26" s="125"/>
      <c r="D26" s="125"/>
      <c r="E26" s="127" t="s">
        <v>71</v>
      </c>
      <c r="F26" s="128">
        <v>10</v>
      </c>
    </row>
    <row r="27" spans="1:6" ht="18.75" x14ac:dyDescent="0.3">
      <c r="A27" s="127" t="s">
        <v>71</v>
      </c>
      <c r="B27" s="128">
        <v>9</v>
      </c>
      <c r="C27" s="125"/>
      <c r="D27" s="125"/>
      <c r="E27" s="127" t="s">
        <v>58</v>
      </c>
      <c r="F27" s="128">
        <v>1</v>
      </c>
    </row>
    <row r="28" spans="1:6" ht="18.75" x14ac:dyDescent="0.3">
      <c r="A28" s="127" t="s">
        <v>58</v>
      </c>
      <c r="B28" s="128">
        <v>25</v>
      </c>
      <c r="C28" s="125"/>
      <c r="D28" s="125"/>
      <c r="E28" s="127" t="s">
        <v>174</v>
      </c>
      <c r="F28" s="128">
        <v>1</v>
      </c>
    </row>
    <row r="29" spans="1:6" ht="18.75" x14ac:dyDescent="0.3">
      <c r="A29" s="127" t="s">
        <v>174</v>
      </c>
      <c r="B29" s="128">
        <v>1</v>
      </c>
      <c r="C29" s="125"/>
      <c r="D29" s="125"/>
      <c r="E29" s="127" t="s">
        <v>114</v>
      </c>
      <c r="F29" s="128">
        <v>5</v>
      </c>
    </row>
    <row r="30" spans="1:6" ht="18.75" x14ac:dyDescent="0.3">
      <c r="A30" s="127" t="s">
        <v>114</v>
      </c>
      <c r="B30" s="128">
        <v>6</v>
      </c>
      <c r="C30" s="125"/>
      <c r="D30" s="125"/>
      <c r="E30" s="127" t="s">
        <v>31</v>
      </c>
      <c r="F30" s="128">
        <v>1</v>
      </c>
    </row>
    <row r="31" spans="1:6" ht="18.75" x14ac:dyDescent="0.3">
      <c r="A31" s="127" t="s">
        <v>31</v>
      </c>
      <c r="B31" s="128">
        <v>15</v>
      </c>
      <c r="C31" s="125"/>
      <c r="D31" s="125"/>
      <c r="E31" s="127" t="s">
        <v>34</v>
      </c>
      <c r="F31" s="128">
        <v>6</v>
      </c>
    </row>
    <row r="32" spans="1:6" ht="18.75" x14ac:dyDescent="0.3">
      <c r="A32" s="127" t="s">
        <v>34</v>
      </c>
      <c r="B32" s="128">
        <v>8</v>
      </c>
      <c r="C32" s="125"/>
      <c r="D32" s="125"/>
      <c r="E32" s="127" t="s">
        <v>46</v>
      </c>
      <c r="F32" s="128">
        <v>5</v>
      </c>
    </row>
    <row r="33" spans="1:6" ht="18.75" x14ac:dyDescent="0.3">
      <c r="A33" s="127" t="s">
        <v>46</v>
      </c>
      <c r="B33" s="128">
        <v>9</v>
      </c>
      <c r="C33" s="125"/>
      <c r="D33" s="125"/>
      <c r="E33" s="127" t="s">
        <v>110</v>
      </c>
      <c r="F33" s="128">
        <v>9</v>
      </c>
    </row>
    <row r="34" spans="1:6" ht="18.75" x14ac:dyDescent="0.3">
      <c r="A34" s="127" t="s">
        <v>110</v>
      </c>
      <c r="B34" s="128">
        <v>1</v>
      </c>
      <c r="C34" s="125"/>
      <c r="D34" s="125"/>
      <c r="E34" s="127" t="s">
        <v>237</v>
      </c>
      <c r="F34" s="128">
        <v>10</v>
      </c>
    </row>
    <row r="35" spans="1:6" ht="18.75" x14ac:dyDescent="0.3">
      <c r="A35" s="127" t="s">
        <v>87</v>
      </c>
      <c r="B35" s="128">
        <v>1</v>
      </c>
      <c r="C35" s="125"/>
      <c r="D35" s="125"/>
      <c r="E35" s="127" t="s">
        <v>87</v>
      </c>
      <c r="F35" s="128">
        <v>2</v>
      </c>
    </row>
    <row r="36" spans="1:6" ht="18.75" x14ac:dyDescent="0.3">
      <c r="A36" s="127" t="s">
        <v>83</v>
      </c>
      <c r="B36" s="128">
        <v>1</v>
      </c>
      <c r="C36" s="125"/>
      <c r="D36" s="125"/>
      <c r="E36" s="127" t="s">
        <v>83</v>
      </c>
      <c r="F36" s="128">
        <v>1</v>
      </c>
    </row>
    <row r="37" spans="1:6" ht="18.75" x14ac:dyDescent="0.3">
      <c r="A37" s="127" t="s">
        <v>48</v>
      </c>
      <c r="B37" s="128">
        <v>1</v>
      </c>
      <c r="C37" s="125"/>
      <c r="D37" s="125"/>
      <c r="E37" s="127" t="s">
        <v>48</v>
      </c>
      <c r="F37" s="128">
        <v>1</v>
      </c>
    </row>
    <row r="38" spans="1:6" ht="18.75" x14ac:dyDescent="0.3">
      <c r="A38" s="127" t="s">
        <v>49</v>
      </c>
      <c r="B38" s="128">
        <v>15</v>
      </c>
      <c r="C38" s="125"/>
      <c r="D38" s="125"/>
      <c r="E38" s="127" t="s">
        <v>49</v>
      </c>
      <c r="F38" s="128">
        <v>2</v>
      </c>
    </row>
    <row r="39" spans="1:6" ht="18.75" x14ac:dyDescent="0.3">
      <c r="A39" s="127" t="s">
        <v>62</v>
      </c>
      <c r="B39" s="128">
        <v>22</v>
      </c>
      <c r="C39" s="125"/>
      <c r="D39" s="125"/>
      <c r="E39" s="127" t="s">
        <v>62</v>
      </c>
      <c r="F39" s="128">
        <v>4</v>
      </c>
    </row>
    <row r="40" spans="1:6" ht="18.75" x14ac:dyDescent="0.3">
      <c r="A40" s="127" t="s">
        <v>182</v>
      </c>
      <c r="B40" s="128">
        <v>1</v>
      </c>
      <c r="C40" s="125"/>
      <c r="D40" s="125"/>
      <c r="E40" s="127" t="s">
        <v>182</v>
      </c>
      <c r="F40" s="128">
        <v>1</v>
      </c>
    </row>
    <row r="41" spans="1:6" ht="18.75" x14ac:dyDescent="0.3">
      <c r="A41" s="127" t="s">
        <v>126</v>
      </c>
      <c r="B41" s="128">
        <v>1</v>
      </c>
      <c r="C41" s="125"/>
      <c r="D41" s="125"/>
      <c r="E41" s="127" t="s">
        <v>126</v>
      </c>
      <c r="F41" s="128">
        <v>1</v>
      </c>
    </row>
    <row r="42" spans="1:6" ht="18.75" x14ac:dyDescent="0.3">
      <c r="A42" s="127" t="s">
        <v>50</v>
      </c>
      <c r="B42" s="128">
        <v>15</v>
      </c>
      <c r="C42" s="125"/>
      <c r="D42" s="125"/>
      <c r="E42" s="127" t="s">
        <v>50</v>
      </c>
      <c r="F42" s="128">
        <v>1</v>
      </c>
    </row>
    <row r="43" spans="1:6" ht="18.75" x14ac:dyDescent="0.3">
      <c r="A43" s="127" t="s">
        <v>52</v>
      </c>
      <c r="B43" s="128">
        <v>4</v>
      </c>
      <c r="C43" s="125"/>
      <c r="D43" s="125"/>
      <c r="E43" s="127" t="s">
        <v>52</v>
      </c>
      <c r="F43" s="128">
        <v>5</v>
      </c>
    </row>
    <row r="44" spans="1:6" ht="18.75" x14ac:dyDescent="0.3">
      <c r="A44" s="127" t="s">
        <v>66</v>
      </c>
      <c r="B44" s="128">
        <v>10</v>
      </c>
      <c r="C44" s="125"/>
      <c r="D44" s="125"/>
      <c r="E44" s="127" t="s">
        <v>66</v>
      </c>
      <c r="F44" s="128">
        <v>2</v>
      </c>
    </row>
    <row r="45" spans="1:6" ht="18.75" x14ac:dyDescent="0.3">
      <c r="A45" s="127" t="s">
        <v>26</v>
      </c>
      <c r="B45" s="128">
        <v>1</v>
      </c>
      <c r="C45" s="125"/>
      <c r="D45" s="125"/>
      <c r="E45" s="127" t="s">
        <v>26</v>
      </c>
      <c r="F45" s="128">
        <v>10</v>
      </c>
    </row>
    <row r="46" spans="1:6" ht="18.75" x14ac:dyDescent="0.3">
      <c r="A46" s="127" t="s">
        <v>176</v>
      </c>
      <c r="B46" s="128">
        <v>1</v>
      </c>
      <c r="C46" s="125"/>
      <c r="D46" s="125"/>
      <c r="E46" s="127" t="s">
        <v>176</v>
      </c>
      <c r="F46" s="128">
        <v>13</v>
      </c>
    </row>
    <row r="47" spans="1:6" ht="18.75" x14ac:dyDescent="0.3">
      <c r="A47" s="127" t="s">
        <v>41</v>
      </c>
      <c r="B47" s="128">
        <v>16</v>
      </c>
      <c r="C47" s="125"/>
      <c r="D47" s="125"/>
      <c r="E47" s="127" t="s">
        <v>41</v>
      </c>
      <c r="F47" s="128">
        <v>4</v>
      </c>
    </row>
    <row r="48" spans="1:6" ht="18.75" x14ac:dyDescent="0.3">
      <c r="A48" s="127" t="s">
        <v>57</v>
      </c>
      <c r="B48" s="128">
        <v>5</v>
      </c>
      <c r="C48" s="125"/>
      <c r="D48" s="125"/>
      <c r="E48" s="127" t="s">
        <v>57</v>
      </c>
      <c r="F48" s="128">
        <v>3</v>
      </c>
    </row>
    <row r="49" spans="1:6" ht="18.75" x14ac:dyDescent="0.3">
      <c r="A49" s="127" t="s">
        <v>61</v>
      </c>
      <c r="B49" s="128">
        <v>11</v>
      </c>
      <c r="C49" s="125"/>
      <c r="D49" s="125"/>
      <c r="E49" s="127" t="s">
        <v>61</v>
      </c>
      <c r="F49" s="128">
        <v>3</v>
      </c>
    </row>
    <row r="50" spans="1:6" ht="18.75" x14ac:dyDescent="0.3">
      <c r="A50" s="127" t="s">
        <v>239</v>
      </c>
      <c r="B50" s="128">
        <v>300</v>
      </c>
      <c r="C50" s="125"/>
      <c r="D50" s="125"/>
      <c r="E50" s="127" t="s">
        <v>239</v>
      </c>
      <c r="F50" s="128">
        <v>231</v>
      </c>
    </row>
  </sheetData>
  <mergeCells count="3">
    <mergeCell ref="A1:E1"/>
    <mergeCell ref="A3:B3"/>
    <mergeCell ref="E3:F3"/>
  </mergeCells>
  <conditionalFormatting pivot="1" sqref="F5:F49">
    <cfRule type="cellIs" dxfId="2" priority="2" operator="lessThan">
      <formula>6</formula>
    </cfRule>
  </conditionalFormatting>
  <conditionalFormatting pivot="1" sqref="B5:B19 B22:B49">
    <cfRule type="cellIs" dxfId="1" priority="1" operator="lessThan">
      <formula>6</formula>
    </cfRule>
  </conditionalFormatting>
  <pageMargins left="0.31496062992125984" right="0.31496062992125984" top="0.15748031496062992" bottom="0.15748031496062992" header="0.31496062992125984" footer="0.31496062992125984"/>
  <pageSetup paperSize="9" scale="67"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
  <dimension ref="A1:I148"/>
  <sheetViews>
    <sheetView topLeftCell="A123" workbookViewId="0">
      <selection activeCell="D53" sqref="D53"/>
    </sheetView>
  </sheetViews>
  <sheetFormatPr baseColWidth="10" defaultRowHeight="15" x14ac:dyDescent="0.25"/>
  <cols>
    <col min="1" max="1" width="8.85546875" bestFit="1" customWidth="1"/>
    <col min="2" max="2" width="27.28515625" bestFit="1" customWidth="1"/>
    <col min="3" max="3" width="13.85546875" bestFit="1" customWidth="1"/>
    <col min="4" max="4" width="20.7109375" bestFit="1" customWidth="1"/>
    <col min="5" max="5" width="12.42578125" bestFit="1" customWidth="1"/>
    <col min="6" max="6" width="17.7109375" bestFit="1" customWidth="1"/>
  </cols>
  <sheetData>
    <row r="1" spans="1:9" ht="27" customHeight="1" x14ac:dyDescent="0.25">
      <c r="A1" s="18" t="s">
        <v>17</v>
      </c>
      <c r="B1" s="19" t="s">
        <v>18</v>
      </c>
      <c r="C1" s="19" t="s">
        <v>140</v>
      </c>
      <c r="D1" s="19" t="s">
        <v>141</v>
      </c>
      <c r="E1" s="19" t="s">
        <v>142</v>
      </c>
      <c r="F1" s="20" t="s">
        <v>143</v>
      </c>
      <c r="I1" s="78" t="s">
        <v>222</v>
      </c>
    </row>
    <row r="2" spans="1:9" x14ac:dyDescent="0.25">
      <c r="A2" s="21">
        <v>1276</v>
      </c>
      <c r="B2" s="22" t="s">
        <v>99</v>
      </c>
      <c r="C2" s="22" t="s">
        <v>169</v>
      </c>
      <c r="D2" s="22" t="s">
        <v>169</v>
      </c>
      <c r="E2" s="22" t="s">
        <v>180</v>
      </c>
      <c r="F2" s="23" t="s">
        <v>171</v>
      </c>
      <c r="I2" s="79" t="s">
        <v>221</v>
      </c>
    </row>
    <row r="3" spans="1:9" x14ac:dyDescent="0.25">
      <c r="A3" s="21">
        <v>1148</v>
      </c>
      <c r="B3" s="22" t="s">
        <v>42</v>
      </c>
      <c r="C3" s="22" t="s">
        <v>169</v>
      </c>
      <c r="D3" s="22" t="s">
        <v>169</v>
      </c>
      <c r="E3" s="22" t="s">
        <v>180</v>
      </c>
      <c r="F3" s="23" t="s">
        <v>171</v>
      </c>
      <c r="I3" s="80" t="s">
        <v>223</v>
      </c>
    </row>
    <row r="4" spans="1:9" x14ac:dyDescent="0.25">
      <c r="A4" s="24">
        <v>1312</v>
      </c>
      <c r="B4" s="25" t="s">
        <v>130</v>
      </c>
      <c r="C4" s="25" t="s">
        <v>169</v>
      </c>
      <c r="D4" s="25" t="s">
        <v>169</v>
      </c>
      <c r="E4" s="25" t="s">
        <v>180</v>
      </c>
      <c r="F4" s="26" t="s">
        <v>171</v>
      </c>
      <c r="I4" s="45"/>
    </row>
    <row r="5" spans="1:9" x14ac:dyDescent="0.25">
      <c r="A5" s="24">
        <v>1281</v>
      </c>
      <c r="B5" s="25" t="s">
        <v>102</v>
      </c>
      <c r="C5" s="25" t="s">
        <v>169</v>
      </c>
      <c r="D5" s="25" t="s">
        <v>169</v>
      </c>
      <c r="E5" s="25" t="s">
        <v>180</v>
      </c>
      <c r="F5" s="26" t="s">
        <v>171</v>
      </c>
      <c r="I5" s="45"/>
    </row>
    <row r="6" spans="1:9" x14ac:dyDescent="0.25">
      <c r="A6" s="24">
        <v>1149</v>
      </c>
      <c r="B6" s="25" t="s">
        <v>43</v>
      </c>
      <c r="C6" s="25" t="s">
        <v>169</v>
      </c>
      <c r="D6" s="25" t="s">
        <v>169</v>
      </c>
      <c r="E6" s="25" t="s">
        <v>180</v>
      </c>
      <c r="F6" s="26" t="s">
        <v>171</v>
      </c>
      <c r="I6" s="45"/>
    </row>
    <row r="7" spans="1:9" x14ac:dyDescent="0.25">
      <c r="A7" s="24">
        <v>1283</v>
      </c>
      <c r="B7" s="25" t="s">
        <v>104</v>
      </c>
      <c r="C7" s="25" t="s">
        <v>169</v>
      </c>
      <c r="D7" s="25" t="s">
        <v>169</v>
      </c>
      <c r="E7" s="25" t="s">
        <v>180</v>
      </c>
      <c r="F7" s="26" t="s">
        <v>171</v>
      </c>
    </row>
    <row r="8" spans="1:9" x14ac:dyDescent="0.25">
      <c r="A8" s="24">
        <v>1262</v>
      </c>
      <c r="B8" s="25" t="s">
        <v>90</v>
      </c>
      <c r="C8" s="25" t="s">
        <v>169</v>
      </c>
      <c r="D8" s="25" t="s">
        <v>169</v>
      </c>
      <c r="E8" s="25" t="s">
        <v>180</v>
      </c>
      <c r="F8" s="26" t="s">
        <v>171</v>
      </c>
    </row>
    <row r="9" spans="1:9" x14ac:dyDescent="0.25">
      <c r="A9" s="24">
        <v>89</v>
      </c>
      <c r="B9" s="25" t="s">
        <v>166</v>
      </c>
      <c r="C9" s="25" t="s">
        <v>163</v>
      </c>
      <c r="D9" s="25" t="s">
        <v>163</v>
      </c>
      <c r="E9" s="25" t="s">
        <v>146</v>
      </c>
      <c r="F9" s="26" t="s">
        <v>147</v>
      </c>
    </row>
    <row r="10" spans="1:9" x14ac:dyDescent="0.25">
      <c r="A10" s="24">
        <v>1304</v>
      </c>
      <c r="B10" s="25" t="s">
        <v>122</v>
      </c>
      <c r="C10" s="25" t="s">
        <v>169</v>
      </c>
      <c r="D10" s="25" t="s">
        <v>169</v>
      </c>
      <c r="E10" s="25" t="s">
        <v>180</v>
      </c>
      <c r="F10" s="26" t="s">
        <v>171</v>
      </c>
    </row>
    <row r="11" spans="1:9" x14ac:dyDescent="0.25">
      <c r="A11" s="24">
        <v>36</v>
      </c>
      <c r="B11" s="25" t="s">
        <v>168</v>
      </c>
      <c r="C11" s="25" t="s">
        <v>169</v>
      </c>
      <c r="D11" s="25" t="s">
        <v>169</v>
      </c>
      <c r="E11" s="25" t="s">
        <v>170</v>
      </c>
      <c r="F11" s="26" t="s">
        <v>171</v>
      </c>
    </row>
    <row r="12" spans="1:9" x14ac:dyDescent="0.25">
      <c r="A12" s="21">
        <v>1297</v>
      </c>
      <c r="B12" s="22" t="s">
        <v>117</v>
      </c>
      <c r="C12" s="22" t="s">
        <v>169</v>
      </c>
      <c r="D12" s="22" t="s">
        <v>169</v>
      </c>
      <c r="E12" s="22" t="s">
        <v>180</v>
      </c>
      <c r="F12" s="23" t="s">
        <v>171</v>
      </c>
    </row>
    <row r="13" spans="1:9" x14ac:dyDescent="0.25">
      <c r="A13" s="21">
        <v>1280</v>
      </c>
      <c r="B13" s="22" t="s">
        <v>101</v>
      </c>
      <c r="C13" s="22" t="s">
        <v>169</v>
      </c>
      <c r="D13" s="22" t="s">
        <v>169</v>
      </c>
      <c r="E13" s="22" t="s">
        <v>180</v>
      </c>
      <c r="F13" s="23" t="s">
        <v>171</v>
      </c>
    </row>
    <row r="14" spans="1:9" x14ac:dyDescent="0.25">
      <c r="A14" s="21">
        <v>1284</v>
      </c>
      <c r="B14" s="22" t="s">
        <v>105</v>
      </c>
      <c r="C14" s="22" t="s">
        <v>169</v>
      </c>
      <c r="D14" s="22" t="s">
        <v>169</v>
      </c>
      <c r="E14" s="22" t="s">
        <v>180</v>
      </c>
      <c r="F14" s="23" t="s">
        <v>171</v>
      </c>
    </row>
    <row r="15" spans="1:9" x14ac:dyDescent="0.25">
      <c r="A15" s="21">
        <v>1241</v>
      </c>
      <c r="B15" s="22" t="s">
        <v>75</v>
      </c>
      <c r="C15" s="22" t="s">
        <v>169</v>
      </c>
      <c r="D15" s="22" t="s">
        <v>169</v>
      </c>
      <c r="E15" s="22" t="s">
        <v>180</v>
      </c>
      <c r="F15" s="23" t="s">
        <v>171</v>
      </c>
    </row>
    <row r="16" spans="1:9" x14ac:dyDescent="0.25">
      <c r="A16" s="24">
        <v>1296</v>
      </c>
      <c r="B16" s="25" t="s">
        <v>116</v>
      </c>
      <c r="C16" s="25" t="s">
        <v>169</v>
      </c>
      <c r="D16" s="25" t="s">
        <v>169</v>
      </c>
      <c r="E16" s="25" t="s">
        <v>180</v>
      </c>
      <c r="F16" s="26" t="s">
        <v>171</v>
      </c>
    </row>
    <row r="17" spans="1:6" x14ac:dyDescent="0.25">
      <c r="A17" s="21">
        <v>1118</v>
      </c>
      <c r="B17" s="22" t="s">
        <v>30</v>
      </c>
      <c r="C17" s="22" t="s">
        <v>169</v>
      </c>
      <c r="D17" s="22" t="s">
        <v>169</v>
      </c>
      <c r="E17" s="22" t="s">
        <v>180</v>
      </c>
      <c r="F17" s="23" t="s">
        <v>171</v>
      </c>
    </row>
    <row r="18" spans="1:6" x14ac:dyDescent="0.25">
      <c r="A18" s="24">
        <v>1242</v>
      </c>
      <c r="B18" s="25" t="s">
        <v>76</v>
      </c>
      <c r="C18" s="25" t="s">
        <v>169</v>
      </c>
      <c r="D18" s="25" t="s">
        <v>169</v>
      </c>
      <c r="E18" s="25" t="s">
        <v>180</v>
      </c>
      <c r="F18" s="26" t="s">
        <v>171</v>
      </c>
    </row>
    <row r="19" spans="1:6" x14ac:dyDescent="0.25">
      <c r="A19" s="24">
        <v>1142</v>
      </c>
      <c r="B19" s="25" t="s">
        <v>37</v>
      </c>
      <c r="C19" s="25" t="s">
        <v>169</v>
      </c>
      <c r="D19" s="25" t="s">
        <v>169</v>
      </c>
      <c r="E19" s="25" t="s">
        <v>180</v>
      </c>
      <c r="F19" s="26" t="s">
        <v>171</v>
      </c>
    </row>
    <row r="20" spans="1:6" x14ac:dyDescent="0.25">
      <c r="A20" s="24">
        <v>1239</v>
      </c>
      <c r="B20" s="25" t="s">
        <v>74</v>
      </c>
      <c r="C20" s="25" t="s">
        <v>169</v>
      </c>
      <c r="D20" s="25" t="s">
        <v>169</v>
      </c>
      <c r="E20" s="25" t="s">
        <v>180</v>
      </c>
      <c r="F20" s="26" t="s">
        <v>171</v>
      </c>
    </row>
    <row r="21" spans="1:6" x14ac:dyDescent="0.25">
      <c r="A21" s="21">
        <v>1291</v>
      </c>
      <c r="B21" s="22" t="s">
        <v>111</v>
      </c>
      <c r="C21" s="22" t="s">
        <v>169</v>
      </c>
      <c r="D21" s="22" t="s">
        <v>169</v>
      </c>
      <c r="E21" s="22" t="s">
        <v>180</v>
      </c>
      <c r="F21" s="23" t="s">
        <v>171</v>
      </c>
    </row>
    <row r="22" spans="1:6" x14ac:dyDescent="0.25">
      <c r="A22" s="24">
        <v>100</v>
      </c>
      <c r="B22" s="25" t="s">
        <v>156</v>
      </c>
      <c r="C22" s="25" t="s">
        <v>145</v>
      </c>
      <c r="D22" s="25" t="s">
        <v>145</v>
      </c>
      <c r="E22" s="25" t="s">
        <v>146</v>
      </c>
      <c r="F22" s="26" t="s">
        <v>147</v>
      </c>
    </row>
    <row r="23" spans="1:6" x14ac:dyDescent="0.25">
      <c r="A23" s="24">
        <v>54</v>
      </c>
      <c r="B23" s="25" t="s">
        <v>173</v>
      </c>
      <c r="C23" s="25" t="s">
        <v>169</v>
      </c>
      <c r="D23" s="25" t="s">
        <v>169</v>
      </c>
      <c r="E23" s="25" t="s">
        <v>170</v>
      </c>
      <c r="F23" s="26" t="s">
        <v>171</v>
      </c>
    </row>
    <row r="24" spans="1:6" x14ac:dyDescent="0.25">
      <c r="A24" s="21">
        <v>53</v>
      </c>
      <c r="B24" s="22" t="s">
        <v>172</v>
      </c>
      <c r="C24" s="22" t="s">
        <v>169</v>
      </c>
      <c r="D24" s="22" t="s">
        <v>169</v>
      </c>
      <c r="E24" s="22" t="s">
        <v>170</v>
      </c>
      <c r="F24" s="23" t="s">
        <v>171</v>
      </c>
    </row>
    <row r="25" spans="1:6" x14ac:dyDescent="0.25">
      <c r="A25" s="24">
        <v>1042</v>
      </c>
      <c r="B25" s="25" t="s">
        <v>21</v>
      </c>
      <c r="C25" s="25" t="s">
        <v>169</v>
      </c>
      <c r="D25" s="25" t="s">
        <v>169</v>
      </c>
      <c r="E25" s="25" t="s">
        <v>180</v>
      </c>
      <c r="F25" s="26" t="s">
        <v>171</v>
      </c>
    </row>
    <row r="26" spans="1:6" x14ac:dyDescent="0.25">
      <c r="A26" s="24">
        <v>1268</v>
      </c>
      <c r="B26" s="25" t="s">
        <v>94</v>
      </c>
      <c r="C26" s="25" t="s">
        <v>169</v>
      </c>
      <c r="D26" s="25" t="s">
        <v>169</v>
      </c>
      <c r="E26" s="25" t="s">
        <v>180</v>
      </c>
      <c r="F26" s="26" t="s">
        <v>171</v>
      </c>
    </row>
    <row r="27" spans="1:6" x14ac:dyDescent="0.25">
      <c r="A27" s="21">
        <v>1123</v>
      </c>
      <c r="B27" s="22" t="s">
        <v>32</v>
      </c>
      <c r="C27" s="22" t="s">
        <v>169</v>
      </c>
      <c r="D27" s="22" t="s">
        <v>169</v>
      </c>
      <c r="E27" s="22" t="s">
        <v>180</v>
      </c>
      <c r="F27" s="23" t="s">
        <v>171</v>
      </c>
    </row>
    <row r="28" spans="1:6" x14ac:dyDescent="0.25">
      <c r="A28" s="24">
        <v>1064</v>
      </c>
      <c r="B28" s="25" t="s">
        <v>27</v>
      </c>
      <c r="C28" s="25" t="s">
        <v>169</v>
      </c>
      <c r="D28" s="25" t="s">
        <v>169</v>
      </c>
      <c r="E28" s="25" t="s">
        <v>180</v>
      </c>
      <c r="F28" s="26" t="s">
        <v>171</v>
      </c>
    </row>
    <row r="29" spans="1:6" x14ac:dyDescent="0.25">
      <c r="A29" s="24">
        <v>68</v>
      </c>
      <c r="B29" s="25" t="s">
        <v>150</v>
      </c>
      <c r="C29" s="25" t="s">
        <v>145</v>
      </c>
      <c r="D29" s="25" t="s">
        <v>145</v>
      </c>
      <c r="E29" s="25" t="s">
        <v>146</v>
      </c>
      <c r="F29" s="26" t="s">
        <v>147</v>
      </c>
    </row>
    <row r="30" spans="1:6" x14ac:dyDescent="0.25">
      <c r="A30" s="21">
        <v>1152</v>
      </c>
      <c r="B30" s="22" t="s">
        <v>44</v>
      </c>
      <c r="C30" s="22" t="s">
        <v>169</v>
      </c>
      <c r="D30" s="22" t="s">
        <v>169</v>
      </c>
      <c r="E30" s="22" t="s">
        <v>180</v>
      </c>
      <c r="F30" s="23" t="s">
        <v>171</v>
      </c>
    </row>
    <row r="31" spans="1:6" x14ac:dyDescent="0.25">
      <c r="A31" s="21">
        <v>23</v>
      </c>
      <c r="B31" s="22" t="s">
        <v>144</v>
      </c>
      <c r="C31" s="22" t="s">
        <v>145</v>
      </c>
      <c r="D31" s="22" t="s">
        <v>145</v>
      </c>
      <c r="E31" s="22" t="s">
        <v>146</v>
      </c>
      <c r="F31" s="23" t="s">
        <v>147</v>
      </c>
    </row>
    <row r="32" spans="1:6" x14ac:dyDescent="0.25">
      <c r="A32" s="21">
        <v>1293</v>
      </c>
      <c r="B32" s="22" t="s">
        <v>113</v>
      </c>
      <c r="C32" s="22" t="s">
        <v>169</v>
      </c>
      <c r="D32" s="22" t="s">
        <v>169</v>
      </c>
      <c r="E32" s="22" t="s">
        <v>180</v>
      </c>
      <c r="F32" s="23" t="s">
        <v>171</v>
      </c>
    </row>
    <row r="33" spans="1:6" x14ac:dyDescent="0.25">
      <c r="A33" s="21">
        <v>1311</v>
      </c>
      <c r="B33" s="22" t="s">
        <v>129</v>
      </c>
      <c r="C33" s="22" t="s">
        <v>169</v>
      </c>
      <c r="D33" s="22" t="s">
        <v>169</v>
      </c>
      <c r="E33" s="22" t="s">
        <v>180</v>
      </c>
      <c r="F33" s="23" t="s">
        <v>171</v>
      </c>
    </row>
    <row r="34" spans="1:6" x14ac:dyDescent="0.25">
      <c r="A34" s="21">
        <v>1248</v>
      </c>
      <c r="B34" s="22" t="s">
        <v>79</v>
      </c>
      <c r="C34" s="22" t="s">
        <v>169</v>
      </c>
      <c r="D34" s="22" t="s">
        <v>169</v>
      </c>
      <c r="E34" s="22" t="s">
        <v>180</v>
      </c>
      <c r="F34" s="23" t="s">
        <v>171</v>
      </c>
    </row>
    <row r="35" spans="1:6" x14ac:dyDescent="0.25">
      <c r="A35" s="21">
        <v>1266</v>
      </c>
      <c r="B35" s="22" t="s">
        <v>93</v>
      </c>
      <c r="C35" s="22" t="s">
        <v>169</v>
      </c>
      <c r="D35" s="22" t="s">
        <v>169</v>
      </c>
      <c r="E35" s="22" t="s">
        <v>180</v>
      </c>
      <c r="F35" s="23" t="s">
        <v>171</v>
      </c>
    </row>
    <row r="36" spans="1:6" x14ac:dyDescent="0.25">
      <c r="A36" s="24">
        <v>1247</v>
      </c>
      <c r="B36" s="25" t="s">
        <v>78</v>
      </c>
      <c r="C36" s="25" t="s">
        <v>169</v>
      </c>
      <c r="D36" s="25" t="s">
        <v>169</v>
      </c>
      <c r="E36" s="25" t="s">
        <v>180</v>
      </c>
      <c r="F36" s="26" t="s">
        <v>171</v>
      </c>
    </row>
    <row r="37" spans="1:6" x14ac:dyDescent="0.25">
      <c r="A37" s="24">
        <v>1155</v>
      </c>
      <c r="B37" s="25" t="s">
        <v>45</v>
      </c>
      <c r="C37" s="25" t="s">
        <v>169</v>
      </c>
      <c r="D37" s="25" t="s">
        <v>169</v>
      </c>
      <c r="E37" s="25" t="s">
        <v>180</v>
      </c>
      <c r="F37" s="26" t="s">
        <v>171</v>
      </c>
    </row>
    <row r="38" spans="1:6" x14ac:dyDescent="0.25">
      <c r="A38" s="24">
        <v>1274</v>
      </c>
      <c r="B38" s="25" t="s">
        <v>98</v>
      </c>
      <c r="C38" s="25" t="s">
        <v>169</v>
      </c>
      <c r="D38" s="25" t="s">
        <v>169</v>
      </c>
      <c r="E38" s="25" t="s">
        <v>180</v>
      </c>
      <c r="F38" s="26" t="s">
        <v>171</v>
      </c>
    </row>
    <row r="39" spans="1:6" x14ac:dyDescent="0.25">
      <c r="A39" s="21">
        <v>1174</v>
      </c>
      <c r="B39" s="22" t="s">
        <v>53</v>
      </c>
      <c r="C39" s="22" t="s">
        <v>169</v>
      </c>
      <c r="D39" s="22" t="s">
        <v>169</v>
      </c>
      <c r="E39" s="22" t="s">
        <v>180</v>
      </c>
      <c r="F39" s="23" t="s">
        <v>171</v>
      </c>
    </row>
    <row r="40" spans="1:6" x14ac:dyDescent="0.25">
      <c r="A40" s="21">
        <v>1246</v>
      </c>
      <c r="B40" s="22" t="s">
        <v>77</v>
      </c>
      <c r="C40" s="22" t="s">
        <v>169</v>
      </c>
      <c r="D40" s="22" t="s">
        <v>169</v>
      </c>
      <c r="E40" s="22" t="s">
        <v>180</v>
      </c>
      <c r="F40" s="23" t="s">
        <v>171</v>
      </c>
    </row>
    <row r="41" spans="1:6" x14ac:dyDescent="0.25">
      <c r="A41" s="24">
        <v>78</v>
      </c>
      <c r="B41" s="25" t="s">
        <v>175</v>
      </c>
      <c r="C41" s="25" t="s">
        <v>169</v>
      </c>
      <c r="D41" s="25" t="s">
        <v>169</v>
      </c>
      <c r="E41" s="25" t="s">
        <v>170</v>
      </c>
      <c r="F41" s="26" t="s">
        <v>171</v>
      </c>
    </row>
    <row r="42" spans="1:6" x14ac:dyDescent="0.25">
      <c r="A42" s="24">
        <v>1288</v>
      </c>
      <c r="B42" s="25" t="s">
        <v>108</v>
      </c>
      <c r="C42" s="25" t="s">
        <v>169</v>
      </c>
      <c r="D42" s="25" t="s">
        <v>169</v>
      </c>
      <c r="E42" s="25" t="s">
        <v>180</v>
      </c>
      <c r="F42" s="26" t="s">
        <v>171</v>
      </c>
    </row>
    <row r="43" spans="1:6" x14ac:dyDescent="0.25">
      <c r="A43" s="24">
        <v>1285</v>
      </c>
      <c r="B43" s="25" t="s">
        <v>106</v>
      </c>
      <c r="C43" s="25" t="s">
        <v>169</v>
      </c>
      <c r="D43" s="25" t="s">
        <v>169</v>
      </c>
      <c r="E43" s="25" t="s">
        <v>180</v>
      </c>
      <c r="F43" s="26" t="s">
        <v>171</v>
      </c>
    </row>
    <row r="44" spans="1:6" x14ac:dyDescent="0.25">
      <c r="A44" s="24">
        <v>1310</v>
      </c>
      <c r="B44" s="25" t="s">
        <v>128</v>
      </c>
      <c r="C44" s="25" t="s">
        <v>169</v>
      </c>
      <c r="D44" s="25" t="s">
        <v>169</v>
      </c>
      <c r="E44" s="25" t="s">
        <v>180</v>
      </c>
      <c r="F44" s="26" t="s">
        <v>171</v>
      </c>
    </row>
    <row r="45" spans="1:6" x14ac:dyDescent="0.25">
      <c r="A45" s="21">
        <v>1282</v>
      </c>
      <c r="B45" s="22" t="s">
        <v>103</v>
      </c>
      <c r="C45" s="22" t="s">
        <v>169</v>
      </c>
      <c r="D45" s="22" t="s">
        <v>169</v>
      </c>
      <c r="E45" s="22" t="s">
        <v>180</v>
      </c>
      <c r="F45" s="23" t="s">
        <v>171</v>
      </c>
    </row>
    <row r="46" spans="1:6" x14ac:dyDescent="0.25">
      <c r="A46" s="24">
        <v>1229</v>
      </c>
      <c r="B46" s="25" t="s">
        <v>70</v>
      </c>
      <c r="C46" s="25" t="s">
        <v>169</v>
      </c>
      <c r="D46" s="25" t="s">
        <v>169</v>
      </c>
      <c r="E46" s="25" t="s">
        <v>180</v>
      </c>
      <c r="F46" s="26" t="s">
        <v>171</v>
      </c>
    </row>
    <row r="47" spans="1:6" x14ac:dyDescent="0.25">
      <c r="A47" s="24">
        <v>1292</v>
      </c>
      <c r="B47" s="25" t="s">
        <v>112</v>
      </c>
      <c r="C47" s="25" t="s">
        <v>169</v>
      </c>
      <c r="D47" s="25" t="s">
        <v>169</v>
      </c>
      <c r="E47" s="25" t="s">
        <v>180</v>
      </c>
      <c r="F47" s="26" t="s">
        <v>171</v>
      </c>
    </row>
    <row r="48" spans="1:6" x14ac:dyDescent="0.25">
      <c r="A48" s="21">
        <v>1141</v>
      </c>
      <c r="B48" s="22" t="s">
        <v>36</v>
      </c>
      <c r="C48" s="22" t="s">
        <v>169</v>
      </c>
      <c r="D48" s="22" t="s">
        <v>169</v>
      </c>
      <c r="E48" s="22" t="s">
        <v>180</v>
      </c>
      <c r="F48" s="23" t="s">
        <v>171</v>
      </c>
    </row>
    <row r="49" spans="1:6" x14ac:dyDescent="0.25">
      <c r="A49" s="24">
        <v>1028</v>
      </c>
      <c r="B49" s="25" t="s">
        <v>19</v>
      </c>
      <c r="C49" s="25" t="s">
        <v>169</v>
      </c>
      <c r="D49" s="25" t="s">
        <v>169</v>
      </c>
      <c r="E49" s="25" t="s">
        <v>180</v>
      </c>
      <c r="F49" s="26" t="s">
        <v>171</v>
      </c>
    </row>
    <row r="50" spans="1:6" x14ac:dyDescent="0.25">
      <c r="A50" s="24">
        <v>1144</v>
      </c>
      <c r="B50" s="25" t="s">
        <v>39</v>
      </c>
      <c r="C50" s="25" t="s">
        <v>169</v>
      </c>
      <c r="D50" s="25" t="s">
        <v>169</v>
      </c>
      <c r="E50" s="25" t="s">
        <v>180</v>
      </c>
      <c r="F50" s="26" t="s">
        <v>171</v>
      </c>
    </row>
    <row r="51" spans="1:6" x14ac:dyDescent="0.25">
      <c r="A51" s="21">
        <v>75</v>
      </c>
      <c r="B51" s="22" t="s">
        <v>151</v>
      </c>
      <c r="C51" s="22" t="s">
        <v>145</v>
      </c>
      <c r="D51" s="22" t="s">
        <v>145</v>
      </c>
      <c r="E51" s="22" t="s">
        <v>146</v>
      </c>
      <c r="F51" s="23" t="s">
        <v>147</v>
      </c>
    </row>
    <row r="52" spans="1:6" x14ac:dyDescent="0.25">
      <c r="A52" s="21">
        <v>1305</v>
      </c>
      <c r="B52" s="22" t="s">
        <v>123</v>
      </c>
      <c r="C52" s="22" t="s">
        <v>169</v>
      </c>
      <c r="D52" s="22" t="s">
        <v>169</v>
      </c>
      <c r="E52" s="22" t="s">
        <v>180</v>
      </c>
      <c r="F52" s="23" t="s">
        <v>171</v>
      </c>
    </row>
    <row r="53" spans="1:6" x14ac:dyDescent="0.25">
      <c r="A53" s="21">
        <v>1303</v>
      </c>
      <c r="B53" s="22" t="s">
        <v>121</v>
      </c>
      <c r="C53" s="22" t="s">
        <v>169</v>
      </c>
      <c r="D53" s="22" t="s">
        <v>169</v>
      </c>
      <c r="E53" s="22" t="s">
        <v>180</v>
      </c>
      <c r="F53" s="23" t="s">
        <v>171</v>
      </c>
    </row>
    <row r="54" spans="1:6" x14ac:dyDescent="0.25">
      <c r="A54" s="24">
        <v>1256</v>
      </c>
      <c r="B54" s="25" t="s">
        <v>86</v>
      </c>
      <c r="C54" s="25" t="s">
        <v>169</v>
      </c>
      <c r="D54" s="25" t="s">
        <v>169</v>
      </c>
      <c r="E54" s="25" t="s">
        <v>180</v>
      </c>
      <c r="F54" s="26" t="s">
        <v>171</v>
      </c>
    </row>
    <row r="55" spans="1:6" x14ac:dyDescent="0.25">
      <c r="A55" s="21">
        <v>1143</v>
      </c>
      <c r="B55" s="22" t="s">
        <v>38</v>
      </c>
      <c r="C55" s="22" t="s">
        <v>169</v>
      </c>
      <c r="D55" s="22" t="s">
        <v>169</v>
      </c>
      <c r="E55" s="22" t="s">
        <v>180</v>
      </c>
      <c r="F55" s="23" t="s">
        <v>171</v>
      </c>
    </row>
    <row r="56" spans="1:6" x14ac:dyDescent="0.25">
      <c r="A56" s="21">
        <v>1224</v>
      </c>
      <c r="B56" s="22" t="s">
        <v>67</v>
      </c>
      <c r="C56" s="22" t="s">
        <v>169</v>
      </c>
      <c r="D56" s="22" t="s">
        <v>169</v>
      </c>
      <c r="E56" s="22" t="s">
        <v>180</v>
      </c>
      <c r="F56" s="23" t="s">
        <v>171</v>
      </c>
    </row>
    <row r="57" spans="1:6" x14ac:dyDescent="0.25">
      <c r="A57" s="21">
        <v>1045</v>
      </c>
      <c r="B57" s="22" t="s">
        <v>22</v>
      </c>
      <c r="C57" s="22" t="s">
        <v>169</v>
      </c>
      <c r="D57" s="22" t="s">
        <v>169</v>
      </c>
      <c r="E57" s="22" t="s">
        <v>180</v>
      </c>
      <c r="F57" s="23" t="s">
        <v>171</v>
      </c>
    </row>
    <row r="58" spans="1:6" x14ac:dyDescent="0.25">
      <c r="A58" s="21">
        <v>1145</v>
      </c>
      <c r="B58" s="22" t="s">
        <v>40</v>
      </c>
      <c r="C58" s="22" t="s">
        <v>169</v>
      </c>
      <c r="D58" s="22" t="s">
        <v>169</v>
      </c>
      <c r="E58" s="22" t="s">
        <v>180</v>
      </c>
      <c r="F58" s="23" t="s">
        <v>171</v>
      </c>
    </row>
    <row r="59" spans="1:6" x14ac:dyDescent="0.25">
      <c r="A59" s="24">
        <v>1302</v>
      </c>
      <c r="B59" s="25" t="s">
        <v>120</v>
      </c>
      <c r="C59" s="25" t="s">
        <v>169</v>
      </c>
      <c r="D59" s="25" t="s">
        <v>169</v>
      </c>
      <c r="E59" s="25" t="s">
        <v>180</v>
      </c>
      <c r="F59" s="26" t="s">
        <v>171</v>
      </c>
    </row>
    <row r="60" spans="1:6" x14ac:dyDescent="0.25">
      <c r="A60" s="24">
        <v>1270</v>
      </c>
      <c r="B60" s="25" t="s">
        <v>96</v>
      </c>
      <c r="C60" s="25" t="s">
        <v>169</v>
      </c>
      <c r="D60" s="25" t="s">
        <v>169</v>
      </c>
      <c r="E60" s="25" t="s">
        <v>180</v>
      </c>
      <c r="F60" s="26" t="s">
        <v>171</v>
      </c>
    </row>
    <row r="61" spans="1:6" x14ac:dyDescent="0.25">
      <c r="A61" s="24">
        <v>1175</v>
      </c>
      <c r="B61" s="25" t="s">
        <v>54</v>
      </c>
      <c r="C61" s="25" t="s">
        <v>169</v>
      </c>
      <c r="D61" s="25" t="s">
        <v>169</v>
      </c>
      <c r="E61" s="25" t="s">
        <v>180</v>
      </c>
      <c r="F61" s="26" t="s">
        <v>171</v>
      </c>
    </row>
    <row r="62" spans="1:6" x14ac:dyDescent="0.25">
      <c r="A62" s="24">
        <v>59</v>
      </c>
      <c r="B62" s="25" t="s">
        <v>148</v>
      </c>
      <c r="C62" s="25" t="s">
        <v>145</v>
      </c>
      <c r="D62" s="25" t="s">
        <v>145</v>
      </c>
      <c r="E62" s="25" t="s">
        <v>146</v>
      </c>
      <c r="F62" s="26" t="s">
        <v>147</v>
      </c>
    </row>
    <row r="63" spans="1:6" x14ac:dyDescent="0.25">
      <c r="A63" s="21">
        <v>1069</v>
      </c>
      <c r="B63" s="22" t="s">
        <v>28</v>
      </c>
      <c r="C63" s="22" t="s">
        <v>169</v>
      </c>
      <c r="D63" s="22" t="s">
        <v>169</v>
      </c>
      <c r="E63" s="22" t="s">
        <v>180</v>
      </c>
      <c r="F63" s="23" t="s">
        <v>171</v>
      </c>
    </row>
    <row r="64" spans="1:6" x14ac:dyDescent="0.25">
      <c r="A64" s="24">
        <v>86</v>
      </c>
      <c r="B64" s="25" t="s">
        <v>154</v>
      </c>
      <c r="C64" s="25" t="s">
        <v>145</v>
      </c>
      <c r="D64" s="25" t="s">
        <v>145</v>
      </c>
      <c r="E64" s="25" t="s">
        <v>146</v>
      </c>
      <c r="F64" s="26" t="s">
        <v>147</v>
      </c>
    </row>
    <row r="65" spans="1:6" x14ac:dyDescent="0.25">
      <c r="A65" s="21">
        <v>1193</v>
      </c>
      <c r="B65" s="22" t="s">
        <v>59</v>
      </c>
      <c r="C65" s="22" t="s">
        <v>169</v>
      </c>
      <c r="D65" s="22" t="s">
        <v>169</v>
      </c>
      <c r="E65" s="22" t="s">
        <v>180</v>
      </c>
      <c r="F65" s="23" t="s">
        <v>171</v>
      </c>
    </row>
    <row r="66" spans="1:6" x14ac:dyDescent="0.25">
      <c r="A66" s="21">
        <v>1307</v>
      </c>
      <c r="B66" s="22" t="s">
        <v>125</v>
      </c>
      <c r="C66" s="22" t="s">
        <v>169</v>
      </c>
      <c r="D66" s="22" t="s">
        <v>169</v>
      </c>
      <c r="E66" s="22" t="s">
        <v>180</v>
      </c>
      <c r="F66" s="23" t="s">
        <v>171</v>
      </c>
    </row>
    <row r="67" spans="1:6" x14ac:dyDescent="0.25">
      <c r="A67" s="21">
        <v>1232</v>
      </c>
      <c r="B67" s="22" t="s">
        <v>71</v>
      </c>
      <c r="C67" s="22" t="s">
        <v>169</v>
      </c>
      <c r="D67" s="22" t="s">
        <v>169</v>
      </c>
      <c r="E67" s="22" t="s">
        <v>180</v>
      </c>
      <c r="F67" s="23" t="s">
        <v>171</v>
      </c>
    </row>
    <row r="68" spans="1:6" x14ac:dyDescent="0.25">
      <c r="A68" s="24">
        <v>1205</v>
      </c>
      <c r="B68" s="25" t="s">
        <v>60</v>
      </c>
      <c r="C68" s="25" t="s">
        <v>169</v>
      </c>
      <c r="D68" s="25" t="s">
        <v>169</v>
      </c>
      <c r="E68" s="25" t="s">
        <v>180</v>
      </c>
      <c r="F68" s="26" t="s">
        <v>171</v>
      </c>
    </row>
    <row r="69" spans="1:6" x14ac:dyDescent="0.25">
      <c r="A69" s="24">
        <v>1277</v>
      </c>
      <c r="B69" s="25" t="s">
        <v>100</v>
      </c>
      <c r="C69" s="25" t="s">
        <v>169</v>
      </c>
      <c r="D69" s="25" t="s">
        <v>169</v>
      </c>
      <c r="E69" s="25" t="s">
        <v>180</v>
      </c>
      <c r="F69" s="26" t="s">
        <v>171</v>
      </c>
    </row>
    <row r="70" spans="1:6" x14ac:dyDescent="0.25">
      <c r="A70" s="21">
        <v>1313</v>
      </c>
      <c r="B70" s="22" t="s">
        <v>131</v>
      </c>
      <c r="C70" s="22" t="s">
        <v>169</v>
      </c>
      <c r="D70" s="22" t="s">
        <v>169</v>
      </c>
      <c r="E70" s="22" t="s">
        <v>180</v>
      </c>
      <c r="F70" s="23" t="s">
        <v>171</v>
      </c>
    </row>
    <row r="71" spans="1:6" x14ac:dyDescent="0.25">
      <c r="A71" s="24">
        <v>1190</v>
      </c>
      <c r="B71" s="25" t="s">
        <v>58</v>
      </c>
      <c r="C71" s="25" t="s">
        <v>169</v>
      </c>
      <c r="D71" s="25" t="s">
        <v>169</v>
      </c>
      <c r="E71" s="25" t="s">
        <v>180</v>
      </c>
      <c r="F71" s="26" t="s">
        <v>171</v>
      </c>
    </row>
    <row r="72" spans="1:6" x14ac:dyDescent="0.25">
      <c r="A72" s="21">
        <v>57</v>
      </c>
      <c r="B72" s="22" t="s">
        <v>174</v>
      </c>
      <c r="C72" s="22" t="s">
        <v>169</v>
      </c>
      <c r="D72" s="22" t="s">
        <v>169</v>
      </c>
      <c r="E72" s="22" t="s">
        <v>170</v>
      </c>
      <c r="F72" s="23" t="s">
        <v>171</v>
      </c>
    </row>
    <row r="73" spans="1:6" x14ac:dyDescent="0.25">
      <c r="A73" s="21">
        <v>1287</v>
      </c>
      <c r="B73" s="22" t="s">
        <v>107</v>
      </c>
      <c r="C73" s="22" t="s">
        <v>169</v>
      </c>
      <c r="D73" s="22" t="s">
        <v>169</v>
      </c>
      <c r="E73" s="22" t="s">
        <v>180</v>
      </c>
      <c r="F73" s="23" t="s">
        <v>171</v>
      </c>
    </row>
    <row r="74" spans="1:6" x14ac:dyDescent="0.25">
      <c r="A74" s="21">
        <v>118</v>
      </c>
      <c r="B74" s="22" t="s">
        <v>157</v>
      </c>
      <c r="C74" s="22" t="s">
        <v>145</v>
      </c>
      <c r="D74" s="22" t="s">
        <v>145</v>
      </c>
      <c r="E74" s="22" t="s">
        <v>146</v>
      </c>
      <c r="F74" s="23" t="s">
        <v>147</v>
      </c>
    </row>
    <row r="75" spans="1:6" x14ac:dyDescent="0.25">
      <c r="A75" s="21">
        <v>1057</v>
      </c>
      <c r="B75" s="22" t="s">
        <v>24</v>
      </c>
      <c r="C75" s="22" t="s">
        <v>169</v>
      </c>
      <c r="D75" s="22" t="s">
        <v>169</v>
      </c>
      <c r="E75" s="22" t="s">
        <v>180</v>
      </c>
      <c r="F75" s="23" t="s">
        <v>171</v>
      </c>
    </row>
    <row r="76" spans="1:6" x14ac:dyDescent="0.25">
      <c r="A76" s="21">
        <v>32</v>
      </c>
      <c r="B76" s="22" t="s">
        <v>162</v>
      </c>
      <c r="C76" s="22" t="s">
        <v>163</v>
      </c>
      <c r="D76" s="22" t="s">
        <v>163</v>
      </c>
      <c r="E76" s="22" t="s">
        <v>146</v>
      </c>
      <c r="F76" s="23" t="s">
        <v>147</v>
      </c>
    </row>
    <row r="77" spans="1:6" x14ac:dyDescent="0.25">
      <c r="A77" s="24">
        <v>1316</v>
      </c>
      <c r="B77" s="25" t="s">
        <v>184</v>
      </c>
      <c r="C77" s="25" t="s">
        <v>169</v>
      </c>
      <c r="D77" s="25" t="s">
        <v>169</v>
      </c>
      <c r="E77" s="25" t="s">
        <v>180</v>
      </c>
      <c r="F77" s="26" t="s">
        <v>171</v>
      </c>
    </row>
    <row r="78" spans="1:6" x14ac:dyDescent="0.25">
      <c r="A78" s="21">
        <v>98</v>
      </c>
      <c r="B78" s="22" t="s">
        <v>155</v>
      </c>
      <c r="C78" s="22" t="s">
        <v>145</v>
      </c>
      <c r="D78" s="22" t="s">
        <v>145</v>
      </c>
      <c r="E78" s="22" t="s">
        <v>146</v>
      </c>
      <c r="F78" s="23" t="s">
        <v>147</v>
      </c>
    </row>
    <row r="79" spans="1:6" x14ac:dyDescent="0.25">
      <c r="A79" s="21">
        <v>67</v>
      </c>
      <c r="B79" s="22" t="s">
        <v>149</v>
      </c>
      <c r="C79" s="22" t="s">
        <v>145</v>
      </c>
      <c r="D79" s="22" t="s">
        <v>145</v>
      </c>
      <c r="E79" s="22" t="s">
        <v>146</v>
      </c>
      <c r="F79" s="23" t="s">
        <v>147</v>
      </c>
    </row>
    <row r="80" spans="1:6" x14ac:dyDescent="0.25">
      <c r="A80" s="24">
        <v>1294</v>
      </c>
      <c r="B80" s="25" t="s">
        <v>114</v>
      </c>
      <c r="C80" s="25" t="s">
        <v>169</v>
      </c>
      <c r="D80" s="25" t="s">
        <v>169</v>
      </c>
      <c r="E80" s="25" t="s">
        <v>180</v>
      </c>
      <c r="F80" s="26" t="s">
        <v>171</v>
      </c>
    </row>
    <row r="81" spans="1:6" x14ac:dyDescent="0.25">
      <c r="A81" s="24">
        <v>1120</v>
      </c>
      <c r="B81" s="25" t="s">
        <v>31</v>
      </c>
      <c r="C81" s="25" t="s">
        <v>169</v>
      </c>
      <c r="D81" s="25" t="s">
        <v>169</v>
      </c>
      <c r="E81" s="25" t="s">
        <v>180</v>
      </c>
      <c r="F81" s="26" t="s">
        <v>171</v>
      </c>
    </row>
    <row r="82" spans="1:6" x14ac:dyDescent="0.25">
      <c r="A82" s="21">
        <v>1250</v>
      </c>
      <c r="B82" s="22" t="s">
        <v>81</v>
      </c>
      <c r="C82" s="22" t="s">
        <v>169</v>
      </c>
      <c r="D82" s="22" t="s">
        <v>169</v>
      </c>
      <c r="E82" s="22" t="s">
        <v>180</v>
      </c>
      <c r="F82" s="23" t="s">
        <v>171</v>
      </c>
    </row>
    <row r="83" spans="1:6" x14ac:dyDescent="0.25">
      <c r="A83" s="21">
        <v>1137</v>
      </c>
      <c r="B83" s="22" t="s">
        <v>34</v>
      </c>
      <c r="C83" s="22" t="s">
        <v>169</v>
      </c>
      <c r="D83" s="22" t="s">
        <v>169</v>
      </c>
      <c r="E83" s="22" t="s">
        <v>180</v>
      </c>
      <c r="F83" s="23" t="s">
        <v>171</v>
      </c>
    </row>
    <row r="84" spans="1:6" x14ac:dyDescent="0.25">
      <c r="A84" s="21">
        <v>1215</v>
      </c>
      <c r="B84" s="22" t="s">
        <v>65</v>
      </c>
      <c r="C84" s="22" t="s">
        <v>169</v>
      </c>
      <c r="D84" s="22" t="s">
        <v>169</v>
      </c>
      <c r="E84" s="22" t="s">
        <v>180</v>
      </c>
      <c r="F84" s="23" t="s">
        <v>171</v>
      </c>
    </row>
    <row r="85" spans="1:6" x14ac:dyDescent="0.25">
      <c r="A85" s="21">
        <v>1183</v>
      </c>
      <c r="B85" s="22" t="s">
        <v>55</v>
      </c>
      <c r="C85" s="22" t="s">
        <v>169</v>
      </c>
      <c r="D85" s="22" t="s">
        <v>169</v>
      </c>
      <c r="E85" s="22" t="s">
        <v>180</v>
      </c>
      <c r="F85" s="23" t="s">
        <v>171</v>
      </c>
    </row>
    <row r="86" spans="1:6" x14ac:dyDescent="0.25">
      <c r="A86" s="21">
        <v>1163</v>
      </c>
      <c r="B86" s="22" t="s">
        <v>46</v>
      </c>
      <c r="C86" s="22" t="s">
        <v>169</v>
      </c>
      <c r="D86" s="22" t="s">
        <v>169</v>
      </c>
      <c r="E86" s="22" t="s">
        <v>180</v>
      </c>
      <c r="F86" s="23" t="s">
        <v>171</v>
      </c>
    </row>
    <row r="87" spans="1:6" x14ac:dyDescent="0.25">
      <c r="A87" s="24">
        <v>1225</v>
      </c>
      <c r="B87" s="25" t="s">
        <v>68</v>
      </c>
      <c r="C87" s="25" t="s">
        <v>169</v>
      </c>
      <c r="D87" s="25" t="s">
        <v>169</v>
      </c>
      <c r="E87" s="25" t="s">
        <v>180</v>
      </c>
      <c r="F87" s="26" t="s">
        <v>171</v>
      </c>
    </row>
    <row r="88" spans="1:6" x14ac:dyDescent="0.25">
      <c r="A88" s="21">
        <v>1228</v>
      </c>
      <c r="B88" s="22" t="s">
        <v>69</v>
      </c>
      <c r="C88" s="22" t="s">
        <v>169</v>
      </c>
      <c r="D88" s="22" t="s">
        <v>169</v>
      </c>
      <c r="E88" s="22" t="s">
        <v>180</v>
      </c>
      <c r="F88" s="23" t="s">
        <v>171</v>
      </c>
    </row>
    <row r="89" spans="1:6" x14ac:dyDescent="0.25">
      <c r="A89" s="21">
        <v>81</v>
      </c>
      <c r="B89" s="22" t="s">
        <v>165</v>
      </c>
      <c r="C89" s="22" t="s">
        <v>163</v>
      </c>
      <c r="D89" s="22" t="s">
        <v>163</v>
      </c>
      <c r="E89" s="22" t="s">
        <v>146</v>
      </c>
      <c r="F89" s="23" t="s">
        <v>147</v>
      </c>
    </row>
    <row r="90" spans="1:6" x14ac:dyDescent="0.25">
      <c r="A90" s="24">
        <v>1290</v>
      </c>
      <c r="B90" s="25" t="s">
        <v>110</v>
      </c>
      <c r="C90" s="25" t="s">
        <v>169</v>
      </c>
      <c r="D90" s="25" t="s">
        <v>169</v>
      </c>
      <c r="E90" s="25" t="s">
        <v>180</v>
      </c>
      <c r="F90" s="26" t="s">
        <v>171</v>
      </c>
    </row>
    <row r="91" spans="1:6" x14ac:dyDescent="0.25">
      <c r="A91" s="24">
        <v>1259</v>
      </c>
      <c r="B91" s="25" t="s">
        <v>88</v>
      </c>
      <c r="C91" s="25" t="s">
        <v>169</v>
      </c>
      <c r="D91" s="25" t="s">
        <v>169</v>
      </c>
      <c r="E91" s="25" t="s">
        <v>180</v>
      </c>
      <c r="F91" s="26" t="s">
        <v>171</v>
      </c>
    </row>
    <row r="92" spans="1:6" x14ac:dyDescent="0.25">
      <c r="A92" s="24">
        <v>1185</v>
      </c>
      <c r="B92" s="25" t="s">
        <v>56</v>
      </c>
      <c r="C92" s="25" t="s">
        <v>169</v>
      </c>
      <c r="D92" s="25" t="s">
        <v>169</v>
      </c>
      <c r="E92" s="25" t="s">
        <v>180</v>
      </c>
      <c r="F92" s="26" t="s">
        <v>171</v>
      </c>
    </row>
    <row r="93" spans="1:6" x14ac:dyDescent="0.25">
      <c r="A93" s="24">
        <v>79</v>
      </c>
      <c r="B93" s="25" t="s">
        <v>152</v>
      </c>
      <c r="C93" s="25" t="s">
        <v>145</v>
      </c>
      <c r="D93" s="25" t="s">
        <v>145</v>
      </c>
      <c r="E93" s="25" t="s">
        <v>146</v>
      </c>
      <c r="F93" s="26" t="s">
        <v>147</v>
      </c>
    </row>
    <row r="94" spans="1:6" x14ac:dyDescent="0.25">
      <c r="A94" s="21">
        <v>1300</v>
      </c>
      <c r="B94" s="22" t="s">
        <v>119</v>
      </c>
      <c r="C94" s="22" t="s">
        <v>169</v>
      </c>
      <c r="D94" s="22" t="s">
        <v>169</v>
      </c>
      <c r="E94" s="22" t="s">
        <v>180</v>
      </c>
      <c r="F94" s="23" t="s">
        <v>171</v>
      </c>
    </row>
    <row r="95" spans="1:6" x14ac:dyDescent="0.25">
      <c r="A95" s="21">
        <v>1309</v>
      </c>
      <c r="B95" s="22" t="s">
        <v>127</v>
      </c>
      <c r="C95" s="22" t="s">
        <v>169</v>
      </c>
      <c r="D95" s="22" t="s">
        <v>169</v>
      </c>
      <c r="E95" s="22" t="s">
        <v>180</v>
      </c>
      <c r="F95" s="23" t="s">
        <v>171</v>
      </c>
    </row>
    <row r="96" spans="1:6" x14ac:dyDescent="0.25">
      <c r="A96" s="21">
        <v>1209</v>
      </c>
      <c r="B96" s="22" t="s">
        <v>63</v>
      </c>
      <c r="C96" s="22" t="s">
        <v>169</v>
      </c>
      <c r="D96" s="22" t="s">
        <v>169</v>
      </c>
      <c r="E96" s="22" t="s">
        <v>180</v>
      </c>
      <c r="F96" s="23" t="s">
        <v>171</v>
      </c>
    </row>
    <row r="97" spans="1:6" x14ac:dyDescent="0.25">
      <c r="A97" s="21">
        <v>1289</v>
      </c>
      <c r="B97" s="22" t="s">
        <v>109</v>
      </c>
      <c r="C97" s="22" t="s">
        <v>169</v>
      </c>
      <c r="D97" s="22" t="s">
        <v>169</v>
      </c>
      <c r="E97" s="22" t="s">
        <v>180</v>
      </c>
      <c r="F97" s="23" t="s">
        <v>171</v>
      </c>
    </row>
    <row r="98" spans="1:6" x14ac:dyDescent="0.25">
      <c r="A98" s="24">
        <v>1235</v>
      </c>
      <c r="B98" s="25" t="s">
        <v>72</v>
      </c>
      <c r="C98" s="25" t="s">
        <v>169</v>
      </c>
      <c r="D98" s="25" t="s">
        <v>169</v>
      </c>
      <c r="E98" s="25" t="s">
        <v>180</v>
      </c>
      <c r="F98" s="26" t="s">
        <v>171</v>
      </c>
    </row>
    <row r="99" spans="1:6" x14ac:dyDescent="0.25">
      <c r="A99" s="21">
        <v>123</v>
      </c>
      <c r="B99" s="22" t="s">
        <v>179</v>
      </c>
      <c r="C99" s="22" t="s">
        <v>169</v>
      </c>
      <c r="D99" s="22" t="s">
        <v>169</v>
      </c>
      <c r="E99" s="22" t="s">
        <v>170</v>
      </c>
      <c r="F99" s="23" t="s">
        <v>171</v>
      </c>
    </row>
    <row r="100" spans="1:6" x14ac:dyDescent="0.25">
      <c r="A100" s="21">
        <v>1269</v>
      </c>
      <c r="B100" s="22" t="s">
        <v>95</v>
      </c>
      <c r="C100" s="22" t="s">
        <v>169</v>
      </c>
      <c r="D100" s="22" t="s">
        <v>169</v>
      </c>
      <c r="E100" s="22" t="s">
        <v>180</v>
      </c>
      <c r="F100" s="23" t="s">
        <v>171</v>
      </c>
    </row>
    <row r="101" spans="1:6" s="91" customFormat="1" x14ac:dyDescent="0.25">
      <c r="A101" s="21">
        <v>115</v>
      </c>
      <c r="B101" s="22" t="s">
        <v>237</v>
      </c>
      <c r="C101" s="22" t="s">
        <v>169</v>
      </c>
      <c r="D101" s="22" t="s">
        <v>169</v>
      </c>
      <c r="E101" s="22" t="s">
        <v>170</v>
      </c>
      <c r="F101" s="23" t="s">
        <v>171</v>
      </c>
    </row>
    <row r="102" spans="1:6" x14ac:dyDescent="0.25">
      <c r="A102" s="24">
        <v>1140</v>
      </c>
      <c r="B102" s="25" t="s">
        <v>35</v>
      </c>
      <c r="C102" s="25" t="s">
        <v>169</v>
      </c>
      <c r="D102" s="25" t="s">
        <v>169</v>
      </c>
      <c r="E102" s="25" t="s">
        <v>180</v>
      </c>
      <c r="F102" s="26" t="s">
        <v>171</v>
      </c>
    </row>
    <row r="103" spans="1:6" x14ac:dyDescent="0.25">
      <c r="A103" s="21">
        <v>1258</v>
      </c>
      <c r="B103" s="22" t="s">
        <v>87</v>
      </c>
      <c r="C103" s="22" t="s">
        <v>169</v>
      </c>
      <c r="D103" s="22" t="s">
        <v>169</v>
      </c>
      <c r="E103" s="22" t="s">
        <v>180</v>
      </c>
      <c r="F103" s="23" t="s">
        <v>171</v>
      </c>
    </row>
    <row r="104" spans="1:6" x14ac:dyDescent="0.25">
      <c r="A104" s="24">
        <v>120</v>
      </c>
      <c r="B104" s="25" t="s">
        <v>158</v>
      </c>
      <c r="C104" s="25" t="s">
        <v>145</v>
      </c>
      <c r="D104" s="25" t="s">
        <v>145</v>
      </c>
      <c r="E104" s="25" t="s">
        <v>146</v>
      </c>
      <c r="F104" s="26" t="s">
        <v>147</v>
      </c>
    </row>
    <row r="105" spans="1:6" x14ac:dyDescent="0.25">
      <c r="A105" s="24">
        <v>1164</v>
      </c>
      <c r="B105" s="25" t="s">
        <v>47</v>
      </c>
      <c r="C105" s="25" t="s">
        <v>169</v>
      </c>
      <c r="D105" s="25" t="s">
        <v>169</v>
      </c>
      <c r="E105" s="25" t="s">
        <v>180</v>
      </c>
      <c r="F105" s="26" t="s">
        <v>171</v>
      </c>
    </row>
    <row r="106" spans="1:6" x14ac:dyDescent="0.25">
      <c r="A106" s="21">
        <v>121</v>
      </c>
      <c r="B106" s="22" t="s">
        <v>159</v>
      </c>
      <c r="C106" s="22" t="s">
        <v>145</v>
      </c>
      <c r="D106" s="22" t="s">
        <v>145</v>
      </c>
      <c r="E106" s="22" t="s">
        <v>146</v>
      </c>
      <c r="F106" s="23" t="s">
        <v>147</v>
      </c>
    </row>
    <row r="107" spans="1:6" x14ac:dyDescent="0.25">
      <c r="A107" s="21">
        <v>1295</v>
      </c>
      <c r="B107" s="22" t="s">
        <v>115</v>
      </c>
      <c r="C107" s="22" t="s">
        <v>169</v>
      </c>
      <c r="D107" s="22" t="s">
        <v>169</v>
      </c>
      <c r="E107" s="22" t="s">
        <v>180</v>
      </c>
      <c r="F107" s="23" t="s">
        <v>171</v>
      </c>
    </row>
    <row r="108" spans="1:6" x14ac:dyDescent="0.25">
      <c r="A108" s="21">
        <v>1036</v>
      </c>
      <c r="B108" s="22" t="s">
        <v>20</v>
      </c>
      <c r="C108" s="22" t="s">
        <v>169</v>
      </c>
      <c r="D108" s="22" t="s">
        <v>169</v>
      </c>
      <c r="E108" s="22" t="s">
        <v>180</v>
      </c>
      <c r="F108" s="23" t="s">
        <v>171</v>
      </c>
    </row>
    <row r="109" spans="1:6" x14ac:dyDescent="0.25">
      <c r="A109" s="21">
        <v>1272</v>
      </c>
      <c r="B109" s="22" t="s">
        <v>97</v>
      </c>
      <c r="C109" s="22" t="s">
        <v>169</v>
      </c>
      <c r="D109" s="22" t="s">
        <v>169</v>
      </c>
      <c r="E109" s="22" t="s">
        <v>180</v>
      </c>
      <c r="F109" s="23" t="s">
        <v>171</v>
      </c>
    </row>
    <row r="110" spans="1:6" x14ac:dyDescent="0.25">
      <c r="A110" s="21">
        <v>113</v>
      </c>
      <c r="B110" s="22" t="s">
        <v>167</v>
      </c>
      <c r="C110" s="22" t="s">
        <v>163</v>
      </c>
      <c r="D110" s="22" t="s">
        <v>163</v>
      </c>
      <c r="E110" s="22" t="s">
        <v>146</v>
      </c>
      <c r="F110" s="23" t="s">
        <v>147</v>
      </c>
    </row>
    <row r="111" spans="1:6" x14ac:dyDescent="0.25">
      <c r="A111" s="24">
        <v>1306</v>
      </c>
      <c r="B111" s="25" t="s">
        <v>124</v>
      </c>
      <c r="C111" s="25" t="s">
        <v>169</v>
      </c>
      <c r="D111" s="25" t="s">
        <v>169</v>
      </c>
      <c r="E111" s="25" t="s">
        <v>180</v>
      </c>
      <c r="F111" s="26" t="s">
        <v>171</v>
      </c>
    </row>
    <row r="112" spans="1:6" x14ac:dyDescent="0.25">
      <c r="A112" s="24">
        <v>1136</v>
      </c>
      <c r="B112" s="25" t="s">
        <v>33</v>
      </c>
      <c r="C112" s="25" t="s">
        <v>169</v>
      </c>
      <c r="D112" s="25" t="s">
        <v>169</v>
      </c>
      <c r="E112" s="25" t="s">
        <v>180</v>
      </c>
      <c r="F112" s="26" t="s">
        <v>171</v>
      </c>
    </row>
    <row r="113" spans="1:6" x14ac:dyDescent="0.25">
      <c r="A113" s="21">
        <v>1253</v>
      </c>
      <c r="B113" s="22" t="s">
        <v>83</v>
      </c>
      <c r="C113" s="22" t="s">
        <v>169</v>
      </c>
      <c r="D113" s="22" t="s">
        <v>169</v>
      </c>
      <c r="E113" s="22" t="s">
        <v>180</v>
      </c>
      <c r="F113" s="23" t="s">
        <v>171</v>
      </c>
    </row>
    <row r="114" spans="1:6" x14ac:dyDescent="0.25">
      <c r="A114" s="24">
        <v>1254</v>
      </c>
      <c r="B114" s="25" t="s">
        <v>84</v>
      </c>
      <c r="C114" s="25" t="s">
        <v>169</v>
      </c>
      <c r="D114" s="25" t="s">
        <v>169</v>
      </c>
      <c r="E114" s="25" t="s">
        <v>180</v>
      </c>
      <c r="F114" s="26" t="s">
        <v>171</v>
      </c>
    </row>
    <row r="115" spans="1:6" x14ac:dyDescent="0.25">
      <c r="A115" s="21">
        <v>1166</v>
      </c>
      <c r="B115" s="22" t="s">
        <v>48</v>
      </c>
      <c r="C115" s="22" t="s">
        <v>169</v>
      </c>
      <c r="D115" s="22" t="s">
        <v>169</v>
      </c>
      <c r="E115" s="22" t="s">
        <v>180</v>
      </c>
      <c r="F115" s="23" t="s">
        <v>171</v>
      </c>
    </row>
    <row r="116" spans="1:6" x14ac:dyDescent="0.25">
      <c r="A116" s="24">
        <v>1167</v>
      </c>
      <c r="B116" s="25" t="s">
        <v>49</v>
      </c>
      <c r="C116" s="25" t="s">
        <v>169</v>
      </c>
      <c r="D116" s="25" t="s">
        <v>169</v>
      </c>
      <c r="E116" s="25" t="s">
        <v>180</v>
      </c>
      <c r="F116" s="26" t="s">
        <v>171</v>
      </c>
    </row>
    <row r="117" spans="1:6" x14ac:dyDescent="0.25">
      <c r="A117" s="24">
        <v>1299</v>
      </c>
      <c r="B117" s="25" t="s">
        <v>118</v>
      </c>
      <c r="C117" s="25" t="s">
        <v>169</v>
      </c>
      <c r="D117" s="25" t="s">
        <v>169</v>
      </c>
      <c r="E117" s="25" t="s">
        <v>180</v>
      </c>
      <c r="F117" s="26" t="s">
        <v>171</v>
      </c>
    </row>
    <row r="118" spans="1:6" x14ac:dyDescent="0.25">
      <c r="A118" s="24">
        <v>1249</v>
      </c>
      <c r="B118" s="25" t="s">
        <v>80</v>
      </c>
      <c r="C118" s="25" t="s">
        <v>169</v>
      </c>
      <c r="D118" s="25" t="s">
        <v>169</v>
      </c>
      <c r="E118" s="25" t="s">
        <v>180</v>
      </c>
      <c r="F118" s="26" t="s">
        <v>171</v>
      </c>
    </row>
    <row r="119" spans="1:6" x14ac:dyDescent="0.25">
      <c r="A119" s="24">
        <v>1208</v>
      </c>
      <c r="B119" s="25" t="s">
        <v>62</v>
      </c>
      <c r="C119" s="25" t="s">
        <v>169</v>
      </c>
      <c r="D119" s="25" t="s">
        <v>169</v>
      </c>
      <c r="E119" s="25" t="s">
        <v>180</v>
      </c>
      <c r="F119" s="26" t="s">
        <v>171</v>
      </c>
    </row>
    <row r="120" spans="1:6" x14ac:dyDescent="0.25">
      <c r="A120" s="24">
        <v>1252</v>
      </c>
      <c r="B120" s="25" t="s">
        <v>82</v>
      </c>
      <c r="C120" s="25" t="s">
        <v>169</v>
      </c>
      <c r="D120" s="25" t="s">
        <v>169</v>
      </c>
      <c r="E120" s="25" t="s">
        <v>180</v>
      </c>
      <c r="F120" s="26" t="s">
        <v>171</v>
      </c>
    </row>
    <row r="121" spans="1:6" x14ac:dyDescent="0.25">
      <c r="A121" s="24">
        <v>1265</v>
      </c>
      <c r="B121" s="25" t="s">
        <v>92</v>
      </c>
      <c r="C121" s="25" t="s">
        <v>169</v>
      </c>
      <c r="D121" s="25" t="s">
        <v>169</v>
      </c>
      <c r="E121" s="25" t="s">
        <v>180</v>
      </c>
      <c r="F121" s="26" t="s">
        <v>171</v>
      </c>
    </row>
    <row r="122" spans="1:6" x14ac:dyDescent="0.25">
      <c r="A122" s="24">
        <v>1314</v>
      </c>
      <c r="B122" s="25" t="s">
        <v>182</v>
      </c>
      <c r="C122" s="25" t="s">
        <v>169</v>
      </c>
      <c r="D122" s="25" t="s">
        <v>169</v>
      </c>
      <c r="E122" s="25" t="s">
        <v>180</v>
      </c>
      <c r="F122" s="26" t="s">
        <v>171</v>
      </c>
    </row>
    <row r="123" spans="1:6" x14ac:dyDescent="0.25">
      <c r="A123" s="24">
        <v>1214</v>
      </c>
      <c r="B123" s="25" t="s">
        <v>64</v>
      </c>
      <c r="C123" s="25" t="s">
        <v>169</v>
      </c>
      <c r="D123" s="25" t="s">
        <v>169</v>
      </c>
      <c r="E123" s="25" t="s">
        <v>180</v>
      </c>
      <c r="F123" s="26" t="s">
        <v>171</v>
      </c>
    </row>
    <row r="124" spans="1:6" x14ac:dyDescent="0.25">
      <c r="A124" s="21">
        <v>84</v>
      </c>
      <c r="B124" s="22" t="s">
        <v>153</v>
      </c>
      <c r="C124" s="22" t="s">
        <v>145</v>
      </c>
      <c r="D124" s="22" t="s">
        <v>145</v>
      </c>
      <c r="E124" s="22" t="s">
        <v>146</v>
      </c>
      <c r="F124" s="23" t="s">
        <v>147</v>
      </c>
    </row>
    <row r="125" spans="1:6" x14ac:dyDescent="0.25">
      <c r="A125" s="24">
        <v>65</v>
      </c>
      <c r="B125" s="25" t="s">
        <v>164</v>
      </c>
      <c r="C125" s="25" t="s">
        <v>163</v>
      </c>
      <c r="D125" s="25" t="s">
        <v>163</v>
      </c>
      <c r="E125" s="25" t="s">
        <v>146</v>
      </c>
      <c r="F125" s="26" t="s">
        <v>147</v>
      </c>
    </row>
    <row r="126" spans="1:6" x14ac:dyDescent="0.25">
      <c r="A126" s="24">
        <v>1053</v>
      </c>
      <c r="B126" s="25" t="s">
        <v>23</v>
      </c>
      <c r="C126" s="25" t="s">
        <v>169</v>
      </c>
      <c r="D126" s="25" t="s">
        <v>169</v>
      </c>
      <c r="E126" s="25" t="s">
        <v>180</v>
      </c>
      <c r="F126" s="26" t="s">
        <v>171</v>
      </c>
    </row>
    <row r="127" spans="1:6" x14ac:dyDescent="0.25">
      <c r="A127" s="24">
        <v>1308</v>
      </c>
      <c r="B127" s="25" t="s">
        <v>126</v>
      </c>
      <c r="C127" s="25" t="s">
        <v>169</v>
      </c>
      <c r="D127" s="25" t="s">
        <v>169</v>
      </c>
      <c r="E127" s="25" t="s">
        <v>180</v>
      </c>
      <c r="F127" s="26" t="s">
        <v>171</v>
      </c>
    </row>
    <row r="128" spans="1:6" x14ac:dyDescent="0.25">
      <c r="A128" s="21">
        <v>1315</v>
      </c>
      <c r="B128" s="22" t="s">
        <v>183</v>
      </c>
      <c r="C128" s="22" t="s">
        <v>169</v>
      </c>
      <c r="D128" s="22" t="s">
        <v>169</v>
      </c>
      <c r="E128" s="22" t="s">
        <v>180</v>
      </c>
      <c r="F128" s="23" t="s">
        <v>171</v>
      </c>
    </row>
    <row r="129" spans="1:6" x14ac:dyDescent="0.25">
      <c r="A129" s="21">
        <v>1169</v>
      </c>
      <c r="B129" s="22" t="s">
        <v>50</v>
      </c>
      <c r="C129" s="22" t="s">
        <v>169</v>
      </c>
      <c r="D129" s="22" t="s">
        <v>169</v>
      </c>
      <c r="E129" s="22" t="s">
        <v>180</v>
      </c>
      <c r="F129" s="23" t="s">
        <v>171</v>
      </c>
    </row>
    <row r="130" spans="1:6" x14ac:dyDescent="0.25">
      <c r="A130" s="24">
        <v>1170</v>
      </c>
      <c r="B130" s="25" t="s">
        <v>51</v>
      </c>
      <c r="C130" s="25" t="s">
        <v>169</v>
      </c>
      <c r="D130" s="25" t="s">
        <v>169</v>
      </c>
      <c r="E130" s="25" t="s">
        <v>180</v>
      </c>
      <c r="F130" s="26" t="s">
        <v>171</v>
      </c>
    </row>
    <row r="131" spans="1:6" x14ac:dyDescent="0.25">
      <c r="A131" s="24">
        <v>1173</v>
      </c>
      <c r="B131" s="25" t="s">
        <v>181</v>
      </c>
      <c r="C131" s="25" t="s">
        <v>169</v>
      </c>
      <c r="D131" s="25" t="s">
        <v>169</v>
      </c>
      <c r="E131" s="25" t="s">
        <v>178</v>
      </c>
      <c r="F131" s="26" t="s">
        <v>171</v>
      </c>
    </row>
    <row r="132" spans="1:6" x14ac:dyDescent="0.25">
      <c r="A132" s="21">
        <v>1171</v>
      </c>
      <c r="B132" s="22" t="s">
        <v>52</v>
      </c>
      <c r="C132" s="22" t="s">
        <v>169</v>
      </c>
      <c r="D132" s="22" t="s">
        <v>169</v>
      </c>
      <c r="E132" s="22" t="s">
        <v>180</v>
      </c>
      <c r="F132" s="23" t="s">
        <v>171</v>
      </c>
    </row>
    <row r="133" spans="1:6" x14ac:dyDescent="0.25">
      <c r="A133" s="21">
        <v>1261</v>
      </c>
      <c r="B133" s="22" t="s">
        <v>89</v>
      </c>
      <c r="C133" s="22" t="s">
        <v>169</v>
      </c>
      <c r="D133" s="22" t="s">
        <v>169</v>
      </c>
      <c r="E133" s="22" t="s">
        <v>180</v>
      </c>
      <c r="F133" s="23" t="s">
        <v>171</v>
      </c>
    </row>
    <row r="134" spans="1:6" x14ac:dyDescent="0.25">
      <c r="A134" s="24">
        <v>1222</v>
      </c>
      <c r="B134" s="25" t="s">
        <v>66</v>
      </c>
      <c r="C134" s="25" t="s">
        <v>169</v>
      </c>
      <c r="D134" s="25" t="s">
        <v>169</v>
      </c>
      <c r="E134" s="25" t="s">
        <v>180</v>
      </c>
      <c r="F134" s="26" t="s">
        <v>171</v>
      </c>
    </row>
    <row r="135" spans="1:6" x14ac:dyDescent="0.25">
      <c r="A135" s="24">
        <v>1060</v>
      </c>
      <c r="B135" s="25" t="s">
        <v>25</v>
      </c>
      <c r="C135" s="25" t="s">
        <v>169</v>
      </c>
      <c r="D135" s="25" t="s">
        <v>169</v>
      </c>
      <c r="E135" s="25" t="s">
        <v>180</v>
      </c>
      <c r="F135" s="26" t="s">
        <v>171</v>
      </c>
    </row>
    <row r="136" spans="1:6" x14ac:dyDescent="0.25">
      <c r="A136" s="21">
        <v>1061</v>
      </c>
      <c r="B136" s="22" t="s">
        <v>26</v>
      </c>
      <c r="C136" s="22" t="s">
        <v>169</v>
      </c>
      <c r="D136" s="22" t="s">
        <v>169</v>
      </c>
      <c r="E136" s="22" t="s">
        <v>180</v>
      </c>
      <c r="F136" s="23" t="s">
        <v>171</v>
      </c>
    </row>
    <row r="137" spans="1:6" x14ac:dyDescent="0.25">
      <c r="A137" s="24">
        <v>114</v>
      </c>
      <c r="B137" s="25" t="s">
        <v>177</v>
      </c>
      <c r="C137" s="25" t="s">
        <v>169</v>
      </c>
      <c r="D137" s="25" t="s">
        <v>169</v>
      </c>
      <c r="E137" s="25" t="s">
        <v>178</v>
      </c>
      <c r="F137" s="26" t="s">
        <v>171</v>
      </c>
    </row>
    <row r="138" spans="1:6" x14ac:dyDescent="0.25">
      <c r="A138" s="21">
        <v>91</v>
      </c>
      <c r="B138" s="22" t="s">
        <v>176</v>
      </c>
      <c r="C138" s="22" t="s">
        <v>169</v>
      </c>
      <c r="D138" s="22" t="s">
        <v>169</v>
      </c>
      <c r="E138" s="22" t="s">
        <v>170</v>
      </c>
      <c r="F138" s="23" t="s">
        <v>171</v>
      </c>
    </row>
    <row r="139" spans="1:6" x14ac:dyDescent="0.25">
      <c r="A139" s="21">
        <v>1237</v>
      </c>
      <c r="B139" s="22" t="s">
        <v>73</v>
      </c>
      <c r="C139" s="22" t="s">
        <v>169</v>
      </c>
      <c r="D139" s="22" t="s">
        <v>169</v>
      </c>
      <c r="E139" s="22" t="s">
        <v>180</v>
      </c>
      <c r="F139" s="23" t="s">
        <v>171</v>
      </c>
    </row>
    <row r="140" spans="1:6" x14ac:dyDescent="0.25">
      <c r="A140" s="21">
        <v>1264</v>
      </c>
      <c r="B140" s="22" t="s">
        <v>91</v>
      </c>
      <c r="C140" s="22" t="s">
        <v>169</v>
      </c>
      <c r="D140" s="22" t="s">
        <v>169</v>
      </c>
      <c r="E140" s="22" t="s">
        <v>180</v>
      </c>
      <c r="F140" s="23" t="s">
        <v>171</v>
      </c>
    </row>
    <row r="141" spans="1:6" x14ac:dyDescent="0.25">
      <c r="A141" s="24">
        <v>1147</v>
      </c>
      <c r="B141" s="25" t="s">
        <v>41</v>
      </c>
      <c r="C141" s="25" t="s">
        <v>169</v>
      </c>
      <c r="D141" s="25" t="s">
        <v>169</v>
      </c>
      <c r="E141" s="25" t="s">
        <v>180</v>
      </c>
      <c r="F141" s="26" t="s">
        <v>171</v>
      </c>
    </row>
    <row r="142" spans="1:6" x14ac:dyDescent="0.25">
      <c r="A142" s="21">
        <v>1187</v>
      </c>
      <c r="B142" s="22" t="s">
        <v>57</v>
      </c>
      <c r="C142" s="22" t="s">
        <v>169</v>
      </c>
      <c r="D142" s="22" t="s">
        <v>169</v>
      </c>
      <c r="E142" s="22" t="s">
        <v>180</v>
      </c>
      <c r="F142" s="23" t="s">
        <v>171</v>
      </c>
    </row>
    <row r="143" spans="1:6" x14ac:dyDescent="0.25">
      <c r="A143" s="24">
        <v>1113</v>
      </c>
      <c r="B143" s="25" t="s">
        <v>29</v>
      </c>
      <c r="C143" s="25" t="s">
        <v>169</v>
      </c>
      <c r="D143" s="25" t="s">
        <v>169</v>
      </c>
      <c r="E143" s="25" t="s">
        <v>180</v>
      </c>
      <c r="F143" s="26" t="s">
        <v>171</v>
      </c>
    </row>
    <row r="144" spans="1:6" x14ac:dyDescent="0.25">
      <c r="A144" s="21">
        <v>1255</v>
      </c>
      <c r="B144" s="22" t="s">
        <v>85</v>
      </c>
      <c r="C144" s="22" t="s">
        <v>169</v>
      </c>
      <c r="D144" s="22" t="s">
        <v>169</v>
      </c>
      <c r="E144" s="22" t="s">
        <v>180</v>
      </c>
      <c r="F144" s="23" t="s">
        <v>171</v>
      </c>
    </row>
    <row r="145" spans="1:6" x14ac:dyDescent="0.25">
      <c r="A145" s="24">
        <v>2104</v>
      </c>
      <c r="B145" s="25" t="s">
        <v>160</v>
      </c>
      <c r="C145" s="25" t="s">
        <v>145</v>
      </c>
      <c r="D145" s="25" t="s">
        <v>145</v>
      </c>
      <c r="E145" s="25" t="s">
        <v>161</v>
      </c>
      <c r="F145" s="26" t="s">
        <v>147</v>
      </c>
    </row>
    <row r="146" spans="1:6" x14ac:dyDescent="0.25">
      <c r="A146" s="85">
        <v>1206</v>
      </c>
      <c r="B146" s="86" t="s">
        <v>61</v>
      </c>
      <c r="C146" s="86" t="s">
        <v>169</v>
      </c>
      <c r="D146" s="86" t="s">
        <v>169</v>
      </c>
      <c r="E146" s="86" t="s">
        <v>180</v>
      </c>
      <c r="F146" s="79" t="s">
        <v>171</v>
      </c>
    </row>
    <row r="147" spans="1:6" x14ac:dyDescent="0.25">
      <c r="A147" s="119">
        <v>136</v>
      </c>
      <c r="B147" s="120" t="s">
        <v>248</v>
      </c>
      <c r="C147" s="120" t="s">
        <v>169</v>
      </c>
      <c r="D147" s="120" t="s">
        <v>169</v>
      </c>
      <c r="E147" s="120" t="s">
        <v>170</v>
      </c>
      <c r="F147" s="121" t="s">
        <v>171</v>
      </c>
    </row>
    <row r="148" spans="1:6" x14ac:dyDescent="0.25">
      <c r="A148" s="122">
        <v>26</v>
      </c>
      <c r="B148" s="123" t="s">
        <v>253</v>
      </c>
      <c r="C148" s="123" t="s">
        <v>169</v>
      </c>
      <c r="D148" s="123" t="s">
        <v>169</v>
      </c>
      <c r="E148" s="123" t="s">
        <v>170</v>
      </c>
      <c r="F148" s="124" t="s">
        <v>171</v>
      </c>
    </row>
  </sheetData>
  <protectedRanges>
    <protectedRange sqref="A2:C146" name="Lista Conductores"/>
  </protectedRanges>
  <autoFilter ref="A1:F146" xr:uid="{00000000-0009-0000-0000-000005000000}"/>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Hojas de cálculo</vt:lpstr>
      </vt:variant>
      <vt:variant>
        <vt:i4>5</vt:i4>
      </vt:variant>
      <vt:variant>
        <vt:lpstr>Gráficos</vt:lpstr>
      </vt:variant>
      <vt:variant>
        <vt:i4>1</vt:i4>
      </vt:variant>
      <vt:variant>
        <vt:lpstr>Rangos con nombre</vt:lpstr>
      </vt:variant>
      <vt:variant>
        <vt:i4>6</vt:i4>
      </vt:variant>
    </vt:vector>
  </HeadingPairs>
  <TitlesOfParts>
    <vt:vector size="12" baseType="lpstr">
      <vt:lpstr>Conductor-Guarda-Azafata</vt:lpstr>
      <vt:lpstr>Unidad-Servicio</vt:lpstr>
      <vt:lpstr>Boletería-Vendedor</vt:lpstr>
      <vt:lpstr>Cant. de monitoreos</vt:lpstr>
      <vt:lpstr>Personal</vt:lpstr>
      <vt:lpstr>Gráfico1</vt:lpstr>
      <vt:lpstr>'Boletería-Vendedor'!Área_de_extracción</vt:lpstr>
      <vt:lpstr>'Conductor-Guarda-Azafata'!Área_de_extracción</vt:lpstr>
      <vt:lpstr>'Unidad-Servicio'!Área_de_extracción</vt:lpstr>
      <vt:lpstr>'Boletería-Vendedor'!Criterios</vt:lpstr>
      <vt:lpstr>'Conductor-Guarda-Azafata'!Criterios</vt:lpstr>
      <vt:lpstr>'Unidad-Servicio'!Criterios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Matías Franck</dc:creator>
  <cp:lastModifiedBy>Matías Franck</cp:lastModifiedBy>
  <cp:lastPrinted>2018-07-27T17:08:28Z</cp:lastPrinted>
  <dcterms:created xsi:type="dcterms:W3CDTF">2015-05-19T12:40:15Z</dcterms:created>
  <dcterms:modified xsi:type="dcterms:W3CDTF">2018-09-04T19:37:52Z</dcterms:modified>
</cp:coreProperties>
</file>